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05" yWindow="60" windowWidth="21240" windowHeight="9030"/>
  </bookViews>
  <sheets>
    <sheet name="CBECC-Com 2016" sheetId="7" r:id="rId1"/>
    <sheet name="Prototypes" sheetId="1" state="hidden" r:id="rId2"/>
    <sheet name="RulesetImplementation" sheetId="4" state="hidden" r:id="rId3"/>
    <sheet name="HydronicPiping" sheetId="5" state="hidden" r:id="rId4"/>
    <sheet name="IDF" sheetId="6" state="hidden" r:id="rId5"/>
    <sheet name="Sheet3" sheetId="3" r:id="rId6"/>
  </sheets>
  <definedNames>
    <definedName name="BatchFileName" localSheetId="0">'CBECC-Com 2016'!$M$9</definedName>
    <definedName name="BatchFileName">'CBECC-Com 2016'!$M$9</definedName>
  </definedNames>
  <calcPr calcId="145621"/>
</workbook>
</file>

<file path=xl/calcChain.xml><?xml version="1.0" encoding="utf-8"?>
<calcChain xmlns="http://schemas.openxmlformats.org/spreadsheetml/2006/main">
  <c r="L335" i="7" l="1"/>
  <c r="L336" i="7"/>
  <c r="L337" i="7"/>
  <c r="L338" i="7"/>
  <c r="L339" i="7"/>
  <c r="L340" i="7"/>
  <c r="L341" i="7"/>
  <c r="L342" i="7"/>
  <c r="L343" i="7"/>
  <c r="L344" i="7" s="1"/>
  <c r="L345" i="7" s="1"/>
  <c r="L346" i="7" s="1"/>
  <c r="L347" i="7" s="1"/>
  <c r="L348" i="7" s="1"/>
  <c r="L349" i="7" s="1"/>
  <c r="L350" i="7" s="1"/>
  <c r="L351" i="7" s="1"/>
  <c r="L352" i="7" s="1"/>
  <c r="L353" i="7" s="1"/>
  <c r="L354" i="7" s="1"/>
  <c r="L355" i="7" s="1"/>
  <c r="L356" i="7" s="1"/>
  <c r="L357" i="7" s="1"/>
  <c r="L358" i="7" s="1"/>
  <c r="L359" i="7" s="1"/>
  <c r="L360" i="7" s="1"/>
  <c r="L267" i="7"/>
  <c r="L268" i="7" s="1"/>
  <c r="L269" i="7" s="1"/>
  <c r="L270" i="7" s="1"/>
  <c r="L271" i="7" s="1"/>
  <c r="L272" i="7" s="1"/>
  <c r="L273" i="7" s="1"/>
  <c r="L274" i="7" s="1"/>
  <c r="L275" i="7" s="1"/>
  <c r="L276" i="7" s="1"/>
  <c r="L277" i="7" s="1"/>
  <c r="L278" i="7" s="1"/>
  <c r="L279" i="7" s="1"/>
  <c r="L280" i="7" s="1"/>
  <c r="L281" i="7" s="1"/>
  <c r="L282" i="7" s="1"/>
  <c r="L283" i="7" s="1"/>
  <c r="L284" i="7" s="1"/>
  <c r="L285" i="7" s="1"/>
  <c r="L286" i="7" s="1"/>
  <c r="L287" i="7" s="1"/>
  <c r="L288" i="7" s="1"/>
  <c r="L289" i="7" s="1"/>
  <c r="L290" i="7" s="1"/>
  <c r="L291" i="7" s="1"/>
  <c r="L292" i="7" s="1"/>
  <c r="L293" i="7" s="1"/>
  <c r="L294" i="7" s="1"/>
  <c r="L295" i="7" s="1"/>
  <c r="L296" i="7" s="1"/>
  <c r="L297" i="7" s="1"/>
  <c r="L298" i="7" s="1"/>
  <c r="L299" i="7" s="1"/>
  <c r="L300" i="7" s="1"/>
  <c r="L301" i="7" s="1"/>
  <c r="L302" i="7" s="1"/>
  <c r="L303" i="7" s="1"/>
  <c r="L304" i="7" s="1"/>
  <c r="L305" i="7" s="1"/>
  <c r="L306" i="7" s="1"/>
  <c r="L307" i="7" s="1"/>
  <c r="L308" i="7" s="1"/>
  <c r="L309" i="7" s="1"/>
  <c r="L310" i="7" s="1"/>
  <c r="L311" i="7" s="1"/>
  <c r="L312" i="7" s="1"/>
  <c r="L313" i="7" s="1"/>
  <c r="L314" i="7" s="1"/>
  <c r="L315" i="7" s="1"/>
  <c r="L316" i="7" s="1"/>
  <c r="L317" i="7" s="1"/>
  <c r="L318" i="7" s="1"/>
  <c r="L319" i="7" s="1"/>
  <c r="L320" i="7" s="1"/>
  <c r="L321" i="7" s="1"/>
  <c r="L322" i="7" s="1"/>
  <c r="L323" i="7" s="1"/>
  <c r="L324" i="7" s="1"/>
  <c r="L325" i="7" s="1"/>
  <c r="L326" i="7" s="1"/>
  <c r="L327" i="7" s="1"/>
  <c r="L328" i="7" s="1"/>
  <c r="L329" i="7" s="1"/>
  <c r="L330" i="7" s="1"/>
  <c r="L331" i="7" s="1"/>
  <c r="L332" i="7" s="1"/>
  <c r="L333" i="7" s="1"/>
  <c r="L334" i="7" s="1"/>
  <c r="M266" i="7" l="1"/>
  <c r="M267" i="7"/>
  <c r="M268" i="7"/>
  <c r="M269" i="7"/>
  <c r="M270" i="7"/>
  <c r="M271" i="7"/>
  <c r="M272" i="7"/>
  <c r="M273" i="7"/>
  <c r="M274" i="7"/>
  <c r="M275" i="7"/>
  <c r="M276" i="7"/>
  <c r="M277" i="7"/>
  <c r="M278" i="7"/>
  <c r="M279" i="7"/>
  <c r="M280" i="7"/>
  <c r="M281" i="7"/>
  <c r="M282" i="7"/>
  <c r="M283" i="7"/>
  <c r="M284" i="7"/>
  <c r="M285" i="7"/>
  <c r="M286" i="7"/>
  <c r="M287" i="7"/>
  <c r="M288" i="7"/>
  <c r="M289" i="7"/>
  <c r="M290" i="7"/>
  <c r="M291" i="7"/>
  <c r="M292" i="7"/>
  <c r="M293" i="7"/>
  <c r="M294" i="7"/>
  <c r="M295" i="7"/>
  <c r="M296" i="7"/>
  <c r="M297" i="7"/>
  <c r="M298" i="7"/>
  <c r="M299" i="7"/>
  <c r="M300" i="7"/>
  <c r="M301" i="7"/>
  <c r="M302" i="7"/>
  <c r="M303" i="7"/>
  <c r="M304" i="7"/>
  <c r="M305" i="7"/>
  <c r="M306" i="7"/>
  <c r="M307" i="7"/>
  <c r="M308" i="7"/>
  <c r="M309" i="7"/>
  <c r="M310" i="7"/>
  <c r="M311" i="7"/>
  <c r="M312" i="7"/>
  <c r="M313" i="7"/>
  <c r="M314" i="7"/>
  <c r="M315" i="7"/>
  <c r="M316" i="7"/>
  <c r="M317" i="7"/>
  <c r="M318" i="7"/>
  <c r="M319" i="7"/>
  <c r="M320" i="7"/>
  <c r="M321" i="7"/>
  <c r="M322" i="7"/>
  <c r="M323" i="7"/>
  <c r="M324" i="7"/>
  <c r="M325" i="7"/>
  <c r="M326" i="7"/>
  <c r="M327" i="7"/>
  <c r="M328" i="7"/>
  <c r="M329" i="7"/>
  <c r="M330" i="7"/>
  <c r="M331" i="7"/>
  <c r="M332" i="7"/>
  <c r="M333" i="7"/>
  <c r="M334" i="7"/>
  <c r="M335" i="7"/>
  <c r="M336" i="7"/>
  <c r="M337" i="7"/>
  <c r="M338" i="7"/>
  <c r="M339" i="7"/>
  <c r="M340" i="7"/>
  <c r="M341" i="7"/>
  <c r="M342" i="7"/>
  <c r="M343" i="7"/>
  <c r="M344" i="7"/>
  <c r="M345" i="7"/>
  <c r="M346" i="7"/>
  <c r="M347" i="7"/>
  <c r="M348" i="7"/>
  <c r="M349" i="7"/>
  <c r="M350" i="7"/>
  <c r="M351" i="7"/>
  <c r="M352" i="7"/>
  <c r="M353" i="7"/>
  <c r="M354" i="7"/>
  <c r="M355" i="7"/>
  <c r="M356" i="7"/>
  <c r="M357" i="7"/>
  <c r="M358" i="7"/>
  <c r="M359" i="7"/>
  <c r="M360" i="7"/>
  <c r="M361" i="7"/>
  <c r="M362" i="7"/>
  <c r="M363" i="7"/>
  <c r="M364" i="7"/>
  <c r="M365" i="7"/>
  <c r="M366" i="7"/>
  <c r="M367" i="7"/>
  <c r="M368" i="7"/>
  <c r="M369" i="7"/>
  <c r="M370" i="7"/>
  <c r="M371" i="7"/>
  <c r="M372" i="7"/>
  <c r="M373" i="7"/>
  <c r="M374" i="7"/>
  <c r="M375" i="7"/>
  <c r="M376" i="7"/>
  <c r="M377" i="7"/>
  <c r="M378" i="7"/>
  <c r="M379" i="7"/>
  <c r="M380" i="7"/>
  <c r="M381" i="7"/>
  <c r="M382" i="7"/>
  <c r="M383" i="7"/>
  <c r="M384" i="7"/>
  <c r="M385" i="7"/>
  <c r="M386" i="7"/>
  <c r="M387" i="7"/>
  <c r="M388" i="7"/>
  <c r="M389" i="7"/>
  <c r="M390" i="7"/>
  <c r="M391" i="7"/>
  <c r="M392" i="7"/>
  <c r="M393" i="7"/>
  <c r="M394" i="7"/>
  <c r="M395" i="7"/>
  <c r="M396" i="7"/>
  <c r="M397" i="7"/>
  <c r="M398" i="7"/>
  <c r="M399" i="7"/>
  <c r="M400" i="7"/>
  <c r="M401" i="7"/>
  <c r="M402" i="7"/>
  <c r="M265"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2" i="7"/>
  <c r="M173" i="7"/>
  <c r="M174" i="7"/>
  <c r="M175" i="7"/>
  <c r="M176" i="7"/>
  <c r="M177" i="7"/>
  <c r="M178" i="7"/>
  <c r="M179" i="7"/>
  <c r="M180" i="7"/>
  <c r="M181" i="7"/>
  <c r="M182" i="7"/>
  <c r="M183" i="7"/>
  <c r="M184" i="7"/>
  <c r="M185" i="7"/>
  <c r="M186" i="7"/>
  <c r="M187" i="7"/>
  <c r="M188" i="7"/>
  <c r="M189" i="7"/>
  <c r="M190" i="7"/>
  <c r="M191" i="7"/>
  <c r="M192" i="7"/>
  <c r="M193" i="7"/>
  <c r="M194" i="7"/>
  <c r="M195" i="7"/>
  <c r="M196" i="7"/>
  <c r="M197" i="7"/>
  <c r="M198" i="7"/>
  <c r="M199" i="7"/>
  <c r="M200" i="7"/>
  <c r="M201" i="7"/>
  <c r="M202" i="7"/>
  <c r="M203" i="7"/>
  <c r="M204" i="7"/>
  <c r="M205" i="7"/>
  <c r="M206" i="7"/>
  <c r="M207" i="7"/>
  <c r="M208" i="7"/>
  <c r="M209" i="7"/>
  <c r="M210" i="7"/>
  <c r="M211" i="7"/>
  <c r="M212" i="7"/>
  <c r="M213" i="7"/>
  <c r="M214" i="7"/>
  <c r="M215" i="7"/>
  <c r="M216" i="7"/>
  <c r="M217" i="7"/>
  <c r="M218" i="7"/>
  <c r="M219" i="7"/>
  <c r="M220" i="7"/>
  <c r="M221" i="7"/>
  <c r="M222" i="7"/>
  <c r="M223" i="7"/>
  <c r="M224" i="7"/>
  <c r="M225" i="7"/>
  <c r="M226" i="7"/>
  <c r="M227" i="7"/>
  <c r="M228" i="7"/>
  <c r="M229" i="7"/>
  <c r="M230" i="7"/>
  <c r="M231" i="7"/>
  <c r="M232" i="7"/>
  <c r="M233" i="7"/>
  <c r="M234" i="7"/>
  <c r="M235" i="7"/>
  <c r="M236" i="7"/>
  <c r="M237" i="7"/>
  <c r="M238" i="7"/>
  <c r="M239" i="7"/>
  <c r="M240" i="7"/>
  <c r="M241" i="7"/>
  <c r="M242" i="7"/>
  <c r="M243" i="7"/>
  <c r="M244" i="7"/>
  <c r="M245" i="7"/>
  <c r="M246" i="7"/>
  <c r="M247" i="7"/>
  <c r="M248" i="7"/>
  <c r="M249" i="7"/>
  <c r="M250" i="7"/>
  <c r="M251" i="7"/>
  <c r="M252" i="7"/>
  <c r="M253" i="7"/>
  <c r="M254" i="7"/>
  <c r="M255" i="7"/>
  <c r="M118"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73" i="7"/>
  <c r="M18" i="7"/>
  <c r="M19" i="7"/>
  <c r="M20" i="7"/>
  <c r="M21" i="7"/>
  <c r="M22" i="7"/>
  <c r="M23" i="7"/>
  <c r="M24" i="7"/>
  <c r="M25" i="7"/>
  <c r="M26" i="7"/>
  <c r="M27" i="7"/>
  <c r="M28" i="7"/>
  <c r="M29" i="7"/>
  <c r="M30" i="7"/>
  <c r="M31" i="7"/>
  <c r="M17" i="7"/>
  <c r="M9" i="7" l="1"/>
  <c r="L18" i="7" l="1"/>
  <c r="B266" i="7" l="1"/>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265" i="7"/>
  <c r="B100" i="7"/>
  <c r="O402" i="7" l="1"/>
  <c r="E402" i="7"/>
  <c r="H402" i="7"/>
  <c r="O401" i="7"/>
  <c r="E401" i="7"/>
  <c r="L401" i="7"/>
  <c r="H401" i="7"/>
  <c r="O400" i="7"/>
  <c r="E400" i="7"/>
  <c r="H400" i="7"/>
  <c r="A400" i="7"/>
  <c r="O399" i="7"/>
  <c r="E399" i="7"/>
  <c r="H399" i="7"/>
  <c r="O398" i="7"/>
  <c r="E398" i="7"/>
  <c r="H398" i="7"/>
  <c r="O397" i="7"/>
  <c r="E397" i="7"/>
  <c r="H397" i="7"/>
  <c r="O396" i="7"/>
  <c r="E396" i="7"/>
  <c r="H396" i="7"/>
  <c r="O395" i="7"/>
  <c r="E395" i="7"/>
  <c r="H395" i="7"/>
  <c r="O394" i="7"/>
  <c r="E394" i="7"/>
  <c r="H394" i="7"/>
  <c r="O393" i="7"/>
  <c r="E393" i="7"/>
  <c r="H393" i="7"/>
  <c r="O392" i="7"/>
  <c r="E392" i="7"/>
  <c r="H392" i="7"/>
  <c r="O391" i="7"/>
  <c r="E391" i="7"/>
  <c r="H391" i="7"/>
  <c r="O390" i="7"/>
  <c r="E390" i="7"/>
  <c r="H390" i="7"/>
  <c r="O389" i="7"/>
  <c r="E389" i="7"/>
  <c r="H389" i="7"/>
  <c r="O388" i="7"/>
  <c r="E388" i="7"/>
  <c r="H388" i="7"/>
  <c r="O387" i="7"/>
  <c r="E387" i="7"/>
  <c r="H387" i="7"/>
  <c r="O386" i="7"/>
  <c r="E386" i="7"/>
  <c r="H386" i="7"/>
  <c r="O385" i="7"/>
  <c r="E385" i="7"/>
  <c r="H385" i="7"/>
  <c r="O384" i="7"/>
  <c r="E384" i="7"/>
  <c r="H384" i="7"/>
  <c r="O383" i="7"/>
  <c r="E383" i="7"/>
  <c r="H383" i="7"/>
  <c r="O382" i="7"/>
  <c r="E382" i="7"/>
  <c r="L382" i="7"/>
  <c r="H382" i="7"/>
  <c r="O381" i="7"/>
  <c r="E381" i="7"/>
  <c r="H381" i="7"/>
  <c r="A381" i="7"/>
  <c r="O380" i="7"/>
  <c r="E380" i="7"/>
  <c r="H380" i="7"/>
  <c r="A380" i="7"/>
  <c r="O379" i="7"/>
  <c r="E379" i="7"/>
  <c r="H379" i="7"/>
  <c r="O378" i="7"/>
  <c r="E378" i="7"/>
  <c r="H378" i="7"/>
  <c r="O377" i="7"/>
  <c r="E377" i="7"/>
  <c r="H377" i="7"/>
  <c r="O376" i="7"/>
  <c r="E376" i="7"/>
  <c r="H376" i="7"/>
  <c r="O375" i="7"/>
  <c r="E375" i="7"/>
  <c r="H375" i="7"/>
  <c r="O374" i="7"/>
  <c r="E374" i="7"/>
  <c r="H374" i="7"/>
  <c r="O373" i="7"/>
  <c r="E373" i="7"/>
  <c r="H373" i="7"/>
  <c r="O372" i="7"/>
  <c r="E372" i="7"/>
  <c r="H372" i="7"/>
  <c r="O371" i="7"/>
  <c r="E371" i="7"/>
  <c r="H371" i="7"/>
  <c r="O370" i="7"/>
  <c r="E370" i="7"/>
  <c r="H370" i="7"/>
  <c r="O369" i="7"/>
  <c r="E369" i="7"/>
  <c r="H369" i="7"/>
  <c r="O368" i="7"/>
  <c r="E368" i="7"/>
  <c r="H368" i="7"/>
  <c r="O367" i="7"/>
  <c r="E367" i="7"/>
  <c r="H367" i="7"/>
  <c r="O366" i="7"/>
  <c r="E366" i="7"/>
  <c r="H366" i="7"/>
  <c r="O365" i="7"/>
  <c r="E365" i="7"/>
  <c r="H365" i="7"/>
  <c r="O364" i="7"/>
  <c r="E364" i="7"/>
  <c r="H364" i="7"/>
  <c r="O363" i="7"/>
  <c r="E363" i="7"/>
  <c r="H363" i="7"/>
  <c r="O362" i="7"/>
  <c r="E362" i="7"/>
  <c r="H362" i="7"/>
  <c r="O361" i="7"/>
  <c r="E361" i="7"/>
  <c r="H361" i="7"/>
  <c r="O360" i="7"/>
  <c r="E360" i="7"/>
  <c r="H360" i="7"/>
  <c r="O359" i="7"/>
  <c r="E359" i="7"/>
  <c r="H359" i="7"/>
  <c r="O358" i="7"/>
  <c r="E358" i="7"/>
  <c r="H358" i="7"/>
  <c r="O357" i="7"/>
  <c r="E357" i="7"/>
  <c r="H357" i="7"/>
  <c r="O356" i="7"/>
  <c r="E356" i="7"/>
  <c r="H356" i="7"/>
  <c r="O355" i="7"/>
  <c r="E355" i="7"/>
  <c r="H355" i="7"/>
  <c r="O354" i="7"/>
  <c r="E354" i="7"/>
  <c r="H354" i="7"/>
  <c r="O353" i="7"/>
  <c r="E353" i="7"/>
  <c r="H353" i="7"/>
  <c r="O352" i="7"/>
  <c r="E352" i="7"/>
  <c r="H352" i="7"/>
  <c r="O351" i="7"/>
  <c r="E351" i="7"/>
  <c r="H351" i="7"/>
  <c r="O350" i="7"/>
  <c r="E350" i="7"/>
  <c r="H350" i="7"/>
  <c r="O349" i="7"/>
  <c r="E349" i="7"/>
  <c r="H349" i="7"/>
  <c r="O348" i="7"/>
  <c r="E348" i="7"/>
  <c r="H348" i="7"/>
  <c r="O347" i="7"/>
  <c r="E347" i="7"/>
  <c r="H347" i="7"/>
  <c r="O346" i="7"/>
  <c r="E346" i="7"/>
  <c r="H346" i="7"/>
  <c r="O345" i="7"/>
  <c r="E345" i="7"/>
  <c r="H345" i="7"/>
  <c r="O344" i="7"/>
  <c r="E344" i="7"/>
  <c r="H344" i="7"/>
  <c r="O343" i="7"/>
  <c r="E343" i="7"/>
  <c r="H343" i="7"/>
  <c r="O342" i="7"/>
  <c r="E342" i="7"/>
  <c r="H342" i="7"/>
  <c r="O341" i="7"/>
  <c r="E341" i="7"/>
  <c r="H341" i="7"/>
  <c r="O340" i="7"/>
  <c r="E340" i="7"/>
  <c r="H340" i="7"/>
  <c r="A340" i="7"/>
  <c r="O339" i="7"/>
  <c r="E339" i="7"/>
  <c r="H339" i="7"/>
  <c r="O338" i="7"/>
  <c r="E338" i="7"/>
  <c r="H338" i="7"/>
  <c r="O337" i="7"/>
  <c r="E337" i="7"/>
  <c r="H337" i="7"/>
  <c r="O336" i="7"/>
  <c r="E336" i="7"/>
  <c r="H336" i="7"/>
  <c r="O335" i="7"/>
  <c r="E335" i="7"/>
  <c r="H335" i="7"/>
  <c r="O334" i="7"/>
  <c r="E334" i="7"/>
  <c r="H334" i="7"/>
  <c r="O333" i="7"/>
  <c r="E333" i="7"/>
  <c r="H333" i="7"/>
  <c r="O332" i="7"/>
  <c r="H332" i="7"/>
  <c r="E332" i="7"/>
  <c r="O331" i="7"/>
  <c r="E331" i="7"/>
  <c r="H331" i="7"/>
  <c r="O330" i="7"/>
  <c r="E330" i="7"/>
  <c r="H330" i="7"/>
  <c r="O329" i="7"/>
  <c r="E329" i="7"/>
  <c r="H329" i="7"/>
  <c r="O328" i="7"/>
  <c r="E328" i="7"/>
  <c r="H328" i="7"/>
  <c r="O327" i="7"/>
  <c r="E327" i="7"/>
  <c r="H327" i="7"/>
  <c r="O326" i="7"/>
  <c r="E326" i="7"/>
  <c r="H326" i="7"/>
  <c r="O325" i="7"/>
  <c r="H325" i="7"/>
  <c r="E325" i="7"/>
  <c r="O324" i="7"/>
  <c r="E324" i="7"/>
  <c r="H324" i="7"/>
  <c r="O323" i="7"/>
  <c r="E323" i="7"/>
  <c r="H323" i="7"/>
  <c r="O322" i="7"/>
  <c r="E322" i="7"/>
  <c r="H322" i="7"/>
  <c r="O321" i="7"/>
  <c r="E321" i="7"/>
  <c r="H321" i="7"/>
  <c r="O320" i="7"/>
  <c r="E320" i="7"/>
  <c r="H320" i="7"/>
  <c r="O319" i="7"/>
  <c r="E319" i="7"/>
  <c r="H319" i="7"/>
  <c r="O318" i="7"/>
  <c r="E318" i="7"/>
  <c r="H318" i="7"/>
  <c r="O317" i="7"/>
  <c r="E317" i="7"/>
  <c r="H317" i="7"/>
  <c r="O316" i="7"/>
  <c r="E316" i="7"/>
  <c r="H316" i="7"/>
  <c r="O315" i="7"/>
  <c r="E315" i="7"/>
  <c r="H315" i="7"/>
  <c r="O314" i="7"/>
  <c r="E314" i="7"/>
  <c r="H314" i="7"/>
  <c r="O313" i="7"/>
  <c r="E313" i="7"/>
  <c r="H313" i="7"/>
  <c r="O312" i="7"/>
  <c r="E312" i="7"/>
  <c r="H312" i="7"/>
  <c r="O311" i="7"/>
  <c r="E311" i="7"/>
  <c r="H311" i="7"/>
  <c r="O310" i="7"/>
  <c r="E310" i="7"/>
  <c r="H310" i="7"/>
  <c r="O309" i="7"/>
  <c r="E309" i="7"/>
  <c r="H309" i="7"/>
  <c r="O308" i="7"/>
  <c r="E308" i="7"/>
  <c r="H308" i="7"/>
  <c r="O307" i="7"/>
  <c r="E307" i="7"/>
  <c r="H307" i="7"/>
  <c r="O306" i="7"/>
  <c r="E306" i="7"/>
  <c r="H306" i="7"/>
  <c r="O305" i="7"/>
  <c r="E305" i="7"/>
  <c r="H305" i="7"/>
  <c r="O304" i="7"/>
  <c r="E304" i="7"/>
  <c r="H304" i="7"/>
  <c r="O303" i="7"/>
  <c r="E303" i="7"/>
  <c r="H303" i="7"/>
  <c r="O302" i="7"/>
  <c r="E302" i="7"/>
  <c r="H302" i="7"/>
  <c r="O301" i="7"/>
  <c r="E301" i="7"/>
  <c r="H301" i="7"/>
  <c r="O300" i="7"/>
  <c r="E300" i="7"/>
  <c r="H300" i="7"/>
  <c r="O299" i="7"/>
  <c r="E299" i="7"/>
  <c r="H299" i="7"/>
  <c r="O298" i="7"/>
  <c r="E298" i="7"/>
  <c r="H298" i="7"/>
  <c r="O297" i="7"/>
  <c r="E297" i="7"/>
  <c r="H297" i="7"/>
  <c r="O296" i="7"/>
  <c r="E296" i="7"/>
  <c r="H296" i="7"/>
  <c r="O295" i="7"/>
  <c r="E295" i="7"/>
  <c r="H295" i="7"/>
  <c r="O294" i="7"/>
  <c r="E294" i="7"/>
  <c r="H294" i="7"/>
  <c r="O293" i="7"/>
  <c r="E293" i="7"/>
  <c r="H293" i="7"/>
  <c r="O292" i="7"/>
  <c r="E292" i="7"/>
  <c r="H292" i="7"/>
  <c r="O291" i="7"/>
  <c r="E291" i="7"/>
  <c r="H291" i="7"/>
  <c r="O290" i="7"/>
  <c r="E290" i="7"/>
  <c r="H290" i="7"/>
  <c r="O289" i="7"/>
  <c r="E289" i="7"/>
  <c r="H289" i="7"/>
  <c r="O288" i="7"/>
  <c r="E288" i="7"/>
  <c r="H288" i="7"/>
  <c r="O287" i="7"/>
  <c r="E287" i="7"/>
  <c r="H287" i="7"/>
  <c r="O286" i="7"/>
  <c r="E286" i="7"/>
  <c r="H286" i="7"/>
  <c r="O285" i="7"/>
  <c r="E285" i="7"/>
  <c r="H285" i="7"/>
  <c r="O284" i="7"/>
  <c r="E284" i="7"/>
  <c r="H284" i="7"/>
  <c r="O283" i="7"/>
  <c r="E283" i="7"/>
  <c r="H283" i="7"/>
  <c r="O282" i="7"/>
  <c r="E282" i="7"/>
  <c r="H282" i="7"/>
  <c r="O281" i="7"/>
  <c r="E281" i="7"/>
  <c r="H281" i="7"/>
  <c r="O280" i="7"/>
  <c r="E280" i="7"/>
  <c r="H280" i="7"/>
  <c r="O279" i="7"/>
  <c r="E279" i="7"/>
  <c r="H279" i="7"/>
  <c r="O278" i="7"/>
  <c r="E278" i="7"/>
  <c r="H278" i="7"/>
  <c r="O277" i="7"/>
  <c r="E277" i="7"/>
  <c r="H277" i="7"/>
  <c r="O276" i="7"/>
  <c r="E276" i="7"/>
  <c r="H276" i="7"/>
  <c r="O275" i="7"/>
  <c r="E275" i="7"/>
  <c r="H275" i="7"/>
  <c r="O274" i="7"/>
  <c r="E274" i="7"/>
  <c r="H274" i="7"/>
  <c r="O273" i="7"/>
  <c r="E273" i="7"/>
  <c r="H273" i="7"/>
  <c r="O272" i="7"/>
  <c r="E272" i="7"/>
  <c r="H272" i="7"/>
  <c r="O271" i="7"/>
  <c r="E271" i="7"/>
  <c r="H271" i="7"/>
  <c r="O270" i="7"/>
  <c r="E270" i="7"/>
  <c r="H270" i="7"/>
  <c r="O269" i="7"/>
  <c r="E269" i="7"/>
  <c r="H269" i="7"/>
  <c r="O268" i="7"/>
  <c r="E268" i="7"/>
  <c r="H268" i="7"/>
  <c r="O267" i="7"/>
  <c r="E267" i="7"/>
  <c r="H267" i="7"/>
  <c r="O266" i="7"/>
  <c r="E266" i="7"/>
  <c r="L266" i="7"/>
  <c r="H266" i="7"/>
  <c r="AP265" i="7"/>
  <c r="AP266" i="7" s="1"/>
  <c r="AP267" i="7" s="1"/>
  <c r="AP268" i="7" s="1"/>
  <c r="AP269" i="7" s="1"/>
  <c r="AP270" i="7" s="1"/>
  <c r="AP271" i="7" s="1"/>
  <c r="AP272" i="7" s="1"/>
  <c r="AP273" i="7" s="1"/>
  <c r="AP274" i="7" s="1"/>
  <c r="AP275" i="7" s="1"/>
  <c r="AP276" i="7" s="1"/>
  <c r="AP277" i="7" s="1"/>
  <c r="AP278" i="7" s="1"/>
  <c r="AP279" i="7" s="1"/>
  <c r="AP280" i="7" s="1"/>
  <c r="AP281" i="7" s="1"/>
  <c r="AP282" i="7" s="1"/>
  <c r="AP283" i="7" s="1"/>
  <c r="AP284" i="7" s="1"/>
  <c r="AP285" i="7" s="1"/>
  <c r="AN265" i="7"/>
  <c r="AM265" i="7"/>
  <c r="AL265" i="7"/>
  <c r="AL266" i="7" s="1"/>
  <c r="AL267" i="7" s="1"/>
  <c r="AL268" i="7" s="1"/>
  <c r="AL269" i="7" s="1"/>
  <c r="AL270" i="7" s="1"/>
  <c r="AL271" i="7" s="1"/>
  <c r="AL272" i="7" s="1"/>
  <c r="AL273" i="7" s="1"/>
  <c r="AL274" i="7" s="1"/>
  <c r="AL275" i="7" s="1"/>
  <c r="AL276" i="7" s="1"/>
  <c r="AL277" i="7" s="1"/>
  <c r="AL278" i="7" s="1"/>
  <c r="AL279" i="7" s="1"/>
  <c r="AL280" i="7" s="1"/>
  <c r="AL281" i="7" s="1"/>
  <c r="AL282" i="7" s="1"/>
  <c r="AL283" i="7" s="1"/>
  <c r="AL284" i="7" s="1"/>
  <c r="AL285" i="7" s="1"/>
  <c r="AK265" i="7"/>
  <c r="AK266" i="7" s="1"/>
  <c r="AJ265" i="7"/>
  <c r="AI265" i="7"/>
  <c r="AH265" i="7"/>
  <c r="AH266" i="7" s="1"/>
  <c r="AH267" i="7" s="1"/>
  <c r="AH268" i="7" s="1"/>
  <c r="AH269" i="7" s="1"/>
  <c r="AH270" i="7" s="1"/>
  <c r="AH271" i="7" s="1"/>
  <c r="AH272" i="7" s="1"/>
  <c r="AH273" i="7" s="1"/>
  <c r="AH274" i="7" s="1"/>
  <c r="AH275" i="7" s="1"/>
  <c r="AH276" i="7" s="1"/>
  <c r="AH277" i="7" s="1"/>
  <c r="AH278" i="7" s="1"/>
  <c r="AH279" i="7" s="1"/>
  <c r="AH280" i="7" s="1"/>
  <c r="AH281" i="7" s="1"/>
  <c r="AH282" i="7" s="1"/>
  <c r="AH283" i="7" s="1"/>
  <c r="AH284" i="7" s="1"/>
  <c r="AH285" i="7" s="1"/>
  <c r="AG265" i="7"/>
  <c r="AG266" i="7" s="1"/>
  <c r="AF265" i="7"/>
  <c r="AE265" i="7"/>
  <c r="AD265" i="7"/>
  <c r="AD266" i="7" s="1"/>
  <c r="AD267" i="7" s="1"/>
  <c r="AD268" i="7" s="1"/>
  <c r="AD269" i="7" s="1"/>
  <c r="AD270" i="7" s="1"/>
  <c r="AD271" i="7" s="1"/>
  <c r="AD272" i="7" s="1"/>
  <c r="AD273" i="7" s="1"/>
  <c r="AD274" i="7" s="1"/>
  <c r="AD275" i="7" s="1"/>
  <c r="AD276" i="7" s="1"/>
  <c r="AD277" i="7" s="1"/>
  <c r="AD278" i="7" s="1"/>
  <c r="AD279" i="7" s="1"/>
  <c r="AD280" i="7" s="1"/>
  <c r="AD281" i="7" s="1"/>
  <c r="AD282" i="7" s="1"/>
  <c r="AD283" i="7" s="1"/>
  <c r="AD284" i="7" s="1"/>
  <c r="AD285" i="7" s="1"/>
  <c r="AD286" i="7" s="1"/>
  <c r="AC265" i="7"/>
  <c r="AC266" i="7" s="1"/>
  <c r="AB265" i="7"/>
  <c r="AA265" i="7"/>
  <c r="AA266" i="7" s="1"/>
  <c r="Z265" i="7"/>
  <c r="Z266" i="7" s="1"/>
  <c r="Z267" i="7" s="1"/>
  <c r="Z268" i="7" s="1"/>
  <c r="Z269" i="7" s="1"/>
  <c r="Z270" i="7" s="1"/>
  <c r="Z271" i="7" s="1"/>
  <c r="Z272" i="7" s="1"/>
  <c r="Z273" i="7" s="1"/>
  <c r="Z274" i="7" s="1"/>
  <c r="Z275" i="7" s="1"/>
  <c r="Z276" i="7" s="1"/>
  <c r="Z277" i="7" s="1"/>
  <c r="Z278" i="7" s="1"/>
  <c r="Z279" i="7" s="1"/>
  <c r="Z280" i="7" s="1"/>
  <c r="Z281" i="7" s="1"/>
  <c r="Z282" i="7" s="1"/>
  <c r="Z283" i="7" s="1"/>
  <c r="Z284" i="7" s="1"/>
  <c r="Z285" i="7" s="1"/>
  <c r="Y265" i="7"/>
  <c r="Y266" i="7" s="1"/>
  <c r="X265" i="7"/>
  <c r="W265" i="7"/>
  <c r="V265" i="7"/>
  <c r="V266" i="7" s="1"/>
  <c r="V267" i="7" s="1"/>
  <c r="V268" i="7" s="1"/>
  <c r="V269" i="7" s="1"/>
  <c r="V270" i="7" s="1"/>
  <c r="V271" i="7" s="1"/>
  <c r="V272" i="7" s="1"/>
  <c r="V273" i="7" s="1"/>
  <c r="V274" i="7" s="1"/>
  <c r="V275" i="7" s="1"/>
  <c r="V276" i="7" s="1"/>
  <c r="V277" i="7" s="1"/>
  <c r="V278" i="7" s="1"/>
  <c r="V279" i="7" s="1"/>
  <c r="V280" i="7" s="1"/>
  <c r="V281" i="7" s="1"/>
  <c r="V282" i="7" s="1"/>
  <c r="V283" i="7" s="1"/>
  <c r="V284" i="7" s="1"/>
  <c r="V285" i="7" s="1"/>
  <c r="U265" i="7"/>
  <c r="U266" i="7" s="1"/>
  <c r="T265" i="7"/>
  <c r="S265" i="7"/>
  <c r="S266" i="7" s="1"/>
  <c r="R265" i="7"/>
  <c r="R266" i="7" s="1"/>
  <c r="R267" i="7" s="1"/>
  <c r="R268" i="7" s="1"/>
  <c r="R269" i="7" s="1"/>
  <c r="R270" i="7" s="1"/>
  <c r="R271" i="7" s="1"/>
  <c r="R272" i="7" s="1"/>
  <c r="R273" i="7" s="1"/>
  <c r="R274" i="7" s="1"/>
  <c r="R275" i="7" s="1"/>
  <c r="R276" i="7" s="1"/>
  <c r="R277" i="7" s="1"/>
  <c r="R278" i="7" s="1"/>
  <c r="R279" i="7" s="1"/>
  <c r="R280" i="7" s="1"/>
  <c r="R281" i="7" s="1"/>
  <c r="R282" i="7" s="1"/>
  <c r="R283" i="7" s="1"/>
  <c r="R284" i="7" s="1"/>
  <c r="R285" i="7" s="1"/>
  <c r="Q265" i="7"/>
  <c r="Q266" i="7" s="1"/>
  <c r="P265" i="7"/>
  <c r="O265" i="7"/>
  <c r="E265" i="7"/>
  <c r="H265" i="7"/>
  <c r="A265" i="7"/>
  <c r="M259" i="7"/>
  <c r="M258" i="7"/>
  <c r="R286" i="7" l="1"/>
  <c r="AD287" i="7"/>
  <c r="A266" i="7"/>
  <c r="S267" i="7"/>
  <c r="AA267" i="7"/>
  <c r="AL286" i="7"/>
  <c r="AP286" i="7"/>
  <c r="AE266" i="7"/>
  <c r="AM266" i="7"/>
  <c r="X266" i="7"/>
  <c r="AN266" i="7"/>
  <c r="V286" i="7"/>
  <c r="Q267" i="7"/>
  <c r="U267" i="7"/>
  <c r="Y267" i="7"/>
  <c r="AC267" i="7"/>
  <c r="AG267" i="7"/>
  <c r="AK267" i="7"/>
  <c r="A267" i="7"/>
  <c r="AI266" i="7"/>
  <c r="AH286" i="7"/>
  <c r="W266" i="7"/>
  <c r="P266" i="7"/>
  <c r="AF266" i="7"/>
  <c r="M262" i="7"/>
  <c r="Z286" i="7"/>
  <c r="T266" i="7"/>
  <c r="AB266" i="7"/>
  <c r="AJ266" i="7"/>
  <c r="R287" i="7"/>
  <c r="AD288" i="7"/>
  <c r="A341" i="7"/>
  <c r="A382" i="7"/>
  <c r="L383" i="7"/>
  <c r="A401" i="7"/>
  <c r="L402" i="7"/>
  <c r="A402" i="7" s="1"/>
  <c r="M263" i="7" l="1"/>
  <c r="C266" i="7"/>
  <c r="C278" i="7"/>
  <c r="C290" i="7"/>
  <c r="C302" i="7"/>
  <c r="C314" i="7"/>
  <c r="C326" i="7"/>
  <c r="C338" i="7"/>
  <c r="C350" i="7"/>
  <c r="C362" i="7"/>
  <c r="C374" i="7"/>
  <c r="C386" i="7"/>
  <c r="C398" i="7"/>
  <c r="C281" i="7"/>
  <c r="C329" i="7"/>
  <c r="C365" i="7"/>
  <c r="C401" i="7"/>
  <c r="C270" i="7"/>
  <c r="C306" i="7"/>
  <c r="C342" i="7"/>
  <c r="C378" i="7"/>
  <c r="C283" i="7"/>
  <c r="C331" i="7"/>
  <c r="C367" i="7"/>
  <c r="C265" i="7"/>
  <c r="C313" i="7"/>
  <c r="C385" i="7"/>
  <c r="C267" i="7"/>
  <c r="C279" i="7"/>
  <c r="C291" i="7"/>
  <c r="C303" i="7"/>
  <c r="C315" i="7"/>
  <c r="C327" i="7"/>
  <c r="C339" i="7"/>
  <c r="C351" i="7"/>
  <c r="C363" i="7"/>
  <c r="C375" i="7"/>
  <c r="C387" i="7"/>
  <c r="C399" i="7"/>
  <c r="C293" i="7"/>
  <c r="C317" i="7"/>
  <c r="C353" i="7"/>
  <c r="C389" i="7"/>
  <c r="C294" i="7"/>
  <c r="C330" i="7"/>
  <c r="C366" i="7"/>
  <c r="C402" i="7"/>
  <c r="C271" i="7"/>
  <c r="C307" i="7"/>
  <c r="C343" i="7"/>
  <c r="C391" i="7"/>
  <c r="C277" i="7"/>
  <c r="C337" i="7"/>
  <c r="C268" i="7"/>
  <c r="C280" i="7"/>
  <c r="C292" i="7"/>
  <c r="C304" i="7"/>
  <c r="C316" i="7"/>
  <c r="C328" i="7"/>
  <c r="C340" i="7"/>
  <c r="C352" i="7"/>
  <c r="C364" i="7"/>
  <c r="C376" i="7"/>
  <c r="C388" i="7"/>
  <c r="C400" i="7"/>
  <c r="C269" i="7"/>
  <c r="C305" i="7"/>
  <c r="C341" i="7"/>
  <c r="C377" i="7"/>
  <c r="C282" i="7"/>
  <c r="C318" i="7"/>
  <c r="C354" i="7"/>
  <c r="C390" i="7"/>
  <c r="C295" i="7"/>
  <c r="C319" i="7"/>
  <c r="C355" i="7"/>
  <c r="C379" i="7"/>
  <c r="C289" i="7"/>
  <c r="C373" i="7"/>
  <c r="C272" i="7"/>
  <c r="C284" i="7"/>
  <c r="C296" i="7"/>
  <c r="C308" i="7"/>
  <c r="C320" i="7"/>
  <c r="C332" i="7"/>
  <c r="C344" i="7"/>
  <c r="C356" i="7"/>
  <c r="C368" i="7"/>
  <c r="C380" i="7"/>
  <c r="C392" i="7"/>
  <c r="C286" i="7"/>
  <c r="C310" i="7"/>
  <c r="C334" i="7"/>
  <c r="C358" i="7"/>
  <c r="C382" i="7"/>
  <c r="C275" i="7"/>
  <c r="C299" i="7"/>
  <c r="C323" i="7"/>
  <c r="C347" i="7"/>
  <c r="C371" i="7"/>
  <c r="C395" i="7"/>
  <c r="C288" i="7"/>
  <c r="C312" i="7"/>
  <c r="C336" i="7"/>
  <c r="C360" i="7"/>
  <c r="C384" i="7"/>
  <c r="C325" i="7"/>
  <c r="C361" i="7"/>
  <c r="C397" i="7"/>
  <c r="C273" i="7"/>
  <c r="C285" i="7"/>
  <c r="C297" i="7"/>
  <c r="C309" i="7"/>
  <c r="C321" i="7"/>
  <c r="C333" i="7"/>
  <c r="C345" i="7"/>
  <c r="C357" i="7"/>
  <c r="C369" i="7"/>
  <c r="C381" i="7"/>
  <c r="C393" i="7"/>
  <c r="C274" i="7"/>
  <c r="C298" i="7"/>
  <c r="C322" i="7"/>
  <c r="C346" i="7"/>
  <c r="C370" i="7"/>
  <c r="C394" i="7"/>
  <c r="C287" i="7"/>
  <c r="C311" i="7"/>
  <c r="C335" i="7"/>
  <c r="C359" i="7"/>
  <c r="C383" i="7"/>
  <c r="C276" i="7"/>
  <c r="C300" i="7"/>
  <c r="C324" i="7"/>
  <c r="C348" i="7"/>
  <c r="C372" i="7"/>
  <c r="C396" i="7"/>
  <c r="C301" i="7"/>
  <c r="C349" i="7"/>
  <c r="AJ267" i="7"/>
  <c r="Z287" i="7"/>
  <c r="A268" i="7"/>
  <c r="AM267" i="7"/>
  <c r="AP287" i="7"/>
  <c r="S268" i="7"/>
  <c r="A342" i="7"/>
  <c r="AB267" i="7"/>
  <c r="W267" i="7"/>
  <c r="AG268" i="7"/>
  <c r="Y268" i="7"/>
  <c r="Q268" i="7"/>
  <c r="AE267" i="7"/>
  <c r="AL287" i="7"/>
  <c r="A383" i="7"/>
  <c r="L384" i="7"/>
  <c r="AD289" i="7"/>
  <c r="T267" i="7"/>
  <c r="AF267" i="7"/>
  <c r="AH287" i="7"/>
  <c r="AN267" i="7"/>
  <c r="AA268" i="7"/>
  <c r="R288" i="7"/>
  <c r="P267" i="7"/>
  <c r="AI267" i="7"/>
  <c r="AK268" i="7"/>
  <c r="AC268" i="7"/>
  <c r="U268" i="7"/>
  <c r="V287" i="7"/>
  <c r="X267"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118" i="7"/>
  <c r="O108" i="7"/>
  <c r="D272" i="7" l="1"/>
  <c r="D284" i="7"/>
  <c r="D296" i="7"/>
  <c r="D308" i="7"/>
  <c r="D320" i="7"/>
  <c r="D332" i="7"/>
  <c r="D344" i="7"/>
  <c r="D356" i="7"/>
  <c r="D368" i="7"/>
  <c r="D380" i="7"/>
  <c r="D392" i="7"/>
  <c r="D299" i="7"/>
  <c r="D335" i="7"/>
  <c r="D371" i="7"/>
  <c r="D276" i="7"/>
  <c r="D312" i="7"/>
  <c r="D348" i="7"/>
  <c r="D384" i="7"/>
  <c r="D301" i="7"/>
  <c r="D337" i="7"/>
  <c r="D373" i="7"/>
  <c r="D330" i="7"/>
  <c r="D390" i="7"/>
  <c r="D307" i="7"/>
  <c r="D367" i="7"/>
  <c r="D273" i="7"/>
  <c r="D285" i="7"/>
  <c r="D297" i="7"/>
  <c r="D309" i="7"/>
  <c r="D321" i="7"/>
  <c r="D333" i="7"/>
  <c r="D345" i="7"/>
  <c r="D357" i="7"/>
  <c r="D369" i="7"/>
  <c r="D381" i="7"/>
  <c r="D393" i="7"/>
  <c r="D287" i="7"/>
  <c r="D323" i="7"/>
  <c r="D359" i="7"/>
  <c r="D395" i="7"/>
  <c r="D300" i="7"/>
  <c r="D336" i="7"/>
  <c r="D372" i="7"/>
  <c r="D289" i="7"/>
  <c r="D325" i="7"/>
  <c r="D361" i="7"/>
  <c r="D397" i="7"/>
  <c r="D354" i="7"/>
  <c r="D378" i="7"/>
  <c r="D283" i="7"/>
  <c r="D355" i="7"/>
  <c r="D274" i="7"/>
  <c r="D286" i="7"/>
  <c r="D298" i="7"/>
  <c r="D310" i="7"/>
  <c r="D322" i="7"/>
  <c r="D334" i="7"/>
  <c r="D346" i="7"/>
  <c r="D358" i="7"/>
  <c r="D370" i="7"/>
  <c r="D382" i="7"/>
  <c r="D394" i="7"/>
  <c r="D275" i="7"/>
  <c r="D311" i="7"/>
  <c r="D347" i="7"/>
  <c r="D383" i="7"/>
  <c r="D288" i="7"/>
  <c r="D324" i="7"/>
  <c r="D360" i="7"/>
  <c r="D396" i="7"/>
  <c r="D277" i="7"/>
  <c r="D313" i="7"/>
  <c r="D349" i="7"/>
  <c r="D385" i="7"/>
  <c r="D318" i="7"/>
  <c r="D319" i="7"/>
  <c r="D379" i="7"/>
  <c r="D266" i="7"/>
  <c r="D278" i="7"/>
  <c r="D290" i="7"/>
  <c r="D302" i="7"/>
  <c r="D314" i="7"/>
  <c r="D326" i="7"/>
  <c r="D338" i="7"/>
  <c r="D350" i="7"/>
  <c r="D362" i="7"/>
  <c r="D374" i="7"/>
  <c r="D386" i="7"/>
  <c r="D398" i="7"/>
  <c r="D268" i="7"/>
  <c r="D292" i="7"/>
  <c r="D316" i="7"/>
  <c r="D340" i="7"/>
  <c r="D364" i="7"/>
  <c r="D388" i="7"/>
  <c r="D281" i="7"/>
  <c r="D305" i="7"/>
  <c r="D329" i="7"/>
  <c r="D353" i="7"/>
  <c r="D377" i="7"/>
  <c r="D401" i="7"/>
  <c r="D270" i="7"/>
  <c r="D294" i="7"/>
  <c r="D342" i="7"/>
  <c r="D402" i="7"/>
  <c r="D295" i="7"/>
  <c r="D343" i="7"/>
  <c r="D391" i="7"/>
  <c r="D267" i="7"/>
  <c r="D279" i="7"/>
  <c r="D291" i="7"/>
  <c r="D303" i="7"/>
  <c r="D315" i="7"/>
  <c r="D327" i="7"/>
  <c r="D339" i="7"/>
  <c r="D351" i="7"/>
  <c r="D363" i="7"/>
  <c r="D375" i="7"/>
  <c r="D387" i="7"/>
  <c r="D399" i="7"/>
  <c r="D280" i="7"/>
  <c r="D304" i="7"/>
  <c r="D328" i="7"/>
  <c r="D352" i="7"/>
  <c r="D376" i="7"/>
  <c r="D400" i="7"/>
  <c r="D269" i="7"/>
  <c r="D293" i="7"/>
  <c r="D317" i="7"/>
  <c r="D341" i="7"/>
  <c r="D365" i="7"/>
  <c r="D389" i="7"/>
  <c r="D282" i="7"/>
  <c r="D306" i="7"/>
  <c r="D366" i="7"/>
  <c r="D271" i="7"/>
  <c r="D331" i="7"/>
  <c r="D265" i="7"/>
  <c r="AD290" i="7"/>
  <c r="AL288" i="7"/>
  <c r="W268" i="7"/>
  <c r="AM268" i="7"/>
  <c r="AC269" i="7"/>
  <c r="L385" i="7"/>
  <c r="A384" i="7"/>
  <c r="Z288" i="7"/>
  <c r="V288" i="7"/>
  <c r="AI268" i="7"/>
  <c r="AB268" i="7"/>
  <c r="A269" i="7"/>
  <c r="AJ268" i="7"/>
  <c r="R289" i="7"/>
  <c r="A343" i="7"/>
  <c r="AA269" i="7"/>
  <c r="AH288" i="7"/>
  <c r="T268" i="7"/>
  <c r="AE268" i="7"/>
  <c r="Y269" i="7"/>
  <c r="X268" i="7"/>
  <c r="U269" i="7"/>
  <c r="AK269" i="7"/>
  <c r="P268" i="7"/>
  <c r="AN268" i="7"/>
  <c r="AF268" i="7"/>
  <c r="Q269" i="7"/>
  <c r="AG269" i="7"/>
  <c r="S269" i="7"/>
  <c r="AP288" i="7"/>
  <c r="O101" i="7"/>
  <c r="O102" i="7"/>
  <c r="O103" i="7"/>
  <c r="O104" i="7"/>
  <c r="O105" i="7"/>
  <c r="O106" i="7"/>
  <c r="O107" i="7"/>
  <c r="A270" i="7" l="1"/>
  <c r="AI269" i="7"/>
  <c r="Z289" i="7"/>
  <c r="AM269" i="7"/>
  <c r="AL289" i="7"/>
  <c r="AE269" i="7"/>
  <c r="AH289" i="7"/>
  <c r="A344" i="7"/>
  <c r="AJ269" i="7"/>
  <c r="AB269" i="7"/>
  <c r="AC270" i="7"/>
  <c r="AD291" i="7"/>
  <c r="R290" i="7"/>
  <c r="S270" i="7"/>
  <c r="Q270" i="7"/>
  <c r="AN269" i="7"/>
  <c r="AK270" i="7"/>
  <c r="X269" i="7"/>
  <c r="AP289" i="7"/>
  <c r="AG270" i="7"/>
  <c r="AF269" i="7"/>
  <c r="P269" i="7"/>
  <c r="U270" i="7"/>
  <c r="Y270" i="7"/>
  <c r="T269" i="7"/>
  <c r="AA270" i="7"/>
  <c r="V289" i="7"/>
  <c r="L386" i="7"/>
  <c r="A385" i="7"/>
  <c r="W269" i="7"/>
  <c r="M47" i="7"/>
  <c r="M46" i="7"/>
  <c r="M45" i="7"/>
  <c r="M44" i="7"/>
  <c r="M43" i="7"/>
  <c r="M42" i="7"/>
  <c r="M41" i="7"/>
  <c r="V290" i="7" l="1"/>
  <c r="T270" i="7"/>
  <c r="P270" i="7"/>
  <c r="AG271" i="7"/>
  <c r="Q271" i="7"/>
  <c r="W270" i="7"/>
  <c r="AD292" i="7"/>
  <c r="AE270" i="7"/>
  <c r="AM270" i="7"/>
  <c r="Y271" i="7"/>
  <c r="U271" i="7"/>
  <c r="AF270" i="7"/>
  <c r="AP290" i="7"/>
  <c r="X270" i="7"/>
  <c r="AN270" i="7"/>
  <c r="S271" i="7"/>
  <c r="AC271" i="7"/>
  <c r="AJ270" i="7"/>
  <c r="Z290" i="7"/>
  <c r="L387" i="7"/>
  <c r="A386" i="7"/>
  <c r="AA271" i="7"/>
  <c r="R291" i="7"/>
  <c r="AH290" i="7"/>
  <c r="AL290" i="7"/>
  <c r="A271" i="7"/>
  <c r="AK271" i="7"/>
  <c r="AB270" i="7"/>
  <c r="A345" i="7"/>
  <c r="AI270" i="7"/>
  <c r="AA272" i="7" l="1"/>
  <c r="Z291" i="7"/>
  <c r="AM271" i="7"/>
  <c r="AD293" i="7"/>
  <c r="Q272" i="7"/>
  <c r="AG272" i="7"/>
  <c r="AL291" i="7"/>
  <c r="AJ271" i="7"/>
  <c r="A346" i="7"/>
  <c r="R292" i="7"/>
  <c r="L388" i="7"/>
  <c r="A387" i="7"/>
  <c r="S272" i="7"/>
  <c r="P271" i="7"/>
  <c r="V291" i="7"/>
  <c r="AH291" i="7"/>
  <c r="T271" i="7"/>
  <c r="X271" i="7"/>
  <c r="AF271" i="7"/>
  <c r="Y272" i="7"/>
  <c r="AE271" i="7"/>
  <c r="AI271" i="7"/>
  <c r="AB271" i="7"/>
  <c r="AK272" i="7"/>
  <c r="A272" i="7"/>
  <c r="AC272" i="7"/>
  <c r="AN271" i="7"/>
  <c r="AP291" i="7"/>
  <c r="U272" i="7"/>
  <c r="W271" i="7"/>
  <c r="E106" i="7"/>
  <c r="E108" i="7"/>
  <c r="B108" i="7"/>
  <c r="A108" i="7"/>
  <c r="E107" i="7"/>
  <c r="B107" i="7"/>
  <c r="B106" i="7"/>
  <c r="B63" i="7"/>
  <c r="B62" i="7"/>
  <c r="B61" i="7"/>
  <c r="B60" i="7"/>
  <c r="B59" i="7"/>
  <c r="B58" i="7"/>
  <c r="B57" i="7"/>
  <c r="B56" i="7"/>
  <c r="B55" i="7"/>
  <c r="B54" i="7"/>
  <c r="B53" i="7"/>
  <c r="B52" i="7"/>
  <c r="B51" i="7"/>
  <c r="B50" i="7"/>
  <c r="B49" i="7"/>
  <c r="B48" i="7"/>
  <c r="B47" i="7"/>
  <c r="B46" i="7"/>
  <c r="B45" i="7"/>
  <c r="B44" i="7"/>
  <c r="B43" i="7"/>
  <c r="B42" i="7"/>
  <c r="B41" i="7"/>
  <c r="M60" i="7"/>
  <c r="E60" i="7" s="1"/>
  <c r="AP60" i="7"/>
  <c r="AN60" i="7"/>
  <c r="AM60" i="7"/>
  <c r="AL60" i="7"/>
  <c r="AK60" i="7"/>
  <c r="AJ60" i="7"/>
  <c r="AI60" i="7"/>
  <c r="AH60" i="7"/>
  <c r="AG60" i="7"/>
  <c r="AF60" i="7"/>
  <c r="AE60" i="7"/>
  <c r="AD60" i="7"/>
  <c r="AC60" i="7"/>
  <c r="AB60" i="7"/>
  <c r="AA60" i="7"/>
  <c r="Z60" i="7"/>
  <c r="Y60" i="7"/>
  <c r="X60" i="7"/>
  <c r="W60" i="7"/>
  <c r="V60" i="7"/>
  <c r="U60" i="7"/>
  <c r="T60" i="7"/>
  <c r="S60" i="7"/>
  <c r="R60" i="7"/>
  <c r="Q60" i="7"/>
  <c r="P60" i="7"/>
  <c r="O60"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P42"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P43"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P44"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P45"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P46"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P47"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P48"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P49"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P50"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P51"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P52"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P53"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P54"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P55"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P56"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P57"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P58"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P59"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P61"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P62"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AP63" i="7"/>
  <c r="M59" i="7"/>
  <c r="E59" i="7" s="1"/>
  <c r="M61" i="7"/>
  <c r="E61" i="7" s="1"/>
  <c r="M62" i="7"/>
  <c r="E62" i="7" s="1"/>
  <c r="E45" i="7"/>
  <c r="AP292" i="7" l="1"/>
  <c r="AJ272" i="7"/>
  <c r="AG273" i="7"/>
  <c r="U273" i="7"/>
  <c r="AI272" i="7"/>
  <c r="V292" i="7"/>
  <c r="L389" i="7"/>
  <c r="A388" i="7"/>
  <c r="AD294" i="7"/>
  <c r="Z292" i="7"/>
  <c r="A273" i="7"/>
  <c r="AB272" i="7"/>
  <c r="AE272" i="7"/>
  <c r="AF272" i="7"/>
  <c r="P272" i="7"/>
  <c r="S273" i="7"/>
  <c r="Q273" i="7"/>
  <c r="AM272" i="7"/>
  <c r="AK273" i="7"/>
  <c r="Y273" i="7"/>
  <c r="X272" i="7"/>
  <c r="T272" i="7"/>
  <c r="AN272" i="7"/>
  <c r="W272" i="7"/>
  <c r="AC273" i="7"/>
  <c r="AH292" i="7"/>
  <c r="R293" i="7"/>
  <c r="A347" i="7"/>
  <c r="AL292" i="7"/>
  <c r="AA273" i="7"/>
  <c r="L390" i="7" l="1"/>
  <c r="A389" i="7"/>
  <c r="T273" i="7"/>
  <c r="AH293" i="7"/>
  <c r="AA274" i="7"/>
  <c r="A348" i="7"/>
  <c r="Z293" i="7"/>
  <c r="AP293" i="7"/>
  <c r="W273" i="7"/>
  <c r="Y274" i="7"/>
  <c r="AM273" i="7"/>
  <c r="S274" i="7"/>
  <c r="AE273" i="7"/>
  <c r="A274" i="7"/>
  <c r="U274" i="7"/>
  <c r="AJ273" i="7"/>
  <c r="AD295" i="7"/>
  <c r="V293" i="7"/>
  <c r="AL293" i="7"/>
  <c r="R294" i="7"/>
  <c r="AC274" i="7"/>
  <c r="AN273" i="7"/>
  <c r="X273" i="7"/>
  <c r="AK274" i="7"/>
  <c r="Q274" i="7"/>
  <c r="P273" i="7"/>
  <c r="AF273" i="7"/>
  <c r="AB273" i="7"/>
  <c r="AI273" i="7"/>
  <c r="AG274" i="7"/>
  <c r="AL294" i="7" l="1"/>
  <c r="AD296" i="7"/>
  <c r="Y275" i="7"/>
  <c r="AP294" i="7"/>
  <c r="AG275" i="7"/>
  <c r="AB274" i="7"/>
  <c r="P274" i="7"/>
  <c r="AK275" i="7"/>
  <c r="AN274" i="7"/>
  <c r="U275" i="7"/>
  <c r="S275" i="7"/>
  <c r="A349" i="7"/>
  <c r="AH294" i="7"/>
  <c r="R295" i="7"/>
  <c r="V294" i="7"/>
  <c r="Z294" i="7"/>
  <c r="AA275" i="7"/>
  <c r="AI274" i="7"/>
  <c r="AF274" i="7"/>
  <c r="Q275" i="7"/>
  <c r="X274" i="7"/>
  <c r="AC275" i="7"/>
  <c r="AJ274" i="7"/>
  <c r="AE274" i="7"/>
  <c r="AM274" i="7"/>
  <c r="W274" i="7"/>
  <c r="L391" i="7"/>
  <c r="A390" i="7"/>
  <c r="A275" i="7"/>
  <c r="T274" i="7"/>
  <c r="B74" i="7"/>
  <c r="B75" i="7"/>
  <c r="B76" i="7"/>
  <c r="B77" i="7"/>
  <c r="B78" i="7"/>
  <c r="B79" i="7"/>
  <c r="B80" i="7"/>
  <c r="B81" i="7"/>
  <c r="B82" i="7"/>
  <c r="B83" i="7"/>
  <c r="B84" i="7"/>
  <c r="B85" i="7"/>
  <c r="B86" i="7"/>
  <c r="B87" i="7"/>
  <c r="B88" i="7"/>
  <c r="B89" i="7"/>
  <c r="B90" i="7"/>
  <c r="B91" i="7"/>
  <c r="B92" i="7"/>
  <c r="B93" i="7"/>
  <c r="B94" i="7"/>
  <c r="B95" i="7"/>
  <c r="B96" i="7"/>
  <c r="B97" i="7"/>
  <c r="B98" i="7"/>
  <c r="B99" i="7"/>
  <c r="B101" i="7"/>
  <c r="B102" i="7"/>
  <c r="B103" i="7"/>
  <c r="B104" i="7"/>
  <c r="B105" i="7"/>
  <c r="B73" i="7"/>
  <c r="B27" i="7"/>
  <c r="V295" i="7" l="1"/>
  <c r="AH295" i="7"/>
  <c r="AK276" i="7"/>
  <c r="AB275" i="7"/>
  <c r="A276" i="7"/>
  <c r="AE275" i="7"/>
  <c r="AC276" i="7"/>
  <c r="Q276" i="7"/>
  <c r="Z295" i="7"/>
  <c r="S276" i="7"/>
  <c r="AP295" i="7"/>
  <c r="AD297" i="7"/>
  <c r="W275" i="7"/>
  <c r="AI275" i="7"/>
  <c r="R296" i="7"/>
  <c r="A350" i="7"/>
  <c r="U276" i="7"/>
  <c r="AN275" i="7"/>
  <c r="P275" i="7"/>
  <c r="AG276" i="7"/>
  <c r="Y276" i="7"/>
  <c r="L392" i="7"/>
  <c r="A391" i="7"/>
  <c r="AM275" i="7"/>
  <c r="AA276" i="7"/>
  <c r="T275" i="7"/>
  <c r="AJ275" i="7"/>
  <c r="X275" i="7"/>
  <c r="AF275" i="7"/>
  <c r="AL295" i="7"/>
  <c r="B18" i="7"/>
  <c r="B19" i="7"/>
  <c r="B20" i="7"/>
  <c r="B21" i="7"/>
  <c r="B22" i="7"/>
  <c r="B23" i="7"/>
  <c r="B24" i="7"/>
  <c r="B25" i="7"/>
  <c r="B26" i="7"/>
  <c r="B28" i="7"/>
  <c r="B29" i="7"/>
  <c r="B30" i="7"/>
  <c r="B31" i="7"/>
  <c r="B17" i="7"/>
  <c r="AA277" i="7" l="1"/>
  <c r="A392" i="7"/>
  <c r="L393" i="7"/>
  <c r="A351" i="7"/>
  <c r="AI276" i="7"/>
  <c r="AD298" i="7"/>
  <c r="AH296" i="7"/>
  <c r="AL296" i="7"/>
  <c r="X276" i="7"/>
  <c r="T276" i="7"/>
  <c r="AM276" i="7"/>
  <c r="Y277" i="7"/>
  <c r="P276" i="7"/>
  <c r="U277" i="7"/>
  <c r="W276" i="7"/>
  <c r="Q277" i="7"/>
  <c r="AE276" i="7"/>
  <c r="AB276" i="7"/>
  <c r="V296" i="7"/>
  <c r="R297" i="7"/>
  <c r="AP296" i="7"/>
  <c r="Z296" i="7"/>
  <c r="AF276" i="7"/>
  <c r="AJ276" i="7"/>
  <c r="AG277" i="7"/>
  <c r="AN276" i="7"/>
  <c r="S277" i="7"/>
  <c r="AC277" i="7"/>
  <c r="A277" i="7"/>
  <c r="AK277" i="7"/>
  <c r="AI118" i="7"/>
  <c r="AI119" i="7" s="1"/>
  <c r="AI120" i="7" s="1"/>
  <c r="AI73" i="7"/>
  <c r="AI74" i="7" s="1"/>
  <c r="AI75" i="7" s="1"/>
  <c r="AI76" i="7" s="1"/>
  <c r="AI41" i="7"/>
  <c r="AI18" i="7"/>
  <c r="AI19" i="7" s="1"/>
  <c r="AI20" i="7" s="1"/>
  <c r="AI21" i="7" s="1"/>
  <c r="AI22" i="7" s="1"/>
  <c r="AI23" i="7" s="1"/>
  <c r="AI24" i="7" s="1"/>
  <c r="AI25" i="7" s="1"/>
  <c r="AI26" i="7" s="1"/>
  <c r="AI27" i="7" s="1"/>
  <c r="AI28" i="7" s="1"/>
  <c r="AI29" i="7" s="1"/>
  <c r="AI30" i="7" s="1"/>
  <c r="AI31" i="7" s="1"/>
  <c r="AI13" i="7"/>
  <c r="BL275" i="7" s="1"/>
  <c r="BL265" i="7" l="1"/>
  <c r="BL266" i="7"/>
  <c r="BL267" i="7"/>
  <c r="BL268" i="7"/>
  <c r="BL60" i="7"/>
  <c r="BL45" i="7"/>
  <c r="BL62" i="7"/>
  <c r="BL61" i="7"/>
  <c r="BL59" i="7"/>
  <c r="BL269" i="7"/>
  <c r="BL270" i="7"/>
  <c r="BL271" i="7"/>
  <c r="BL272" i="7"/>
  <c r="BL273" i="7"/>
  <c r="BL274" i="7"/>
  <c r="Z297" i="7"/>
  <c r="R298" i="7"/>
  <c r="X277" i="7"/>
  <c r="BL276" i="7"/>
  <c r="AI277" i="7"/>
  <c r="L394" i="7"/>
  <c r="A393" i="7"/>
  <c r="AK278" i="7"/>
  <c r="AC278" i="7"/>
  <c r="S278" i="7"/>
  <c r="AG278" i="7"/>
  <c r="AF277" i="7"/>
  <c r="AE277" i="7"/>
  <c r="W277" i="7"/>
  <c r="AM277" i="7"/>
  <c r="AH297" i="7"/>
  <c r="AP297" i="7"/>
  <c r="AB277" i="7"/>
  <c r="Q278" i="7"/>
  <c r="U278" i="7"/>
  <c r="Y278" i="7"/>
  <c r="T277" i="7"/>
  <c r="A352" i="7"/>
  <c r="AA278" i="7"/>
  <c r="P277" i="7"/>
  <c r="A278" i="7"/>
  <c r="AN277" i="7"/>
  <c r="AJ277" i="7"/>
  <c r="V297" i="7"/>
  <c r="AL297" i="7"/>
  <c r="AD299" i="7"/>
  <c r="BL120" i="7"/>
  <c r="BL118" i="7"/>
  <c r="BL17" i="7"/>
  <c r="BL19" i="7"/>
  <c r="BL41" i="7"/>
  <c r="BL74" i="7"/>
  <c r="BL76" i="7"/>
  <c r="AI77" i="7"/>
  <c r="BL21" i="7"/>
  <c r="BL42" i="7"/>
  <c r="AI121" i="7"/>
  <c r="BL18" i="7"/>
  <c r="BL73" i="7"/>
  <c r="BL20" i="7"/>
  <c r="BL75" i="7"/>
  <c r="BL119" i="7"/>
  <c r="A353" i="7" l="1"/>
  <c r="AP298" i="7"/>
  <c r="AM278" i="7"/>
  <c r="AG279" i="7"/>
  <c r="AC279" i="7"/>
  <c r="X278" i="7"/>
  <c r="AJ278" i="7"/>
  <c r="T278" i="7"/>
  <c r="U279" i="7"/>
  <c r="AB278" i="7"/>
  <c r="AE278" i="7"/>
  <c r="L395" i="7"/>
  <c r="A394" i="7"/>
  <c r="R299" i="7"/>
  <c r="AL298" i="7"/>
  <c r="AA279" i="7"/>
  <c r="AH298" i="7"/>
  <c r="AF278" i="7"/>
  <c r="S279" i="7"/>
  <c r="AK279" i="7"/>
  <c r="BL277" i="7"/>
  <c r="AI278" i="7"/>
  <c r="V298" i="7"/>
  <c r="AD300" i="7"/>
  <c r="AN278" i="7"/>
  <c r="A279" i="7"/>
  <c r="P278" i="7"/>
  <c r="Y279" i="7"/>
  <c r="Q279" i="7"/>
  <c r="W278" i="7"/>
  <c r="Z298" i="7"/>
  <c r="BL43" i="7"/>
  <c r="BL22" i="7"/>
  <c r="BL121" i="7"/>
  <c r="AI122" i="7"/>
  <c r="BL44" i="7"/>
  <c r="BL77" i="7"/>
  <c r="AI78" i="7"/>
  <c r="Z299" i="7" l="1"/>
  <c r="Q280" i="7"/>
  <c r="P279" i="7"/>
  <c r="AN279" i="7"/>
  <c r="AH299" i="7"/>
  <c r="AE279" i="7"/>
  <c r="U280" i="7"/>
  <c r="AG280" i="7"/>
  <c r="V299" i="7"/>
  <c r="S280" i="7"/>
  <c r="R300" i="7"/>
  <c r="AP299" i="7"/>
  <c r="W279" i="7"/>
  <c r="Y280" i="7"/>
  <c r="A280" i="7"/>
  <c r="AK280" i="7"/>
  <c r="AF279" i="7"/>
  <c r="AB279" i="7"/>
  <c r="T279" i="7"/>
  <c r="AJ279" i="7"/>
  <c r="AC280" i="7"/>
  <c r="AM279" i="7"/>
  <c r="AI279" i="7"/>
  <c r="BL278" i="7"/>
  <c r="X279" i="7"/>
  <c r="AD301" i="7"/>
  <c r="AA280" i="7"/>
  <c r="AL299" i="7"/>
  <c r="A395" i="7"/>
  <c r="L396" i="7"/>
  <c r="A354" i="7"/>
  <c r="BL78" i="7"/>
  <c r="AI79" i="7"/>
  <c r="BL46" i="7"/>
  <c r="BL122" i="7"/>
  <c r="AI123" i="7"/>
  <c r="BL23" i="7"/>
  <c r="AH118" i="7"/>
  <c r="AH119" i="7" s="1"/>
  <c r="AH120" i="7" s="1"/>
  <c r="AH121" i="7" s="1"/>
  <c r="AH122" i="7" s="1"/>
  <c r="AH123" i="7" s="1"/>
  <c r="AH124" i="7" s="1"/>
  <c r="AH125" i="7" s="1"/>
  <c r="AH126" i="7" s="1"/>
  <c r="AH127" i="7" s="1"/>
  <c r="AH128" i="7" s="1"/>
  <c r="AH129" i="7" s="1"/>
  <c r="AH130" i="7" s="1"/>
  <c r="AH131" i="7" s="1"/>
  <c r="AH132" i="7" s="1"/>
  <c r="AH133" i="7" s="1"/>
  <c r="AH134" i="7" s="1"/>
  <c r="AH135" i="7" s="1"/>
  <c r="AH136" i="7" s="1"/>
  <c r="AH137" i="7" s="1"/>
  <c r="AH138" i="7" s="1"/>
  <c r="AH139" i="7" s="1"/>
  <c r="AH140" i="7" s="1"/>
  <c r="AH141" i="7" s="1"/>
  <c r="AH142" i="7" s="1"/>
  <c r="AH143" i="7" s="1"/>
  <c r="AH144" i="7" s="1"/>
  <c r="AH145" i="7" s="1"/>
  <c r="AH146" i="7" s="1"/>
  <c r="AH147" i="7" s="1"/>
  <c r="AH148" i="7" s="1"/>
  <c r="AH149" i="7" s="1"/>
  <c r="AH150" i="7" s="1"/>
  <c r="AH151" i="7" s="1"/>
  <c r="AH152" i="7" s="1"/>
  <c r="AH153" i="7" s="1"/>
  <c r="AH154" i="7" s="1"/>
  <c r="AH155" i="7" s="1"/>
  <c r="AH156" i="7" s="1"/>
  <c r="AH157" i="7" s="1"/>
  <c r="AH158" i="7" s="1"/>
  <c r="AH159" i="7" s="1"/>
  <c r="AH160" i="7" s="1"/>
  <c r="AH161" i="7" s="1"/>
  <c r="AH162" i="7" s="1"/>
  <c r="AH163" i="7" s="1"/>
  <c r="AH164" i="7" s="1"/>
  <c r="AH165" i="7" s="1"/>
  <c r="AH166" i="7" s="1"/>
  <c r="AH167" i="7" s="1"/>
  <c r="AH168" i="7" s="1"/>
  <c r="AH169" i="7" s="1"/>
  <c r="AH170" i="7" s="1"/>
  <c r="AH171" i="7" s="1"/>
  <c r="AH172" i="7" s="1"/>
  <c r="AH173" i="7" s="1"/>
  <c r="AH174" i="7" s="1"/>
  <c r="AH175" i="7" s="1"/>
  <c r="AH176" i="7" s="1"/>
  <c r="AH177" i="7" s="1"/>
  <c r="AH178" i="7" s="1"/>
  <c r="AH179" i="7" s="1"/>
  <c r="AH180" i="7" s="1"/>
  <c r="AH181" i="7" s="1"/>
  <c r="AH182" i="7" s="1"/>
  <c r="AH183" i="7" s="1"/>
  <c r="AH184" i="7" s="1"/>
  <c r="AH185" i="7" s="1"/>
  <c r="AH186" i="7" s="1"/>
  <c r="AH187" i="7" s="1"/>
  <c r="AH188" i="7" s="1"/>
  <c r="AH189" i="7" s="1"/>
  <c r="AH190" i="7" s="1"/>
  <c r="AH191" i="7" s="1"/>
  <c r="AH192" i="7" s="1"/>
  <c r="AH193" i="7" s="1"/>
  <c r="AH194" i="7" s="1"/>
  <c r="AH195" i="7" s="1"/>
  <c r="AH196" i="7" s="1"/>
  <c r="AH197" i="7" s="1"/>
  <c r="AH198" i="7" s="1"/>
  <c r="AH199" i="7" s="1"/>
  <c r="AH200" i="7" s="1"/>
  <c r="AH201" i="7" s="1"/>
  <c r="AH202" i="7" s="1"/>
  <c r="AH203" i="7" s="1"/>
  <c r="AH204" i="7" s="1"/>
  <c r="AH205" i="7" s="1"/>
  <c r="AH206" i="7" s="1"/>
  <c r="AH207" i="7" s="1"/>
  <c r="AH208" i="7" s="1"/>
  <c r="AH209" i="7" s="1"/>
  <c r="AH210" i="7" s="1"/>
  <c r="AH211" i="7" s="1"/>
  <c r="AH212" i="7" s="1"/>
  <c r="AH213" i="7" s="1"/>
  <c r="AH214" i="7" s="1"/>
  <c r="AH215" i="7" s="1"/>
  <c r="AH216" i="7" s="1"/>
  <c r="AH217" i="7" s="1"/>
  <c r="AH218" i="7" s="1"/>
  <c r="AH219" i="7" s="1"/>
  <c r="AH220" i="7" s="1"/>
  <c r="AH221" i="7" s="1"/>
  <c r="AH222" i="7" s="1"/>
  <c r="AH223" i="7" s="1"/>
  <c r="AH224" i="7" s="1"/>
  <c r="AH225" i="7" s="1"/>
  <c r="AH226" i="7" s="1"/>
  <c r="AH227" i="7" s="1"/>
  <c r="AH228" i="7" s="1"/>
  <c r="AH229" i="7" s="1"/>
  <c r="AH230" i="7" s="1"/>
  <c r="AH231" i="7" s="1"/>
  <c r="AH232" i="7" s="1"/>
  <c r="AH233" i="7" s="1"/>
  <c r="AH234" i="7" s="1"/>
  <c r="AH235" i="7" s="1"/>
  <c r="AH236" i="7" s="1"/>
  <c r="AH237" i="7" s="1"/>
  <c r="AH238" i="7" s="1"/>
  <c r="AH239" i="7" s="1"/>
  <c r="AH240" i="7" s="1"/>
  <c r="AH241" i="7" s="1"/>
  <c r="AH242" i="7" s="1"/>
  <c r="AH243" i="7" s="1"/>
  <c r="AH244" i="7" s="1"/>
  <c r="AH245" i="7" s="1"/>
  <c r="AH246" i="7" s="1"/>
  <c r="AH247" i="7" s="1"/>
  <c r="AH248" i="7" s="1"/>
  <c r="AH249" i="7" s="1"/>
  <c r="AH250" i="7" s="1"/>
  <c r="AH251" i="7" s="1"/>
  <c r="AH252" i="7" s="1"/>
  <c r="AH253" i="7" s="1"/>
  <c r="AH254" i="7" s="1"/>
  <c r="AH255" i="7" s="1"/>
  <c r="AH73" i="7"/>
  <c r="AH74" i="7" s="1"/>
  <c r="AH75" i="7" s="1"/>
  <c r="AH76" i="7" s="1"/>
  <c r="AH77" i="7" s="1"/>
  <c r="AH78" i="7" s="1"/>
  <c r="AH79" i="7" s="1"/>
  <c r="AH80" i="7" s="1"/>
  <c r="AH81" i="7" s="1"/>
  <c r="AH82" i="7" s="1"/>
  <c r="AH83" i="7" s="1"/>
  <c r="AH84" i="7" s="1"/>
  <c r="AH85" i="7" s="1"/>
  <c r="AH86" i="7" s="1"/>
  <c r="AH87" i="7" s="1"/>
  <c r="AH88" i="7" s="1"/>
  <c r="AH89" i="7" s="1"/>
  <c r="AH90" i="7" s="1"/>
  <c r="AH91" i="7" s="1"/>
  <c r="AH92" i="7" s="1"/>
  <c r="AH93" i="7" s="1"/>
  <c r="AH94" i="7" s="1"/>
  <c r="AH95" i="7" s="1"/>
  <c r="AH96" i="7" s="1"/>
  <c r="AH97" i="7" s="1"/>
  <c r="AH98" i="7" s="1"/>
  <c r="AH99" i="7" s="1"/>
  <c r="AH100" i="7" s="1"/>
  <c r="AH101" i="7" s="1"/>
  <c r="AH102" i="7" s="1"/>
  <c r="AH103" i="7" s="1"/>
  <c r="AH104" i="7" s="1"/>
  <c r="AH105" i="7" s="1"/>
  <c r="AH106" i="7" s="1"/>
  <c r="AH107" i="7" s="1"/>
  <c r="AH108" i="7" s="1"/>
  <c r="BK108" i="7" s="1"/>
  <c r="AH41" i="7"/>
  <c r="AH18" i="7"/>
  <c r="AH19" i="7" s="1"/>
  <c r="AH20" i="7" s="1"/>
  <c r="AH21" i="7" s="1"/>
  <c r="AH22" i="7" s="1"/>
  <c r="AH23" i="7" s="1"/>
  <c r="AH24" i="7" s="1"/>
  <c r="AH25" i="7" s="1"/>
  <c r="AH26" i="7" s="1"/>
  <c r="AH27" i="7" s="1"/>
  <c r="AH28" i="7" s="1"/>
  <c r="AH29" i="7" s="1"/>
  <c r="AH30" i="7" s="1"/>
  <c r="AH31" i="7" s="1"/>
  <c r="AH13" i="7"/>
  <c r="AG118" i="7"/>
  <c r="AG119" i="7" s="1"/>
  <c r="AG120" i="7" s="1"/>
  <c r="AG121" i="7" s="1"/>
  <c r="AG122" i="7" s="1"/>
  <c r="AG123" i="7" s="1"/>
  <c r="AG124" i="7" s="1"/>
  <c r="AG125" i="7" s="1"/>
  <c r="AG126" i="7" s="1"/>
  <c r="AG127" i="7" s="1"/>
  <c r="AG128" i="7" s="1"/>
  <c r="AG129" i="7" s="1"/>
  <c r="AG130" i="7" s="1"/>
  <c r="AG131" i="7" s="1"/>
  <c r="AG132" i="7" s="1"/>
  <c r="AG133" i="7" s="1"/>
  <c r="AG134" i="7" s="1"/>
  <c r="AG135" i="7" s="1"/>
  <c r="AG136" i="7" s="1"/>
  <c r="AG137" i="7" s="1"/>
  <c r="AG138" i="7" s="1"/>
  <c r="AG139" i="7" s="1"/>
  <c r="AG140" i="7" s="1"/>
  <c r="AG141" i="7" s="1"/>
  <c r="AG142" i="7" s="1"/>
  <c r="AG143" i="7" s="1"/>
  <c r="AG144" i="7" s="1"/>
  <c r="AG145" i="7" s="1"/>
  <c r="AG146" i="7" s="1"/>
  <c r="AG147" i="7" s="1"/>
  <c r="AG148" i="7" s="1"/>
  <c r="AG149" i="7" s="1"/>
  <c r="AG150" i="7" s="1"/>
  <c r="AG151" i="7" s="1"/>
  <c r="AG152" i="7" s="1"/>
  <c r="AG153" i="7" s="1"/>
  <c r="AG154" i="7" s="1"/>
  <c r="AG155" i="7" s="1"/>
  <c r="AG156" i="7" s="1"/>
  <c r="AG157" i="7" s="1"/>
  <c r="AG158" i="7" s="1"/>
  <c r="AG159" i="7" s="1"/>
  <c r="AG160" i="7" s="1"/>
  <c r="AG161" i="7" s="1"/>
  <c r="AG162" i="7" s="1"/>
  <c r="AG163" i="7" s="1"/>
  <c r="AG164" i="7" s="1"/>
  <c r="AG165" i="7" s="1"/>
  <c r="AG166" i="7" s="1"/>
  <c r="AG167" i="7" s="1"/>
  <c r="AG168" i="7" s="1"/>
  <c r="AG169" i="7" s="1"/>
  <c r="AG170" i="7" s="1"/>
  <c r="AG171" i="7" s="1"/>
  <c r="AG172" i="7" s="1"/>
  <c r="AG173" i="7" s="1"/>
  <c r="AG174" i="7" s="1"/>
  <c r="AG175" i="7" s="1"/>
  <c r="AG176" i="7" s="1"/>
  <c r="AG177" i="7" s="1"/>
  <c r="AG178" i="7" s="1"/>
  <c r="AG179" i="7" s="1"/>
  <c r="AG180" i="7" s="1"/>
  <c r="AG181" i="7" s="1"/>
  <c r="AG182" i="7" s="1"/>
  <c r="AG183" i="7" s="1"/>
  <c r="AG184" i="7" s="1"/>
  <c r="AG185" i="7" s="1"/>
  <c r="AG186" i="7" s="1"/>
  <c r="AG187" i="7" s="1"/>
  <c r="AG188" i="7" s="1"/>
  <c r="AG189" i="7" s="1"/>
  <c r="AG190" i="7" s="1"/>
  <c r="AG191" i="7" s="1"/>
  <c r="AG192" i="7" s="1"/>
  <c r="AG193" i="7" s="1"/>
  <c r="AG194" i="7" s="1"/>
  <c r="AG195" i="7" s="1"/>
  <c r="AG196" i="7" s="1"/>
  <c r="AG197" i="7" s="1"/>
  <c r="AG198" i="7" s="1"/>
  <c r="AG199" i="7" s="1"/>
  <c r="AG200" i="7" s="1"/>
  <c r="AG201" i="7" s="1"/>
  <c r="AG202" i="7" s="1"/>
  <c r="AG203" i="7" s="1"/>
  <c r="AG204" i="7" s="1"/>
  <c r="AG205" i="7" s="1"/>
  <c r="AG206" i="7" s="1"/>
  <c r="AG207" i="7" s="1"/>
  <c r="AG208" i="7" s="1"/>
  <c r="AG209" i="7" s="1"/>
  <c r="AG210" i="7" s="1"/>
  <c r="AG211" i="7" s="1"/>
  <c r="AG212" i="7" s="1"/>
  <c r="AG213" i="7" s="1"/>
  <c r="AG214" i="7" s="1"/>
  <c r="AG215" i="7" s="1"/>
  <c r="AG216" i="7" s="1"/>
  <c r="AG217" i="7" s="1"/>
  <c r="AG218" i="7" s="1"/>
  <c r="AG219" i="7" s="1"/>
  <c r="AG220" i="7" s="1"/>
  <c r="AG221" i="7" s="1"/>
  <c r="AG222" i="7" s="1"/>
  <c r="AG223" i="7" s="1"/>
  <c r="AG224" i="7" s="1"/>
  <c r="AG225" i="7" s="1"/>
  <c r="AG226" i="7" s="1"/>
  <c r="AG227" i="7" s="1"/>
  <c r="AG228" i="7" s="1"/>
  <c r="AG229" i="7" s="1"/>
  <c r="AG230" i="7" s="1"/>
  <c r="AG231" i="7" s="1"/>
  <c r="AG232" i="7" s="1"/>
  <c r="AG233" i="7" s="1"/>
  <c r="AG234" i="7" s="1"/>
  <c r="AG235" i="7" s="1"/>
  <c r="AG236" i="7" s="1"/>
  <c r="AG237" i="7" s="1"/>
  <c r="AG238" i="7" s="1"/>
  <c r="AG239" i="7" s="1"/>
  <c r="AG240" i="7" s="1"/>
  <c r="AG241" i="7" s="1"/>
  <c r="AG242" i="7" s="1"/>
  <c r="AG243" i="7" s="1"/>
  <c r="AG244" i="7" s="1"/>
  <c r="AG245" i="7" s="1"/>
  <c r="AG246" i="7" s="1"/>
  <c r="AG247" i="7" s="1"/>
  <c r="AG248" i="7" s="1"/>
  <c r="AG249" i="7" s="1"/>
  <c r="AG250" i="7" s="1"/>
  <c r="AG251" i="7" s="1"/>
  <c r="AG252" i="7" s="1"/>
  <c r="AG253" i="7" s="1"/>
  <c r="AG254" i="7" s="1"/>
  <c r="AG255" i="7" s="1"/>
  <c r="AG73" i="7"/>
  <c r="AG74" i="7" s="1"/>
  <c r="AG75" i="7" s="1"/>
  <c r="AG76" i="7" s="1"/>
  <c r="AG77" i="7" s="1"/>
  <c r="AG78" i="7" s="1"/>
  <c r="AG79" i="7" s="1"/>
  <c r="AG80" i="7" s="1"/>
  <c r="AG81" i="7" s="1"/>
  <c r="AG82" i="7" s="1"/>
  <c r="AG83" i="7" s="1"/>
  <c r="AG84" i="7" s="1"/>
  <c r="AG85" i="7" s="1"/>
  <c r="AG86" i="7" s="1"/>
  <c r="AG87" i="7" s="1"/>
  <c r="AG88" i="7" s="1"/>
  <c r="AG89" i="7" s="1"/>
  <c r="AG90" i="7" s="1"/>
  <c r="AG91" i="7" s="1"/>
  <c r="AG92" i="7" s="1"/>
  <c r="AG93" i="7" s="1"/>
  <c r="AG94" i="7" s="1"/>
  <c r="AG95" i="7" s="1"/>
  <c r="AG96" i="7" s="1"/>
  <c r="AG97" i="7" s="1"/>
  <c r="AG98" i="7" s="1"/>
  <c r="AG99" i="7" s="1"/>
  <c r="AG100" i="7" s="1"/>
  <c r="AG101" i="7" s="1"/>
  <c r="AG102" i="7" s="1"/>
  <c r="AG103" i="7" s="1"/>
  <c r="AG104" i="7" s="1"/>
  <c r="AG105" i="7" s="1"/>
  <c r="AG106" i="7" s="1"/>
  <c r="AG107" i="7" s="1"/>
  <c r="AG108" i="7" s="1"/>
  <c r="AG41" i="7"/>
  <c r="AG18" i="7"/>
  <c r="AG19" i="7" s="1"/>
  <c r="AG20" i="7" s="1"/>
  <c r="AG21" i="7" s="1"/>
  <c r="AG22" i="7" s="1"/>
  <c r="AG23" i="7" s="1"/>
  <c r="AG24" i="7" s="1"/>
  <c r="AG25" i="7" s="1"/>
  <c r="AG26" i="7" s="1"/>
  <c r="AG27" i="7" s="1"/>
  <c r="AG28" i="7" s="1"/>
  <c r="AG29" i="7" s="1"/>
  <c r="AG30" i="7" s="1"/>
  <c r="AG31" i="7" s="1"/>
  <c r="AG13" i="7"/>
  <c r="AF118" i="7"/>
  <c r="AF119" i="7" s="1"/>
  <c r="AF120" i="7" s="1"/>
  <c r="AF121" i="7" s="1"/>
  <c r="AF122" i="7" s="1"/>
  <c r="AF123" i="7" s="1"/>
  <c r="AF124" i="7" s="1"/>
  <c r="AF125" i="7" s="1"/>
  <c r="AF126" i="7" s="1"/>
  <c r="AF127" i="7" s="1"/>
  <c r="AF128" i="7" s="1"/>
  <c r="AF129" i="7" s="1"/>
  <c r="AF130" i="7" s="1"/>
  <c r="AF131" i="7" s="1"/>
  <c r="AF132" i="7" s="1"/>
  <c r="AF133" i="7" s="1"/>
  <c r="AF134" i="7" s="1"/>
  <c r="AF135" i="7" s="1"/>
  <c r="AF136" i="7" s="1"/>
  <c r="AF137" i="7" s="1"/>
  <c r="AF138" i="7" s="1"/>
  <c r="AF139" i="7" s="1"/>
  <c r="AF140" i="7" s="1"/>
  <c r="AF141" i="7" s="1"/>
  <c r="AF142" i="7" s="1"/>
  <c r="AF143" i="7" s="1"/>
  <c r="AF144" i="7" s="1"/>
  <c r="AF145" i="7" s="1"/>
  <c r="AF146" i="7" s="1"/>
  <c r="AF147" i="7" s="1"/>
  <c r="AF148" i="7" s="1"/>
  <c r="AF149" i="7" s="1"/>
  <c r="AF150" i="7" s="1"/>
  <c r="AF151" i="7" s="1"/>
  <c r="AF152" i="7" s="1"/>
  <c r="AF153" i="7" s="1"/>
  <c r="AF154" i="7" s="1"/>
  <c r="AF155" i="7" s="1"/>
  <c r="AF156" i="7" s="1"/>
  <c r="AF157" i="7" s="1"/>
  <c r="AF158" i="7" s="1"/>
  <c r="AF159" i="7" s="1"/>
  <c r="AF160" i="7" s="1"/>
  <c r="AF161" i="7" s="1"/>
  <c r="AF162" i="7" s="1"/>
  <c r="AF163" i="7" s="1"/>
  <c r="AF164" i="7" s="1"/>
  <c r="AF165" i="7" s="1"/>
  <c r="AF166" i="7" s="1"/>
  <c r="AF167" i="7" s="1"/>
  <c r="AF168" i="7" s="1"/>
  <c r="AF169" i="7" s="1"/>
  <c r="AF170" i="7" s="1"/>
  <c r="AF171" i="7" s="1"/>
  <c r="AF172" i="7" s="1"/>
  <c r="AF173" i="7" s="1"/>
  <c r="AF174" i="7" s="1"/>
  <c r="AF175" i="7" s="1"/>
  <c r="AF176" i="7" s="1"/>
  <c r="AF177" i="7" s="1"/>
  <c r="AF178" i="7" s="1"/>
  <c r="AF179" i="7" s="1"/>
  <c r="AF180" i="7" s="1"/>
  <c r="AF181" i="7" s="1"/>
  <c r="AF182" i="7" s="1"/>
  <c r="AF183" i="7" s="1"/>
  <c r="AF184" i="7" s="1"/>
  <c r="AF185" i="7" s="1"/>
  <c r="AF186" i="7" s="1"/>
  <c r="AF187" i="7" s="1"/>
  <c r="AF188" i="7" s="1"/>
  <c r="AF189" i="7" s="1"/>
  <c r="AF190" i="7" s="1"/>
  <c r="AF191" i="7" s="1"/>
  <c r="AF192" i="7" s="1"/>
  <c r="AF193" i="7" s="1"/>
  <c r="AF194" i="7" s="1"/>
  <c r="AF195" i="7" s="1"/>
  <c r="AF196" i="7" s="1"/>
  <c r="AF197" i="7" s="1"/>
  <c r="AF198" i="7" s="1"/>
  <c r="AF199" i="7" s="1"/>
  <c r="AF200" i="7" s="1"/>
  <c r="AF201" i="7" s="1"/>
  <c r="AF202" i="7" s="1"/>
  <c r="AF203" i="7" s="1"/>
  <c r="AF204" i="7" s="1"/>
  <c r="AF205" i="7" s="1"/>
  <c r="AF206" i="7" s="1"/>
  <c r="AF207" i="7" s="1"/>
  <c r="AF208" i="7" s="1"/>
  <c r="AF209" i="7" s="1"/>
  <c r="AF210" i="7" s="1"/>
  <c r="AF211" i="7" s="1"/>
  <c r="AF212" i="7" s="1"/>
  <c r="AF213" i="7" s="1"/>
  <c r="AF214" i="7" s="1"/>
  <c r="AF215" i="7" s="1"/>
  <c r="AF216" i="7" s="1"/>
  <c r="AF217" i="7" s="1"/>
  <c r="AF218" i="7" s="1"/>
  <c r="AF219" i="7" s="1"/>
  <c r="AF220" i="7" s="1"/>
  <c r="AF221" i="7" s="1"/>
  <c r="AF222" i="7" s="1"/>
  <c r="AF223" i="7" s="1"/>
  <c r="AF224" i="7" s="1"/>
  <c r="AF225" i="7" s="1"/>
  <c r="AF226" i="7" s="1"/>
  <c r="AF227" i="7" s="1"/>
  <c r="AF228" i="7" s="1"/>
  <c r="AF229" i="7" s="1"/>
  <c r="AF230" i="7" s="1"/>
  <c r="AF231" i="7" s="1"/>
  <c r="AF232" i="7" s="1"/>
  <c r="AF233" i="7" s="1"/>
  <c r="AF234" i="7" s="1"/>
  <c r="AF235" i="7" s="1"/>
  <c r="AF236" i="7" s="1"/>
  <c r="AF237" i="7" s="1"/>
  <c r="AF238" i="7" s="1"/>
  <c r="AF239" i="7" s="1"/>
  <c r="AF240" i="7" s="1"/>
  <c r="AF241" i="7" s="1"/>
  <c r="AF242" i="7" s="1"/>
  <c r="AF243" i="7" s="1"/>
  <c r="AF244" i="7" s="1"/>
  <c r="AF245" i="7" s="1"/>
  <c r="AF246" i="7" s="1"/>
  <c r="AF247" i="7" s="1"/>
  <c r="AF248" i="7" s="1"/>
  <c r="AF249" i="7" s="1"/>
  <c r="AF250" i="7" s="1"/>
  <c r="AF251" i="7" s="1"/>
  <c r="AF252" i="7" s="1"/>
  <c r="AF253" i="7" s="1"/>
  <c r="AF254" i="7" s="1"/>
  <c r="AF255" i="7" s="1"/>
  <c r="AF73" i="7"/>
  <c r="AF74" i="7" s="1"/>
  <c r="AF75" i="7" s="1"/>
  <c r="AF76" i="7" s="1"/>
  <c r="AF77" i="7" s="1"/>
  <c r="AF78" i="7" s="1"/>
  <c r="AF79" i="7" s="1"/>
  <c r="AF80" i="7" s="1"/>
  <c r="AF81" i="7" s="1"/>
  <c r="AF82" i="7" s="1"/>
  <c r="AF83" i="7" s="1"/>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BI108" i="7" s="1"/>
  <c r="AF41" i="7"/>
  <c r="AF18" i="7"/>
  <c r="AF19" i="7" s="1"/>
  <c r="AF20" i="7" s="1"/>
  <c r="AF21" i="7" s="1"/>
  <c r="AF22" i="7" s="1"/>
  <c r="AF23" i="7" s="1"/>
  <c r="AF24" i="7" s="1"/>
  <c r="AF25" i="7" s="1"/>
  <c r="AF26" i="7" s="1"/>
  <c r="AF27" i="7" s="1"/>
  <c r="AF28" i="7" s="1"/>
  <c r="AF29" i="7" s="1"/>
  <c r="AF30" i="7" s="1"/>
  <c r="AF31" i="7" s="1"/>
  <c r="AF13" i="7"/>
  <c r="BI278" i="7" s="1"/>
  <c r="AE118" i="7"/>
  <c r="AE73" i="7"/>
  <c r="AE74" i="7" s="1"/>
  <c r="AE41" i="7"/>
  <c r="AE18" i="7"/>
  <c r="AE19" i="7" s="1"/>
  <c r="AE20" i="7" s="1"/>
  <c r="AE21" i="7" s="1"/>
  <c r="AE22" i="7" s="1"/>
  <c r="AE23" i="7" s="1"/>
  <c r="AE24" i="7" s="1"/>
  <c r="AE25" i="7" s="1"/>
  <c r="AE26" i="7" s="1"/>
  <c r="AE27" i="7" s="1"/>
  <c r="AE28" i="7" s="1"/>
  <c r="AE29" i="7" s="1"/>
  <c r="AE30" i="7" s="1"/>
  <c r="AE31" i="7" s="1"/>
  <c r="AE13" i="7"/>
  <c r="BH278" i="7" s="1"/>
  <c r="BJ265" i="7" l="1"/>
  <c r="BJ266" i="7"/>
  <c r="BJ267" i="7"/>
  <c r="BJ268" i="7"/>
  <c r="BJ269" i="7"/>
  <c r="BJ59" i="7"/>
  <c r="BJ62" i="7"/>
  <c r="BJ60" i="7"/>
  <c r="BJ45" i="7"/>
  <c r="BJ270" i="7"/>
  <c r="BJ61" i="7"/>
  <c r="BJ271" i="7"/>
  <c r="BJ106" i="7"/>
  <c r="BJ272" i="7"/>
  <c r="BJ107" i="7"/>
  <c r="BJ273" i="7"/>
  <c r="BJ274" i="7"/>
  <c r="BJ275" i="7"/>
  <c r="BJ276" i="7"/>
  <c r="BJ277" i="7"/>
  <c r="BJ278" i="7"/>
  <c r="BJ108" i="7"/>
  <c r="BI265" i="7"/>
  <c r="BI266" i="7"/>
  <c r="BI267" i="7"/>
  <c r="BI268" i="7"/>
  <c r="BI61" i="7"/>
  <c r="BI269" i="7"/>
  <c r="BI59" i="7"/>
  <c r="BI62" i="7"/>
  <c r="BI60" i="7"/>
  <c r="BI45" i="7"/>
  <c r="BI270" i="7"/>
  <c r="BI106" i="7"/>
  <c r="BI107" i="7"/>
  <c r="BI271" i="7"/>
  <c r="BI272" i="7"/>
  <c r="BI273" i="7"/>
  <c r="BI274" i="7"/>
  <c r="BI275" i="7"/>
  <c r="BI276" i="7"/>
  <c r="BI277" i="7"/>
  <c r="BK283" i="7"/>
  <c r="BK278" i="7"/>
  <c r="BK282" i="7"/>
  <c r="BK274" i="7"/>
  <c r="BK266" i="7"/>
  <c r="BK275" i="7"/>
  <c r="BK267" i="7"/>
  <c r="BK271" i="7"/>
  <c r="BK265" i="7"/>
  <c r="BK279" i="7"/>
  <c r="BK270" i="7"/>
  <c r="BK284" i="7"/>
  <c r="BK280" i="7"/>
  <c r="BK281" i="7"/>
  <c r="BK276" i="7"/>
  <c r="BK277" i="7"/>
  <c r="BK285" i="7"/>
  <c r="BK272" i="7"/>
  <c r="BK273" i="7"/>
  <c r="BK268" i="7"/>
  <c r="BK269" i="7"/>
  <c r="BK286" i="7"/>
  <c r="BK287" i="7"/>
  <c r="BK288" i="7"/>
  <c r="BK289" i="7"/>
  <c r="BK62" i="7"/>
  <c r="BK60" i="7"/>
  <c r="BK59" i="7"/>
  <c r="BK45" i="7"/>
  <c r="BK61" i="7"/>
  <c r="BK290" i="7"/>
  <c r="BK107" i="7"/>
  <c r="BK106" i="7"/>
  <c r="BK291" i="7"/>
  <c r="BK292" i="7"/>
  <c r="BK293" i="7"/>
  <c r="BK294" i="7"/>
  <c r="BK295" i="7"/>
  <c r="BK296" i="7"/>
  <c r="BK297" i="7"/>
  <c r="BK298" i="7"/>
  <c r="BH265" i="7"/>
  <c r="BH266" i="7"/>
  <c r="BH267" i="7"/>
  <c r="BH268" i="7"/>
  <c r="BH61" i="7"/>
  <c r="BH269" i="7"/>
  <c r="BH59" i="7"/>
  <c r="BH62" i="7"/>
  <c r="BH60" i="7"/>
  <c r="BH45" i="7"/>
  <c r="BH270" i="7"/>
  <c r="BH271" i="7"/>
  <c r="BH272" i="7"/>
  <c r="BH273" i="7"/>
  <c r="BH274" i="7"/>
  <c r="BH275" i="7"/>
  <c r="BH276" i="7"/>
  <c r="BH277" i="7"/>
  <c r="BJ279" i="7"/>
  <c r="A355" i="7"/>
  <c r="AD302" i="7"/>
  <c r="V300" i="7"/>
  <c r="BH279" i="7"/>
  <c r="AE280" i="7"/>
  <c r="AN280" i="7"/>
  <c r="Q281" i="7"/>
  <c r="A396" i="7"/>
  <c r="L397" i="7"/>
  <c r="X280" i="7"/>
  <c r="AM280" i="7"/>
  <c r="AJ280" i="7"/>
  <c r="AB280" i="7"/>
  <c r="AK281" i="7"/>
  <c r="A281" i="7"/>
  <c r="W280" i="7"/>
  <c r="S281" i="7"/>
  <c r="AA281" i="7"/>
  <c r="R301" i="7"/>
  <c r="BJ280" i="7"/>
  <c r="AG281" i="7"/>
  <c r="U281" i="7"/>
  <c r="P280" i="7"/>
  <c r="AL300" i="7"/>
  <c r="AI280" i="7"/>
  <c r="BL279" i="7"/>
  <c r="AP300" i="7"/>
  <c r="AC281" i="7"/>
  <c r="T280" i="7"/>
  <c r="BI279" i="7"/>
  <c r="AF280" i="7"/>
  <c r="Y281" i="7"/>
  <c r="AH300" i="7"/>
  <c r="BK299" i="7"/>
  <c r="Z300" i="7"/>
  <c r="BH17" i="7"/>
  <c r="BK56" i="7"/>
  <c r="BJ24" i="7"/>
  <c r="BK54" i="7"/>
  <c r="BK41" i="7"/>
  <c r="BL24" i="7"/>
  <c r="AI124" i="7"/>
  <c r="BL123" i="7"/>
  <c r="BL47" i="7"/>
  <c r="AI80" i="7"/>
  <c r="BL79" i="7"/>
  <c r="BJ18" i="7"/>
  <c r="BK84" i="7"/>
  <c r="BK91" i="7"/>
  <c r="BK48" i="7"/>
  <c r="BK73" i="7"/>
  <c r="BK50" i="7"/>
  <c r="BJ191" i="7"/>
  <c r="BK157" i="7"/>
  <c r="BK222" i="7"/>
  <c r="BJ170" i="7"/>
  <c r="BK42" i="7"/>
  <c r="BK80" i="7"/>
  <c r="BK162" i="7"/>
  <c r="BK149" i="7"/>
  <c r="BK120" i="7"/>
  <c r="BJ195" i="7"/>
  <c r="BK136" i="7"/>
  <c r="BJ214" i="7"/>
  <c r="BK216" i="7"/>
  <c r="BK43" i="7"/>
  <c r="BJ168" i="7"/>
  <c r="BK46" i="7"/>
  <c r="BK87" i="7"/>
  <c r="BK170" i="7"/>
  <c r="BK28" i="7"/>
  <c r="BI250" i="7"/>
  <c r="BI251" i="7"/>
  <c r="BI248" i="7"/>
  <c r="BI244" i="7"/>
  <c r="BI240" i="7"/>
  <c r="BI236" i="7"/>
  <c r="BI232" i="7"/>
  <c r="BI228" i="7"/>
  <c r="BI224" i="7"/>
  <c r="BI220" i="7"/>
  <c r="BI216" i="7"/>
  <c r="BI255" i="7"/>
  <c r="BI246" i="7"/>
  <c r="BI242" i="7"/>
  <c r="BI238" i="7"/>
  <c r="BI234" i="7"/>
  <c r="BI252" i="7"/>
  <c r="BI235" i="7"/>
  <c r="BI223" i="7"/>
  <c r="BI221" i="7"/>
  <c r="BI211" i="7"/>
  <c r="BI241" i="7"/>
  <c r="BI231" i="7"/>
  <c r="BI225" i="7"/>
  <c r="BI222" i="7"/>
  <c r="BI247" i="7"/>
  <c r="BI245" i="7"/>
  <c r="BI206" i="7"/>
  <c r="BI202" i="7"/>
  <c r="BI198" i="7"/>
  <c r="BI194" i="7"/>
  <c r="BI190" i="7"/>
  <c r="BI186" i="7"/>
  <c r="BI182" i="7"/>
  <c r="BI178" i="7"/>
  <c r="BI174" i="7"/>
  <c r="BI170" i="7"/>
  <c r="BI166" i="7"/>
  <c r="BI162" i="7"/>
  <c r="BI243" i="7"/>
  <c r="BI226" i="7"/>
  <c r="BI208" i="7"/>
  <c r="BI193" i="7"/>
  <c r="BI191" i="7"/>
  <c r="BI233" i="7"/>
  <c r="BI219" i="7"/>
  <c r="BI204" i="7"/>
  <c r="BI189" i="7"/>
  <c r="BI187" i="7"/>
  <c r="BI229" i="7"/>
  <c r="BI212" i="7"/>
  <c r="BI207" i="7"/>
  <c r="BI192" i="7"/>
  <c r="BI177" i="7"/>
  <c r="BI175" i="7"/>
  <c r="BI160" i="7"/>
  <c r="BI254" i="7"/>
  <c r="BI209" i="7"/>
  <c r="BI188" i="7"/>
  <c r="BI168" i="7"/>
  <c r="BI165" i="7"/>
  <c r="BI159" i="7"/>
  <c r="BI157" i="7"/>
  <c r="BI253" i="7"/>
  <c r="BI217" i="7"/>
  <c r="BI200" i="7"/>
  <c r="BI199" i="7"/>
  <c r="BI197" i="7"/>
  <c r="BI215" i="7"/>
  <c r="BI210" i="7"/>
  <c r="BI196" i="7"/>
  <c r="BI176" i="7"/>
  <c r="BI164" i="7"/>
  <c r="BI161" i="7"/>
  <c r="BI158" i="7"/>
  <c r="BI149" i="7"/>
  <c r="BI147" i="7"/>
  <c r="BI239" i="7"/>
  <c r="BI183" i="7"/>
  <c r="BI154" i="7"/>
  <c r="BI213" i="7"/>
  <c r="BI205" i="7"/>
  <c r="BI181" i="7"/>
  <c r="BI145" i="7"/>
  <c r="BI133" i="7"/>
  <c r="BI131" i="7"/>
  <c r="BI104" i="7"/>
  <c r="BI102" i="7"/>
  <c r="BI89" i="7"/>
  <c r="BI87" i="7"/>
  <c r="BI63" i="7"/>
  <c r="BI57" i="7"/>
  <c r="BI230" i="7"/>
  <c r="BI227" i="7"/>
  <c r="BI249" i="7"/>
  <c r="BI143" i="7"/>
  <c r="BI125" i="7"/>
  <c r="BI123" i="7"/>
  <c r="BI96" i="7"/>
  <c r="BI94" i="7"/>
  <c r="BI81" i="7"/>
  <c r="BI79" i="7"/>
  <c r="BI195" i="7"/>
  <c r="BI180" i="7"/>
  <c r="BI146" i="7"/>
  <c r="BI132" i="7"/>
  <c r="BI100" i="7"/>
  <c r="BI86" i="7"/>
  <c r="BI80" i="7"/>
  <c r="BI73" i="7"/>
  <c r="BI42" i="7"/>
  <c r="BI31" i="7"/>
  <c r="BI26" i="7"/>
  <c r="BI22" i="7"/>
  <c r="BI18" i="7"/>
  <c r="BI118" i="7"/>
  <c r="BI99" i="7"/>
  <c r="BI92" i="7"/>
  <c r="BI55" i="7"/>
  <c r="BI49" i="7"/>
  <c r="BI29" i="7"/>
  <c r="BI185" i="7"/>
  <c r="BI167" i="7"/>
  <c r="BI153" i="7"/>
  <c r="BI93" i="7"/>
  <c r="BI214" i="7"/>
  <c r="BI173" i="7"/>
  <c r="BI135" i="7"/>
  <c r="BI134" i="7"/>
  <c r="BI128" i="7"/>
  <c r="BI121" i="7"/>
  <c r="BI82" i="7"/>
  <c r="BI76" i="7"/>
  <c r="BI75" i="7"/>
  <c r="BI48" i="7"/>
  <c r="BI30" i="7"/>
  <c r="BI28" i="7"/>
  <c r="BI25" i="7"/>
  <c r="BI41" i="7"/>
  <c r="BI52" i="7"/>
  <c r="BI58" i="7"/>
  <c r="BI74" i="7"/>
  <c r="BI78" i="7"/>
  <c r="BI85" i="7"/>
  <c r="BK103" i="7"/>
  <c r="BI141" i="7"/>
  <c r="BI148" i="7"/>
  <c r="BI150" i="7"/>
  <c r="BI152" i="7"/>
  <c r="BI172" i="7"/>
  <c r="BJ26" i="7"/>
  <c r="BI51" i="7"/>
  <c r="BK81" i="7"/>
  <c r="BI88" i="7"/>
  <c r="BI95" i="7"/>
  <c r="BK132" i="7"/>
  <c r="BI138" i="7"/>
  <c r="BK141" i="7"/>
  <c r="BJ161" i="7"/>
  <c r="BJ164" i="7"/>
  <c r="BJ194" i="7"/>
  <c r="BJ198" i="7"/>
  <c r="BK206" i="7"/>
  <c r="BK228" i="7"/>
  <c r="BI17" i="7"/>
  <c r="BI27" i="7"/>
  <c r="BI50" i="7"/>
  <c r="BK51" i="7"/>
  <c r="BI56" i="7"/>
  <c r="BI77" i="7"/>
  <c r="BI84" i="7"/>
  <c r="BI91" i="7"/>
  <c r="BK128" i="7"/>
  <c r="BK135" i="7"/>
  <c r="BI156" i="7"/>
  <c r="BI179" i="7"/>
  <c r="BI105" i="7"/>
  <c r="BI124" i="7"/>
  <c r="BI140" i="7"/>
  <c r="BI203" i="7"/>
  <c r="BH18" i="7"/>
  <c r="BI19" i="7"/>
  <c r="BI83" i="7"/>
  <c r="BH41" i="7"/>
  <c r="BI21" i="7"/>
  <c r="BI119" i="7"/>
  <c r="BK123" i="7"/>
  <c r="BI126" i="7"/>
  <c r="BI130" i="7"/>
  <c r="BK133" i="7"/>
  <c r="BI142" i="7"/>
  <c r="BI144" i="7"/>
  <c r="BI155" i="7"/>
  <c r="BI163" i="7"/>
  <c r="BK204" i="7"/>
  <c r="BI218" i="7"/>
  <c r="BI98" i="7"/>
  <c r="BI101" i="7"/>
  <c r="BI120" i="7"/>
  <c r="BI20" i="7"/>
  <c r="BK76" i="7"/>
  <c r="BI97" i="7"/>
  <c r="BK101" i="7"/>
  <c r="BI127" i="7"/>
  <c r="BI137" i="7"/>
  <c r="BI151" i="7"/>
  <c r="BI171" i="7"/>
  <c r="BJ249" i="7"/>
  <c r="BJ252" i="7"/>
  <c r="BJ241" i="7"/>
  <c r="BJ238" i="7"/>
  <c r="BJ219" i="7"/>
  <c r="BJ217" i="7"/>
  <c r="BJ251" i="7"/>
  <c r="BJ248" i="7"/>
  <c r="BJ247" i="7"/>
  <c r="BJ234" i="7"/>
  <c r="BJ255" i="7"/>
  <c r="BJ240" i="7"/>
  <c r="BJ233" i="7"/>
  <c r="BJ230" i="7"/>
  <c r="BJ253" i="7"/>
  <c r="BJ244" i="7"/>
  <c r="BJ237" i="7"/>
  <c r="BJ232" i="7"/>
  <c r="BJ229" i="7"/>
  <c r="BJ226" i="7"/>
  <c r="BJ158" i="7"/>
  <c r="BJ157" i="7"/>
  <c r="BJ156" i="7"/>
  <c r="BJ155" i="7"/>
  <c r="BJ154" i="7"/>
  <c r="BJ153" i="7"/>
  <c r="BJ152" i="7"/>
  <c r="BJ151" i="7"/>
  <c r="BJ150" i="7"/>
  <c r="BJ149" i="7"/>
  <c r="BJ148" i="7"/>
  <c r="BJ147" i="7"/>
  <c r="BJ146" i="7"/>
  <c r="BJ145" i="7"/>
  <c r="BJ144" i="7"/>
  <c r="BJ143" i="7"/>
  <c r="BJ142" i="7"/>
  <c r="BJ141" i="7"/>
  <c r="BJ140" i="7"/>
  <c r="BJ139" i="7"/>
  <c r="BJ138" i="7"/>
  <c r="BJ137" i="7"/>
  <c r="BJ136" i="7"/>
  <c r="BJ135" i="7"/>
  <c r="BJ134" i="7"/>
  <c r="BJ133" i="7"/>
  <c r="BJ132" i="7"/>
  <c r="BJ131" i="7"/>
  <c r="BJ130" i="7"/>
  <c r="BJ129" i="7"/>
  <c r="BJ128" i="7"/>
  <c r="BJ127" i="7"/>
  <c r="BJ126" i="7"/>
  <c r="BJ125" i="7"/>
  <c r="BJ124" i="7"/>
  <c r="BJ123" i="7"/>
  <c r="BJ122" i="7"/>
  <c r="BJ121" i="7"/>
  <c r="BJ120" i="7"/>
  <c r="BJ119" i="7"/>
  <c r="BJ118" i="7"/>
  <c r="BJ105" i="7"/>
  <c r="BJ104" i="7"/>
  <c r="BJ103" i="7"/>
  <c r="BJ102" i="7"/>
  <c r="BJ101" i="7"/>
  <c r="BJ100" i="7"/>
  <c r="BJ99" i="7"/>
  <c r="BJ98" i="7"/>
  <c r="BJ97" i="7"/>
  <c r="BJ96" i="7"/>
  <c r="BJ95" i="7"/>
  <c r="BJ94" i="7"/>
  <c r="BJ93" i="7"/>
  <c r="BJ92" i="7"/>
  <c r="BJ91" i="7"/>
  <c r="BJ90" i="7"/>
  <c r="BJ89" i="7"/>
  <c r="BJ88" i="7"/>
  <c r="BJ87" i="7"/>
  <c r="BJ86" i="7"/>
  <c r="BJ85" i="7"/>
  <c r="BJ84" i="7"/>
  <c r="BJ83" i="7"/>
  <c r="BJ82" i="7"/>
  <c r="BJ81" i="7"/>
  <c r="BJ80" i="7"/>
  <c r="BJ79" i="7"/>
  <c r="BJ78" i="7"/>
  <c r="BJ77" i="7"/>
  <c r="BJ76" i="7"/>
  <c r="BJ75" i="7"/>
  <c r="BJ74" i="7"/>
  <c r="BJ73" i="7"/>
  <c r="BJ63" i="7"/>
  <c r="BJ58" i="7"/>
  <c r="BJ57" i="7"/>
  <c r="BJ56" i="7"/>
  <c r="BJ55" i="7"/>
  <c r="BJ54" i="7"/>
  <c r="BJ53" i="7"/>
  <c r="BJ52" i="7"/>
  <c r="BJ51" i="7"/>
  <c r="BJ50" i="7"/>
  <c r="BJ49" i="7"/>
  <c r="BJ48" i="7"/>
  <c r="BJ47" i="7"/>
  <c r="BJ46" i="7"/>
  <c r="BJ44" i="7"/>
  <c r="BJ43" i="7"/>
  <c r="BJ42" i="7"/>
  <c r="BJ41" i="7"/>
  <c r="BJ31" i="7"/>
  <c r="BJ30" i="7"/>
  <c r="BJ29" i="7"/>
  <c r="BJ28" i="7"/>
  <c r="BJ236" i="7"/>
  <c r="BJ220" i="7"/>
  <c r="BJ206" i="7"/>
  <c r="BJ204" i="7"/>
  <c r="BJ189" i="7"/>
  <c r="BJ187" i="7"/>
  <c r="BJ227" i="7"/>
  <c r="BJ221" i="7"/>
  <c r="BJ218" i="7"/>
  <c r="BJ213" i="7"/>
  <c r="BJ210" i="7"/>
  <c r="BJ202" i="7"/>
  <c r="BJ200" i="7"/>
  <c r="BJ185" i="7"/>
  <c r="BJ183" i="7"/>
  <c r="BJ254" i="7"/>
  <c r="BJ245" i="7"/>
  <c r="BJ223" i="7"/>
  <c r="BJ216" i="7"/>
  <c r="BJ209" i="7"/>
  <c r="BJ205" i="7"/>
  <c r="BJ203" i="7"/>
  <c r="BJ190" i="7"/>
  <c r="BJ188" i="7"/>
  <c r="BJ173" i="7"/>
  <c r="BJ171" i="7"/>
  <c r="BJ239" i="7"/>
  <c r="BJ225" i="7"/>
  <c r="BJ215" i="7"/>
  <c r="BJ178" i="7"/>
  <c r="BJ162" i="7"/>
  <c r="BJ222" i="7"/>
  <c r="BJ201" i="7"/>
  <c r="BJ175" i="7"/>
  <c r="BJ172" i="7"/>
  <c r="BJ169" i="7"/>
  <c r="BJ163" i="7"/>
  <c r="BJ207" i="7"/>
  <c r="BJ182" i="7"/>
  <c r="BJ177" i="7"/>
  <c r="BJ242" i="7"/>
  <c r="BJ228" i="7"/>
  <c r="BJ197" i="7"/>
  <c r="BJ179" i="7"/>
  <c r="BJ231" i="7"/>
  <c r="BJ224" i="7"/>
  <c r="BJ211" i="7"/>
  <c r="BJ192" i="7"/>
  <c r="BJ246" i="7"/>
  <c r="BJ199" i="7"/>
  <c r="BJ186" i="7"/>
  <c r="BJ184" i="7"/>
  <c r="BJ235" i="7"/>
  <c r="BJ176" i="7"/>
  <c r="BJ167" i="7"/>
  <c r="BJ160" i="7"/>
  <c r="BJ27" i="7"/>
  <c r="BJ23" i="7"/>
  <c r="BJ19" i="7"/>
  <c r="BJ174" i="7"/>
  <c r="BJ165" i="7"/>
  <c r="BJ208" i="7"/>
  <c r="BJ196" i="7"/>
  <c r="BJ181" i="7"/>
  <c r="BJ166" i="7"/>
  <c r="BJ159" i="7"/>
  <c r="BJ25" i="7"/>
  <c r="BJ21" i="7"/>
  <c r="BJ17" i="7"/>
  <c r="BJ243" i="7"/>
  <c r="BJ20" i="7"/>
  <c r="BI54" i="7"/>
  <c r="BI90" i="7"/>
  <c r="BK97" i="7"/>
  <c r="BK104" i="7"/>
  <c r="BJ180" i="7"/>
  <c r="BI184" i="7"/>
  <c r="BK188" i="7"/>
  <c r="BJ212" i="7"/>
  <c r="BJ22" i="7"/>
  <c r="BI47" i="7"/>
  <c r="AE119" i="7"/>
  <c r="BH118" i="7"/>
  <c r="BI23" i="7"/>
  <c r="BI24" i="7"/>
  <c r="BI43" i="7"/>
  <c r="BI44" i="7"/>
  <c r="BI46" i="7"/>
  <c r="BK47" i="7"/>
  <c r="BI53" i="7"/>
  <c r="BK96" i="7"/>
  <c r="BI103" i="7"/>
  <c r="BI122" i="7"/>
  <c r="BI129" i="7"/>
  <c r="BI136" i="7"/>
  <c r="BI139" i="7"/>
  <c r="BI169" i="7"/>
  <c r="BJ193" i="7"/>
  <c r="BI201" i="7"/>
  <c r="BK205" i="7"/>
  <c r="BK209" i="7"/>
  <c r="BI237" i="7"/>
  <c r="BJ250" i="7"/>
  <c r="AE75" i="7"/>
  <c r="BH74" i="7"/>
  <c r="BK88" i="7"/>
  <c r="BK89" i="7"/>
  <c r="BK95" i="7"/>
  <c r="BK211" i="7"/>
  <c r="BK58" i="7"/>
  <c r="BK131" i="7"/>
  <c r="BK148" i="7"/>
  <c r="BK155" i="7"/>
  <c r="BK182" i="7"/>
  <c r="BK253" i="7"/>
  <c r="BK245" i="7"/>
  <c r="BK241" i="7"/>
  <c r="BK237" i="7"/>
  <c r="BK233" i="7"/>
  <c r="BK229" i="7"/>
  <c r="BK225" i="7"/>
  <c r="BK221" i="7"/>
  <c r="BK217" i="7"/>
  <c r="BK249" i="7"/>
  <c r="BK247" i="7"/>
  <c r="BK243" i="7"/>
  <c r="BK239" i="7"/>
  <c r="BK235" i="7"/>
  <c r="BK254" i="7"/>
  <c r="BK244" i="7"/>
  <c r="BK232" i="7"/>
  <c r="BK230" i="7"/>
  <c r="BK215" i="7"/>
  <c r="BK212" i="7"/>
  <c r="BK255" i="7"/>
  <c r="BK240" i="7"/>
  <c r="BK250" i="7"/>
  <c r="BK246" i="7"/>
  <c r="BK227" i="7"/>
  <c r="BK224" i="7"/>
  <c r="BK223" i="7"/>
  <c r="BK220" i="7"/>
  <c r="BK214" i="7"/>
  <c r="BK207" i="7"/>
  <c r="BK203" i="7"/>
  <c r="BK199" i="7"/>
  <c r="BK195" i="7"/>
  <c r="BK191" i="7"/>
  <c r="BK187" i="7"/>
  <c r="BK183" i="7"/>
  <c r="BK179" i="7"/>
  <c r="BK175" i="7"/>
  <c r="BK171" i="7"/>
  <c r="BK167" i="7"/>
  <c r="BK163" i="7"/>
  <c r="BK159" i="7"/>
  <c r="BK219" i="7"/>
  <c r="BK218" i="7"/>
  <c r="BK213" i="7"/>
  <c r="BK210" i="7"/>
  <c r="BK202" i="7"/>
  <c r="BK200" i="7"/>
  <c r="BK185" i="7"/>
  <c r="BK252" i="7"/>
  <c r="BK198" i="7"/>
  <c r="BK196" i="7"/>
  <c r="BK181" i="7"/>
  <c r="BK238" i="7"/>
  <c r="BK201" i="7"/>
  <c r="BK186" i="7"/>
  <c r="BK184" i="7"/>
  <c r="BK169" i="7"/>
  <c r="BK158" i="7"/>
  <c r="BK154" i="7"/>
  <c r="BK150" i="7"/>
  <c r="BK146" i="7"/>
  <c r="BK142" i="7"/>
  <c r="BK138" i="7"/>
  <c r="BK134" i="7"/>
  <c r="BK130" i="7"/>
  <c r="BK126" i="7"/>
  <c r="BK122" i="7"/>
  <c r="BK118" i="7"/>
  <c r="BK102" i="7"/>
  <c r="BK98" i="7"/>
  <c r="BK94" i="7"/>
  <c r="BK90" i="7"/>
  <c r="BK86" i="7"/>
  <c r="BK82" i="7"/>
  <c r="BK78" i="7"/>
  <c r="BK74" i="7"/>
  <c r="BK57" i="7"/>
  <c r="BK53" i="7"/>
  <c r="BK49" i="7"/>
  <c r="BK44" i="7"/>
  <c r="BK27" i="7"/>
  <c r="BK26" i="7"/>
  <c r="BK25" i="7"/>
  <c r="BK24" i="7"/>
  <c r="BK23" i="7"/>
  <c r="BK22" i="7"/>
  <c r="BK21" i="7"/>
  <c r="BK20" i="7"/>
  <c r="BK19" i="7"/>
  <c r="BK18" i="7"/>
  <c r="BK17" i="7"/>
  <c r="BK248" i="7"/>
  <c r="BK192" i="7"/>
  <c r="BK190" i="7"/>
  <c r="BK189" i="7"/>
  <c r="BK177" i="7"/>
  <c r="BK251" i="7"/>
  <c r="BK180" i="7"/>
  <c r="BK166" i="7"/>
  <c r="BK160" i="7"/>
  <c r="BK231" i="7"/>
  <c r="BK226" i="7"/>
  <c r="BK193" i="7"/>
  <c r="BK145" i="7"/>
  <c r="BK143" i="7"/>
  <c r="BK236" i="7"/>
  <c r="BK208" i="7"/>
  <c r="BK194" i="7"/>
  <c r="BK156" i="7"/>
  <c r="BK152" i="7"/>
  <c r="BK242" i="7"/>
  <c r="BK176" i="7"/>
  <c r="BK172" i="7"/>
  <c r="BK168" i="7"/>
  <c r="BK164" i="7"/>
  <c r="BK151" i="7"/>
  <c r="BK144" i="7"/>
  <c r="BK140" i="7"/>
  <c r="BK137" i="7"/>
  <c r="BK129" i="7"/>
  <c r="BK127" i="7"/>
  <c r="BK100" i="7"/>
  <c r="BK85" i="7"/>
  <c r="BK83" i="7"/>
  <c r="BK55" i="7"/>
  <c r="BK234" i="7"/>
  <c r="BK197" i="7"/>
  <c r="BK173" i="7"/>
  <c r="BK165" i="7"/>
  <c r="BK161" i="7"/>
  <c r="BK139" i="7"/>
  <c r="BK121" i="7"/>
  <c r="BK119" i="7"/>
  <c r="BK92" i="7"/>
  <c r="BK77" i="7"/>
  <c r="BK75" i="7"/>
  <c r="BK52" i="7"/>
  <c r="BK63" i="7"/>
  <c r="BK105" i="7"/>
  <c r="BK124" i="7"/>
  <c r="BK147" i="7"/>
  <c r="BK79" i="7"/>
  <c r="BK93" i="7"/>
  <c r="BK99" i="7"/>
  <c r="BK125" i="7"/>
  <c r="BK153" i="7"/>
  <c r="BK174" i="7"/>
  <c r="BK178" i="7"/>
  <c r="BH73" i="7"/>
  <c r="AP118" i="7"/>
  <c r="AN118" i="7"/>
  <c r="AM118" i="7"/>
  <c r="AL118" i="7"/>
  <c r="AK118" i="7"/>
  <c r="AJ118" i="7"/>
  <c r="AD118" i="7"/>
  <c r="AC118" i="7"/>
  <c r="AB118" i="7"/>
  <c r="AA118" i="7"/>
  <c r="Z118" i="7"/>
  <c r="Y118" i="7"/>
  <c r="X118" i="7"/>
  <c r="W118" i="7"/>
  <c r="V118" i="7"/>
  <c r="U118" i="7"/>
  <c r="T118" i="7"/>
  <c r="S118" i="7"/>
  <c r="R118" i="7"/>
  <c r="Q118" i="7"/>
  <c r="P118" i="7"/>
  <c r="AP73" i="7"/>
  <c r="AN73" i="7"/>
  <c r="AM73" i="7"/>
  <c r="AL73" i="7"/>
  <c r="AK73" i="7"/>
  <c r="AJ73" i="7"/>
  <c r="AD73" i="7"/>
  <c r="AD74" i="7" s="1"/>
  <c r="AD75" i="7" s="1"/>
  <c r="AD76" i="7" s="1"/>
  <c r="AD77" i="7" s="1"/>
  <c r="AD78" i="7" s="1"/>
  <c r="AD79" i="7" s="1"/>
  <c r="AD80" i="7" s="1"/>
  <c r="AD81" i="7" s="1"/>
  <c r="AD82" i="7" s="1"/>
  <c r="AD83" i="7" s="1"/>
  <c r="AD84"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C73" i="7"/>
  <c r="AB73" i="7"/>
  <c r="AA73" i="7"/>
  <c r="Z73" i="7"/>
  <c r="Y73" i="7"/>
  <c r="X73" i="7"/>
  <c r="W73" i="7"/>
  <c r="V73" i="7"/>
  <c r="V74" i="7" s="1"/>
  <c r="V75" i="7" s="1"/>
  <c r="V76" i="7" s="1"/>
  <c r="V77" i="7" s="1"/>
  <c r="V78" i="7" s="1"/>
  <c r="V79" i="7" s="1"/>
  <c r="V80" i="7" s="1"/>
  <c r="V81" i="7" s="1"/>
  <c r="V82" i="7" s="1"/>
  <c r="V83" i="7" s="1"/>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U73" i="7"/>
  <c r="T73" i="7"/>
  <c r="S73" i="7"/>
  <c r="R73" i="7"/>
  <c r="Q73" i="7"/>
  <c r="P73" i="7"/>
  <c r="AP41" i="7"/>
  <c r="AN41" i="7"/>
  <c r="AM41" i="7"/>
  <c r="AL41" i="7"/>
  <c r="AK41" i="7"/>
  <c r="AJ41" i="7"/>
  <c r="AD41" i="7"/>
  <c r="AC41" i="7"/>
  <c r="AB41" i="7"/>
  <c r="AA41" i="7"/>
  <c r="Z41" i="7"/>
  <c r="Y41" i="7"/>
  <c r="X41" i="7"/>
  <c r="W41" i="7"/>
  <c r="V41" i="7"/>
  <c r="U41" i="7"/>
  <c r="T41" i="7"/>
  <c r="S41" i="7"/>
  <c r="R41" i="7"/>
  <c r="Q41" i="7"/>
  <c r="P41" i="7"/>
  <c r="Z301" i="7" l="1"/>
  <c r="Y282" i="7"/>
  <c r="BI280" i="7"/>
  <c r="AF281" i="7"/>
  <c r="AC282" i="7"/>
  <c r="P281" i="7"/>
  <c r="BJ281" i="7"/>
  <c r="AG282" i="7"/>
  <c r="AA282" i="7"/>
  <c r="W281" i="7"/>
  <c r="AK282" i="7"/>
  <c r="AJ281" i="7"/>
  <c r="X281" i="7"/>
  <c r="AE281" i="7"/>
  <c r="BH280" i="7"/>
  <c r="AD303" i="7"/>
  <c r="BL280" i="7"/>
  <c r="AI281" i="7"/>
  <c r="T281" i="7"/>
  <c r="U282" i="7"/>
  <c r="S282" i="7"/>
  <c r="A282" i="7"/>
  <c r="AB281" i="7"/>
  <c r="AM281" i="7"/>
  <c r="A397" i="7"/>
  <c r="L398" i="7"/>
  <c r="AN281" i="7"/>
  <c r="Q282" i="7"/>
  <c r="V301" i="7"/>
  <c r="BK300" i="7"/>
  <c r="AH301" i="7"/>
  <c r="AP301" i="7"/>
  <c r="AL301" i="7"/>
  <c r="R302" i="7"/>
  <c r="A356" i="7"/>
  <c r="AI125" i="7"/>
  <c r="BL124" i="7"/>
  <c r="AI81" i="7"/>
  <c r="BL80" i="7"/>
  <c r="BL48" i="7"/>
  <c r="BL25" i="7"/>
  <c r="BK29" i="7"/>
  <c r="BH42" i="7"/>
  <c r="AE120" i="7"/>
  <c r="BH119" i="7"/>
  <c r="AE76" i="7"/>
  <c r="BH75" i="7"/>
  <c r="BH19" i="7"/>
  <c r="BK31" i="7"/>
  <c r="BK30" i="7"/>
  <c r="H255" i="7"/>
  <c r="H254" i="7"/>
  <c r="H253" i="7"/>
  <c r="A253" i="7"/>
  <c r="H252" i="7"/>
  <c r="H251" i="7"/>
  <c r="H250" i="7"/>
  <c r="H249" i="7"/>
  <c r="H248" i="7"/>
  <c r="H247" i="7"/>
  <c r="H246" i="7"/>
  <c r="H245" i="7"/>
  <c r="H244" i="7"/>
  <c r="H243" i="7"/>
  <c r="H242" i="7"/>
  <c r="H241" i="7"/>
  <c r="H240" i="7"/>
  <c r="H239" i="7"/>
  <c r="H238" i="7"/>
  <c r="H237" i="7"/>
  <c r="H236" i="7"/>
  <c r="H235" i="7"/>
  <c r="H234" i="7"/>
  <c r="A234" i="7"/>
  <c r="H233" i="7"/>
  <c r="A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8" i="7"/>
  <c r="H187" i="7"/>
  <c r="H186" i="7"/>
  <c r="H185" i="7"/>
  <c r="H184" i="7"/>
  <c r="H183"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H128" i="7"/>
  <c r="H127" i="7"/>
  <c r="H126" i="7"/>
  <c r="H125" i="7"/>
  <c r="H124" i="7"/>
  <c r="H123" i="7"/>
  <c r="H122" i="7"/>
  <c r="H121" i="7"/>
  <c r="H120" i="7"/>
  <c r="H119" i="7"/>
  <c r="L235" i="7"/>
  <c r="A235" i="7" s="1"/>
  <c r="L119"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O129" i="7"/>
  <c r="O128" i="7"/>
  <c r="O127" i="7"/>
  <c r="O126" i="7"/>
  <c r="O125" i="7"/>
  <c r="O124" i="7"/>
  <c r="O123" i="7"/>
  <c r="O122" i="7"/>
  <c r="O121" i="7"/>
  <c r="O120" i="7"/>
  <c r="L120" i="7" l="1"/>
  <c r="L121" i="7" s="1"/>
  <c r="L122" i="7" s="1"/>
  <c r="L123" i="7" s="1"/>
  <c r="L124" i="7" s="1"/>
  <c r="A357" i="7"/>
  <c r="AL302" i="7"/>
  <c r="Q283" i="7"/>
  <c r="A398" i="7"/>
  <c r="L399" i="7"/>
  <c r="AB282" i="7"/>
  <c r="S283" i="7"/>
  <c r="T282" i="7"/>
  <c r="BL281" i="7"/>
  <c r="AI282" i="7"/>
  <c r="AJ282" i="7"/>
  <c r="BJ282" i="7"/>
  <c r="AG283" i="7"/>
  <c r="AC283" i="7"/>
  <c r="Y283" i="7"/>
  <c r="AE282" i="7"/>
  <c r="BH281" i="7"/>
  <c r="W282" i="7"/>
  <c r="R303" i="7"/>
  <c r="AP302" i="7"/>
  <c r="V302" i="7"/>
  <c r="AN282" i="7"/>
  <c r="A283" i="7"/>
  <c r="U283" i="7"/>
  <c r="AD304" i="7"/>
  <c r="X282" i="7"/>
  <c r="AK283" i="7"/>
  <c r="P282" i="7"/>
  <c r="BI281" i="7"/>
  <c r="AF282" i="7"/>
  <c r="AH302" i="7"/>
  <c r="BK301" i="7"/>
  <c r="AM282" i="7"/>
  <c r="AA283" i="7"/>
  <c r="Z302" i="7"/>
  <c r="BL26" i="7"/>
  <c r="BL49" i="7"/>
  <c r="AI82" i="7"/>
  <c r="BL81" i="7"/>
  <c r="AI126" i="7"/>
  <c r="BL125" i="7"/>
  <c r="A119" i="7"/>
  <c r="AE121" i="7"/>
  <c r="BH120" i="7"/>
  <c r="BH20" i="7"/>
  <c r="BH43" i="7"/>
  <c r="AE77" i="7"/>
  <c r="BH76" i="7"/>
  <c r="A120" i="7" l="1"/>
  <c r="A121" i="7"/>
  <c r="Z303" i="7"/>
  <c r="AK284" i="7"/>
  <c r="R304" i="7"/>
  <c r="V303" i="7"/>
  <c r="BH282" i="7"/>
  <c r="AE283" i="7"/>
  <c r="AL303" i="7"/>
  <c r="P283" i="7"/>
  <c r="X283" i="7"/>
  <c r="A284" i="7"/>
  <c r="W283" i="7"/>
  <c r="Y284" i="7"/>
  <c r="BJ283" i="7"/>
  <c r="AG284" i="7"/>
  <c r="AI283" i="7"/>
  <c r="BL282" i="7"/>
  <c r="A399" i="7"/>
  <c r="Q284" i="7"/>
  <c r="AM283" i="7"/>
  <c r="BI282" i="7"/>
  <c r="AF283" i="7"/>
  <c r="AD305" i="7"/>
  <c r="U284" i="7"/>
  <c r="AN283" i="7"/>
  <c r="AC284" i="7"/>
  <c r="AJ283" i="7"/>
  <c r="T283" i="7"/>
  <c r="AB283" i="7"/>
  <c r="AA284" i="7"/>
  <c r="BK302" i="7"/>
  <c r="AH303" i="7"/>
  <c r="AP303" i="7"/>
  <c r="S284" i="7"/>
  <c r="A358" i="7"/>
  <c r="AI127" i="7"/>
  <c r="BL126" i="7"/>
  <c r="AI83" i="7"/>
  <c r="BL82" i="7"/>
  <c r="BL50" i="7"/>
  <c r="BL27" i="7"/>
  <c r="A122" i="7"/>
  <c r="A123" i="7"/>
  <c r="BH21" i="7"/>
  <c r="AE78" i="7"/>
  <c r="BH77" i="7"/>
  <c r="AE122" i="7"/>
  <c r="BH121" i="7"/>
  <c r="BH44" i="7"/>
  <c r="L125" i="7"/>
  <c r="A124" i="7"/>
  <c r="A359" i="7" l="1"/>
  <c r="AP304" i="7"/>
  <c r="BK303" i="7"/>
  <c r="AH304" i="7"/>
  <c r="T284" i="7"/>
  <c r="AC285" i="7"/>
  <c r="U285" i="7"/>
  <c r="BI283" i="7"/>
  <c r="AF284" i="7"/>
  <c r="Q285" i="7"/>
  <c r="Y285" i="7"/>
  <c r="A285" i="7"/>
  <c r="X284" i="7"/>
  <c r="AK285" i="7"/>
  <c r="BL283" i="7"/>
  <c r="AI284" i="7"/>
  <c r="AL304" i="7"/>
  <c r="V304" i="7"/>
  <c r="S285" i="7"/>
  <c r="AA285" i="7"/>
  <c r="AB284" i="7"/>
  <c r="AJ284" i="7"/>
  <c r="AN284" i="7"/>
  <c r="AD306" i="7"/>
  <c r="AM284" i="7"/>
  <c r="BJ284" i="7"/>
  <c r="AG285" i="7"/>
  <c r="W284" i="7"/>
  <c r="P284" i="7"/>
  <c r="BH283" i="7"/>
  <c r="AE284" i="7"/>
  <c r="R305" i="7"/>
  <c r="Z304" i="7"/>
  <c r="BL28" i="7"/>
  <c r="BL51" i="7"/>
  <c r="AI84" i="7"/>
  <c r="BL83" i="7"/>
  <c r="AI128" i="7"/>
  <c r="BL127" i="7"/>
  <c r="BH46" i="7"/>
  <c r="AE123" i="7"/>
  <c r="BH122" i="7"/>
  <c r="AE79" i="7"/>
  <c r="BH78" i="7"/>
  <c r="L126" i="7"/>
  <c r="A125" i="7"/>
  <c r="BH22" i="7"/>
  <c r="O27" i="7"/>
  <c r="AN285" i="7" l="1"/>
  <c r="AB285" i="7"/>
  <c r="X285" i="7"/>
  <c r="Y286" i="7"/>
  <c r="AF285" i="7"/>
  <c r="BI284" i="7"/>
  <c r="AC286" i="7"/>
  <c r="Z305" i="7"/>
  <c r="AE285" i="7"/>
  <c r="BH284" i="7"/>
  <c r="BJ285" i="7"/>
  <c r="AG286" i="7"/>
  <c r="AL305" i="7"/>
  <c r="AP305" i="7"/>
  <c r="AD307" i="7"/>
  <c r="AJ285" i="7"/>
  <c r="AA286" i="7"/>
  <c r="AI285" i="7"/>
  <c r="BL284" i="7"/>
  <c r="AK286" i="7"/>
  <c r="A286" i="7"/>
  <c r="Q286" i="7"/>
  <c r="U286" i="7"/>
  <c r="T285" i="7"/>
  <c r="BK304" i="7"/>
  <c r="AH305" i="7"/>
  <c r="A360" i="7"/>
  <c r="AM285" i="7"/>
  <c r="S286" i="7"/>
  <c r="R306" i="7"/>
  <c r="P285" i="7"/>
  <c r="W285" i="7"/>
  <c r="V305" i="7"/>
  <c r="BL52" i="7"/>
  <c r="BL128" i="7"/>
  <c r="AI129" i="7"/>
  <c r="BL84" i="7"/>
  <c r="AI85" i="7"/>
  <c r="BL29" i="7"/>
  <c r="L127" i="7"/>
  <c r="A126" i="7"/>
  <c r="AE80" i="7"/>
  <c r="BH79" i="7"/>
  <c r="AE124" i="7"/>
  <c r="BH123" i="7"/>
  <c r="BH23" i="7"/>
  <c r="BH47" i="7"/>
  <c r="M58" i="7"/>
  <c r="BK305" i="7" l="1"/>
  <c r="AH306" i="7"/>
  <c r="AB286" i="7"/>
  <c r="W286" i="7"/>
  <c r="AM286" i="7"/>
  <c r="U287" i="7"/>
  <c r="BL285" i="7"/>
  <c r="AI286" i="7"/>
  <c r="AJ286" i="7"/>
  <c r="AL306" i="7"/>
  <c r="BH285" i="7"/>
  <c r="AE286" i="7"/>
  <c r="AF286" i="7"/>
  <c r="BI285" i="7"/>
  <c r="P286" i="7"/>
  <c r="S287" i="7"/>
  <c r="L362" i="7"/>
  <c r="A361" i="7"/>
  <c r="T286" i="7"/>
  <c r="Q287" i="7"/>
  <c r="AA287" i="7"/>
  <c r="AD308" i="7"/>
  <c r="AG287" i="7"/>
  <c r="BJ286" i="7"/>
  <c r="AC287" i="7"/>
  <c r="R307" i="7"/>
  <c r="A287" i="7"/>
  <c r="X286" i="7"/>
  <c r="V306" i="7"/>
  <c r="AK287" i="7"/>
  <c r="AP306" i="7"/>
  <c r="Z306" i="7"/>
  <c r="Y287" i="7"/>
  <c r="AN286" i="7"/>
  <c r="BL31" i="7"/>
  <c r="BL30" i="7"/>
  <c r="BL85" i="7"/>
  <c r="AI86" i="7"/>
  <c r="BL129" i="7"/>
  <c r="AI130" i="7"/>
  <c r="BL53" i="7"/>
  <c r="BH24" i="7"/>
  <c r="AE125" i="7"/>
  <c r="BH124" i="7"/>
  <c r="AE81" i="7"/>
  <c r="BH80" i="7"/>
  <c r="BH48" i="7"/>
  <c r="L128" i="7"/>
  <c r="A127" i="7"/>
  <c r="V307" i="7" l="1"/>
  <c r="AA288" i="7"/>
  <c r="S288" i="7"/>
  <c r="BH286" i="7"/>
  <c r="AE287" i="7"/>
  <c r="BL286" i="7"/>
  <c r="AI287" i="7"/>
  <c r="AM287" i="7"/>
  <c r="AN287" i="7"/>
  <c r="AG288" i="7"/>
  <c r="BJ287" i="7"/>
  <c r="AB287" i="7"/>
  <c r="X287" i="7"/>
  <c r="R308" i="7"/>
  <c r="AC288" i="7"/>
  <c r="AD309" i="7"/>
  <c r="W287" i="7"/>
  <c r="BK306" i="7"/>
  <c r="AH307" i="7"/>
  <c r="Z307" i="7"/>
  <c r="AK288" i="7"/>
  <c r="A288" i="7"/>
  <c r="T287" i="7"/>
  <c r="AF287" i="7"/>
  <c r="BI286" i="7"/>
  <c r="Y288" i="7"/>
  <c r="AP307" i="7"/>
  <c r="Q288" i="7"/>
  <c r="A362" i="7"/>
  <c r="L363" i="7"/>
  <c r="P287" i="7"/>
  <c r="AL307" i="7"/>
  <c r="AJ287" i="7"/>
  <c r="U288" i="7"/>
  <c r="BL86" i="7"/>
  <c r="AI87" i="7"/>
  <c r="BL54" i="7"/>
  <c r="BL130" i="7"/>
  <c r="AI131" i="7"/>
  <c r="BH49" i="7"/>
  <c r="AE82" i="7"/>
  <c r="BH81" i="7"/>
  <c r="AE126" i="7"/>
  <c r="BH125" i="7"/>
  <c r="L129" i="7"/>
  <c r="A128" i="7"/>
  <c r="BH25" i="7"/>
  <c r="M112" i="7"/>
  <c r="M111" i="7"/>
  <c r="M67" i="7"/>
  <c r="M66" i="7"/>
  <c r="M35" i="7"/>
  <c r="M34" i="7"/>
  <c r="AF288" i="7" l="1"/>
  <c r="BI287" i="7"/>
  <c r="AM288" i="7"/>
  <c r="AL308" i="7"/>
  <c r="Q289" i="7"/>
  <c r="Y289" i="7"/>
  <c r="BK307" i="7"/>
  <c r="AH308" i="7"/>
  <c r="AC289" i="7"/>
  <c r="X288" i="7"/>
  <c r="BJ288" i="7"/>
  <c r="AG289" i="7"/>
  <c r="L364" i="7"/>
  <c r="A363" i="7"/>
  <c r="T288" i="7"/>
  <c r="AK289" i="7"/>
  <c r="AD310" i="7"/>
  <c r="R309" i="7"/>
  <c r="BL287" i="7"/>
  <c r="AI288" i="7"/>
  <c r="BH287" i="7"/>
  <c r="AE288" i="7"/>
  <c r="AA289" i="7"/>
  <c r="U289" i="7"/>
  <c r="AP308" i="7"/>
  <c r="A289" i="7"/>
  <c r="Z308" i="7"/>
  <c r="S289" i="7"/>
  <c r="P288" i="7"/>
  <c r="AJ288" i="7"/>
  <c r="W288" i="7"/>
  <c r="AB288" i="7"/>
  <c r="AN288" i="7"/>
  <c r="V308" i="7"/>
  <c r="BL131" i="7"/>
  <c r="AI132" i="7"/>
  <c r="BL55" i="7"/>
  <c r="BL87" i="7"/>
  <c r="AI88" i="7"/>
  <c r="AE83" i="7"/>
  <c r="BH82" i="7"/>
  <c r="L130" i="7"/>
  <c r="A129" i="7"/>
  <c r="AE127" i="7"/>
  <c r="BH126" i="7"/>
  <c r="BH26" i="7"/>
  <c r="BH50" i="7"/>
  <c r="AN289" i="7" l="1"/>
  <c r="X289" i="7"/>
  <c r="BL288" i="7"/>
  <c r="AI289" i="7"/>
  <c r="AG290" i="7"/>
  <c r="BJ289" i="7"/>
  <c r="W289" i="7"/>
  <c r="S290" i="7"/>
  <c r="U290" i="7"/>
  <c r="BH288" i="7"/>
  <c r="AE289" i="7"/>
  <c r="R310" i="7"/>
  <c r="AK290" i="7"/>
  <c r="BK308" i="7"/>
  <c r="AH309" i="7"/>
  <c r="AM289" i="7"/>
  <c r="AJ289" i="7"/>
  <c r="A290" i="7"/>
  <c r="L365" i="7"/>
  <c r="A364" i="7"/>
  <c r="Q290" i="7"/>
  <c r="AA290" i="7"/>
  <c r="AD311" i="7"/>
  <c r="V309" i="7"/>
  <c r="AB289" i="7"/>
  <c r="P289" i="7"/>
  <c r="Z309" i="7"/>
  <c r="AP309" i="7"/>
  <c r="T289" i="7"/>
  <c r="AC290" i="7"/>
  <c r="Y290" i="7"/>
  <c r="AL309" i="7"/>
  <c r="AF289" i="7"/>
  <c r="BI288" i="7"/>
  <c r="BL56" i="7"/>
  <c r="BL88" i="7"/>
  <c r="AI89" i="7"/>
  <c r="BL132" i="7"/>
  <c r="AI133" i="7"/>
  <c r="BH27" i="7"/>
  <c r="AE128" i="7"/>
  <c r="BH127" i="7"/>
  <c r="L131" i="7"/>
  <c r="A130" i="7"/>
  <c r="BH51" i="7"/>
  <c r="AE84" i="7"/>
  <c r="BH83" i="7"/>
  <c r="E105" i="7"/>
  <c r="E104" i="7"/>
  <c r="E103" i="7"/>
  <c r="E102" i="7"/>
  <c r="T290" i="7" l="1"/>
  <c r="BH289" i="7"/>
  <c r="AE290" i="7"/>
  <c r="S291" i="7"/>
  <c r="L366" i="7"/>
  <c r="A365" i="7"/>
  <c r="AJ290" i="7"/>
  <c r="AK291" i="7"/>
  <c r="AG291" i="7"/>
  <c r="BJ290" i="7"/>
  <c r="X290" i="7"/>
  <c r="AF290" i="7"/>
  <c r="BI289" i="7"/>
  <c r="AL310" i="7"/>
  <c r="AC291" i="7"/>
  <c r="AP310" i="7"/>
  <c r="P290" i="7"/>
  <c r="AB290" i="7"/>
  <c r="Q291" i="7"/>
  <c r="AM290" i="7"/>
  <c r="BK309" i="7"/>
  <c r="AH310" i="7"/>
  <c r="R311" i="7"/>
  <c r="W290" i="7"/>
  <c r="BL289" i="7"/>
  <c r="AI290" i="7"/>
  <c r="Y291" i="7"/>
  <c r="Z310" i="7"/>
  <c r="V310" i="7"/>
  <c r="AD312" i="7"/>
  <c r="AA291" i="7"/>
  <c r="A291" i="7"/>
  <c r="U291" i="7"/>
  <c r="AN290" i="7"/>
  <c r="AI90" i="7"/>
  <c r="BL89" i="7"/>
  <c r="AI134" i="7"/>
  <c r="BL133" i="7"/>
  <c r="BL57" i="7"/>
  <c r="BH52" i="7"/>
  <c r="L132" i="7"/>
  <c r="A131" i="7"/>
  <c r="AE129" i="7"/>
  <c r="BH128" i="7"/>
  <c r="AE85" i="7"/>
  <c r="BH84" i="7"/>
  <c r="BH28" i="7"/>
  <c r="M57" i="7"/>
  <c r="W291" i="7" l="1"/>
  <c r="S292" i="7"/>
  <c r="AD313" i="7"/>
  <c r="Y292" i="7"/>
  <c r="Q292" i="7"/>
  <c r="P291" i="7"/>
  <c r="AC292" i="7"/>
  <c r="BI290" i="7"/>
  <c r="AF291" i="7"/>
  <c r="AG292" i="7"/>
  <c r="BJ291" i="7"/>
  <c r="AJ291" i="7"/>
  <c r="T291" i="7"/>
  <c r="AN291" i="7"/>
  <c r="A292" i="7"/>
  <c r="BL290" i="7"/>
  <c r="AI291" i="7"/>
  <c r="R312" i="7"/>
  <c r="AM291" i="7"/>
  <c r="BH290" i="7"/>
  <c r="AE291" i="7"/>
  <c r="U292" i="7"/>
  <c r="BK310" i="7"/>
  <c r="AH311" i="7"/>
  <c r="AA292" i="7"/>
  <c r="V311" i="7"/>
  <c r="Z311" i="7"/>
  <c r="AB291" i="7"/>
  <c r="AP311" i="7"/>
  <c r="AL311" i="7"/>
  <c r="X291" i="7"/>
  <c r="AK292" i="7"/>
  <c r="L367" i="7"/>
  <c r="A366" i="7"/>
  <c r="AI91" i="7"/>
  <c r="BL90" i="7"/>
  <c r="BL63" i="7"/>
  <c r="BL58" i="7"/>
  <c r="AI135" i="7"/>
  <c r="BL134" i="7"/>
  <c r="AE86" i="7"/>
  <c r="BH85" i="7"/>
  <c r="AE130" i="7"/>
  <c r="BH129" i="7"/>
  <c r="L133" i="7"/>
  <c r="A132" i="7"/>
  <c r="BH29" i="7"/>
  <c r="BH53" i="7"/>
  <c r="L19" i="7"/>
  <c r="L29" i="7"/>
  <c r="L30" i="7" s="1"/>
  <c r="L31" i="7" s="1"/>
  <c r="M50" i="7"/>
  <c r="E50" i="7" s="1"/>
  <c r="M54" i="7"/>
  <c r="L368" i="7" l="1"/>
  <c r="A367" i="7"/>
  <c r="AP312" i="7"/>
  <c r="U293" i="7"/>
  <c r="Y293" i="7"/>
  <c r="W292" i="7"/>
  <c r="AB292" i="7"/>
  <c r="BK311" i="7"/>
  <c r="AH312" i="7"/>
  <c r="BH291" i="7"/>
  <c r="AE292" i="7"/>
  <c r="R313" i="7"/>
  <c r="T292" i="7"/>
  <c r="S293" i="7"/>
  <c r="AK293" i="7"/>
  <c r="AL312" i="7"/>
  <c r="V312" i="7"/>
  <c r="A293" i="7"/>
  <c r="AG293" i="7"/>
  <c r="BJ292" i="7"/>
  <c r="AC293" i="7"/>
  <c r="Q293" i="7"/>
  <c r="Z312" i="7"/>
  <c r="X292" i="7"/>
  <c r="AA293" i="7"/>
  <c r="AM292" i="7"/>
  <c r="BL291" i="7"/>
  <c r="AI292" i="7"/>
  <c r="AN292" i="7"/>
  <c r="AJ292" i="7"/>
  <c r="BI291" i="7"/>
  <c r="AF292" i="7"/>
  <c r="P292" i="7"/>
  <c r="AD314" i="7"/>
  <c r="L20" i="7"/>
  <c r="L21" i="7" s="1"/>
  <c r="L22" i="7" s="1"/>
  <c r="L23" i="7" s="1"/>
  <c r="L24" i="7" s="1"/>
  <c r="L25" i="7" s="1"/>
  <c r="L26" i="7" s="1"/>
  <c r="L27" i="7" s="1"/>
  <c r="AI92" i="7"/>
  <c r="BL91" i="7"/>
  <c r="AI136" i="7"/>
  <c r="BL135" i="7"/>
  <c r="BH31" i="7"/>
  <c r="BH30" i="7"/>
  <c r="L134" i="7"/>
  <c r="A133" i="7"/>
  <c r="AE131" i="7"/>
  <c r="BH130" i="7"/>
  <c r="BH54" i="7"/>
  <c r="AE87" i="7"/>
  <c r="BH86" i="7"/>
  <c r="M12" i="7"/>
  <c r="M49" i="7"/>
  <c r="E49" i="7" s="1"/>
  <c r="M51" i="7"/>
  <c r="E51" i="7" s="1"/>
  <c r="M52" i="7"/>
  <c r="E52" i="7" s="1"/>
  <c r="M53" i="7"/>
  <c r="E54" i="7"/>
  <c r="M55" i="7"/>
  <c r="E55" i="7" s="1"/>
  <c r="M56" i="7"/>
  <c r="E56" i="7" s="1"/>
  <c r="M48" i="7"/>
  <c r="E48" i="7" s="1"/>
  <c r="E58" i="7"/>
  <c r="E57" i="7"/>
  <c r="H56" i="7"/>
  <c r="H53" i="7"/>
  <c r="E44" i="7"/>
  <c r="E46" i="7"/>
  <c r="M63" i="7"/>
  <c r="E63" i="7" s="1"/>
  <c r="H49" i="7"/>
  <c r="H47" i="7"/>
  <c r="H43" i="7"/>
  <c r="E43" i="7" s="1"/>
  <c r="L42" i="7"/>
  <c r="L43" i="7" s="1"/>
  <c r="L44" i="7" s="1"/>
  <c r="L45" i="7" s="1"/>
  <c r="L46" i="7" s="1"/>
  <c r="L47" i="7" s="1"/>
  <c r="L48" i="7" s="1"/>
  <c r="L49" i="7" s="1"/>
  <c r="L50" i="7" s="1"/>
  <c r="L51" i="7" s="1"/>
  <c r="L52" i="7" s="1"/>
  <c r="L53" i="7" s="1"/>
  <c r="L54" i="7" s="1"/>
  <c r="L55" i="7" s="1"/>
  <c r="L56" i="7" s="1"/>
  <c r="L57" i="7" s="1"/>
  <c r="L58" i="7" s="1"/>
  <c r="L59" i="7" s="1"/>
  <c r="L60" i="7" s="1"/>
  <c r="L61" i="7" s="1"/>
  <c r="L62" i="7" s="1"/>
  <c r="H42" i="7"/>
  <c r="E42" i="7" s="1"/>
  <c r="O41" i="7"/>
  <c r="H41" i="7"/>
  <c r="E41" i="7" s="1"/>
  <c r="A41" i="7"/>
  <c r="Z313" i="7" l="1"/>
  <c r="AG294" i="7"/>
  <c r="BJ293" i="7"/>
  <c r="V313" i="7"/>
  <c r="AK294" i="7"/>
  <c r="AD315" i="7"/>
  <c r="AN293" i="7"/>
  <c r="X293" i="7"/>
  <c r="R314" i="7"/>
  <c r="BK312" i="7"/>
  <c r="AH313" i="7"/>
  <c r="W293" i="7"/>
  <c r="AP313" i="7"/>
  <c r="AC294" i="7"/>
  <c r="A294" i="7"/>
  <c r="AL313" i="7"/>
  <c r="Q294" i="7"/>
  <c r="Y294" i="7"/>
  <c r="BI292" i="7"/>
  <c r="AF293" i="7"/>
  <c r="AM293" i="7"/>
  <c r="P293" i="7"/>
  <c r="AJ293" i="7"/>
  <c r="BL292" i="7"/>
  <c r="AI293" i="7"/>
  <c r="AA294" i="7"/>
  <c r="S294" i="7"/>
  <c r="T293" i="7"/>
  <c r="BH292" i="7"/>
  <c r="AE293" i="7"/>
  <c r="AB293" i="7"/>
  <c r="U294" i="7"/>
  <c r="L369" i="7"/>
  <c r="A368" i="7"/>
  <c r="A60" i="7"/>
  <c r="E47" i="7"/>
  <c r="A45" i="7"/>
  <c r="C30" i="7"/>
  <c r="C31" i="7"/>
  <c r="C27" i="7"/>
  <c r="C29" i="7"/>
  <c r="C28" i="7"/>
  <c r="AI93" i="7"/>
  <c r="BL92" i="7"/>
  <c r="BL136" i="7"/>
  <c r="AI137" i="7"/>
  <c r="BH55" i="7"/>
  <c r="AE132" i="7"/>
  <c r="BH131" i="7"/>
  <c r="L135" i="7"/>
  <c r="A134" i="7"/>
  <c r="AE88" i="7"/>
  <c r="BH87" i="7"/>
  <c r="M38" i="7"/>
  <c r="A50" i="7"/>
  <c r="E53" i="7"/>
  <c r="A42" i="7"/>
  <c r="AD18" i="7"/>
  <c r="AD19" i="7" s="1"/>
  <c r="AD20" i="7" s="1"/>
  <c r="AD21" i="7" s="1"/>
  <c r="AD22" i="7" s="1"/>
  <c r="AD23" i="7" s="1"/>
  <c r="AD24" i="7" s="1"/>
  <c r="AD25" i="7" s="1"/>
  <c r="AD26" i="7" s="1"/>
  <c r="AD27" i="7" s="1"/>
  <c r="AD28" i="7" s="1"/>
  <c r="AD29" i="7" s="1"/>
  <c r="AD30" i="7" s="1"/>
  <c r="AD31" i="7" s="1"/>
  <c r="V18" i="7"/>
  <c r="V19" i="7" s="1"/>
  <c r="V20" i="7" s="1"/>
  <c r="V21" i="7" s="1"/>
  <c r="V22" i="7" s="1"/>
  <c r="V23" i="7" s="1"/>
  <c r="V24" i="7" s="1"/>
  <c r="V25" i="7" s="1"/>
  <c r="V26" i="7" s="1"/>
  <c r="V27" i="7" s="1"/>
  <c r="V28" i="7" s="1"/>
  <c r="V29" i="7" s="1"/>
  <c r="V30" i="7" s="1"/>
  <c r="V31" i="7" s="1"/>
  <c r="BH293" i="7" l="1"/>
  <c r="AE294" i="7"/>
  <c r="S295" i="7"/>
  <c r="BL293" i="7"/>
  <c r="AI294" i="7"/>
  <c r="P294" i="7"/>
  <c r="BI293" i="7"/>
  <c r="AF294" i="7"/>
  <c r="W294" i="7"/>
  <c r="R315" i="7"/>
  <c r="AN294" i="7"/>
  <c r="U295" i="7"/>
  <c r="Q295" i="7"/>
  <c r="AL314" i="7"/>
  <c r="AC295" i="7"/>
  <c r="AK295" i="7"/>
  <c r="AG295" i="7"/>
  <c r="BJ294" i="7"/>
  <c r="AB294" i="7"/>
  <c r="T294" i="7"/>
  <c r="AA295" i="7"/>
  <c r="AJ294" i="7"/>
  <c r="AM294" i="7"/>
  <c r="BK313" i="7"/>
  <c r="AH314" i="7"/>
  <c r="X294" i="7"/>
  <c r="AD316" i="7"/>
  <c r="L370" i="7"/>
  <c r="A369" i="7"/>
  <c r="Y295" i="7"/>
  <c r="A295" i="7"/>
  <c r="AP314" i="7"/>
  <c r="V314" i="7"/>
  <c r="Z314" i="7"/>
  <c r="C58" i="7"/>
  <c r="C50" i="7"/>
  <c r="C42" i="7"/>
  <c r="C53" i="7"/>
  <c r="C45" i="7"/>
  <c r="C60" i="7"/>
  <c r="C57" i="7"/>
  <c r="C49" i="7"/>
  <c r="C41" i="7"/>
  <c r="C46" i="7"/>
  <c r="C43" i="7"/>
  <c r="C56" i="7"/>
  <c r="C48" i="7"/>
  <c r="C54" i="7"/>
  <c r="C61" i="7"/>
  <c r="C52" i="7"/>
  <c r="C51" i="7"/>
  <c r="C63" i="7"/>
  <c r="C55" i="7"/>
  <c r="C47" i="7"/>
  <c r="C62" i="7"/>
  <c r="C44" i="7"/>
  <c r="C59" i="7"/>
  <c r="AI94" i="7"/>
  <c r="BL93" i="7"/>
  <c r="AI138" i="7"/>
  <c r="BL137" i="7"/>
  <c r="AE89" i="7"/>
  <c r="BH88" i="7"/>
  <c r="AE133" i="7"/>
  <c r="BH132" i="7"/>
  <c r="L136" i="7"/>
  <c r="A135" i="7"/>
  <c r="BH56" i="7"/>
  <c r="M39" i="7"/>
  <c r="A43" i="7"/>
  <c r="L74" i="7"/>
  <c r="V315" i="7" l="1"/>
  <c r="A296" i="7"/>
  <c r="Y296" i="7"/>
  <c r="P295" i="7"/>
  <c r="X295" i="7"/>
  <c r="AM295" i="7"/>
  <c r="AJ295" i="7"/>
  <c r="T295" i="7"/>
  <c r="U296" i="7"/>
  <c r="AD317" i="7"/>
  <c r="BK314" i="7"/>
  <c r="AH315" i="7"/>
  <c r="AA296" i="7"/>
  <c r="AB295" i="7"/>
  <c r="AK296" i="7"/>
  <c r="AL315" i="7"/>
  <c r="R316" i="7"/>
  <c r="BI294" i="7"/>
  <c r="AF295" i="7"/>
  <c r="S296" i="7"/>
  <c r="Z315" i="7"/>
  <c r="AP315" i="7"/>
  <c r="L371" i="7"/>
  <c r="A370" i="7"/>
  <c r="AG296" i="7"/>
  <c r="BJ295" i="7"/>
  <c r="AC296" i="7"/>
  <c r="Q296" i="7"/>
  <c r="AN295" i="7"/>
  <c r="W295" i="7"/>
  <c r="BL294" i="7"/>
  <c r="AI295" i="7"/>
  <c r="BH294" i="7"/>
  <c r="AE295" i="7"/>
  <c r="D60" i="7"/>
  <c r="D61" i="7"/>
  <c r="D59" i="7"/>
  <c r="D45" i="7"/>
  <c r="D62" i="7"/>
  <c r="AI139" i="7"/>
  <c r="BL138" i="7"/>
  <c r="AI95" i="7"/>
  <c r="BL94" i="7"/>
  <c r="BH57" i="7"/>
  <c r="L137" i="7"/>
  <c r="A136" i="7"/>
  <c r="AE134" i="7"/>
  <c r="BH133" i="7"/>
  <c r="AE90" i="7"/>
  <c r="BH89" i="7"/>
  <c r="D50" i="7"/>
  <c r="L75" i="7"/>
  <c r="L76" i="7" s="1"/>
  <c r="L77" i="7" s="1"/>
  <c r="L78" i="7" s="1"/>
  <c r="L79" i="7" s="1"/>
  <c r="L80" i="7" s="1"/>
  <c r="L81" i="7" s="1"/>
  <c r="L82" i="7" s="1"/>
  <c r="L83" i="7" s="1"/>
  <c r="L84" i="7" s="1"/>
  <c r="L85" i="7" s="1"/>
  <c r="L86" i="7" s="1"/>
  <c r="L87" i="7" s="1"/>
  <c r="L88" i="7" s="1"/>
  <c r="L89" i="7" s="1"/>
  <c r="L90" i="7" s="1"/>
  <c r="L91" i="7" s="1"/>
  <c r="L92" i="7" s="1"/>
  <c r="L93" i="7" s="1"/>
  <c r="L94" i="7" s="1"/>
  <c r="L95" i="7" s="1"/>
  <c r="L96" i="7" s="1"/>
  <c r="L97" i="7" s="1"/>
  <c r="L98" i="7" s="1"/>
  <c r="L99" i="7" s="1"/>
  <c r="D44" i="7"/>
  <c r="D47" i="7"/>
  <c r="D56" i="7"/>
  <c r="D42" i="7"/>
  <c r="D54" i="7"/>
  <c r="D51" i="7"/>
  <c r="D53" i="7"/>
  <c r="D46" i="7"/>
  <c r="D48" i="7"/>
  <c r="D58" i="7"/>
  <c r="D41" i="7"/>
  <c r="D63" i="7"/>
  <c r="D43" i="7"/>
  <c r="D55" i="7"/>
  <c r="D57" i="7"/>
  <c r="D49" i="7"/>
  <c r="D52" i="7"/>
  <c r="A44" i="7"/>
  <c r="AB13" i="7"/>
  <c r="AT16" i="7"/>
  <c r="AU16" i="7" s="1"/>
  <c r="AV16" i="7" s="1"/>
  <c r="AW16" i="7" s="1"/>
  <c r="AX16" i="7" s="1"/>
  <c r="AY16" i="7" s="1"/>
  <c r="AZ16" i="7" s="1"/>
  <c r="BA16" i="7" s="1"/>
  <c r="BB16" i="7" s="1"/>
  <c r="BC16" i="7" s="1"/>
  <c r="BD16" i="7" s="1"/>
  <c r="BE16" i="7" s="1"/>
  <c r="BF16" i="7" s="1"/>
  <c r="Q12" i="7"/>
  <c r="R12" i="7" s="1"/>
  <c r="S12" i="7" s="1"/>
  <c r="T12" i="7" s="1"/>
  <c r="U12" i="7" s="1"/>
  <c r="V12" i="7" s="1"/>
  <c r="W12" i="7" s="1"/>
  <c r="X12" i="7" s="1"/>
  <c r="Y12" i="7" s="1"/>
  <c r="Z12" i="7" s="1"/>
  <c r="AA12" i="7" s="1"/>
  <c r="AB12" i="7" s="1"/>
  <c r="AC12" i="7" s="1"/>
  <c r="AD12" i="7" s="1"/>
  <c r="AB18" i="7"/>
  <c r="AB19" i="7" s="1"/>
  <c r="AB20" i="7" s="1"/>
  <c r="AB21" i="7" s="1"/>
  <c r="AB22" i="7" s="1"/>
  <c r="AB23" i="7" s="1"/>
  <c r="AB24" i="7" s="1"/>
  <c r="AB25" i="7" s="1"/>
  <c r="AB26" i="7" s="1"/>
  <c r="AB27" i="7" s="1"/>
  <c r="AB28" i="7" s="1"/>
  <c r="AB29" i="7" s="1"/>
  <c r="AB30" i="7" s="1"/>
  <c r="AB31" i="7" s="1"/>
  <c r="AB74" i="7"/>
  <c r="AB75" i="7" s="1"/>
  <c r="AB76" i="7" s="1"/>
  <c r="AB77" i="7" s="1"/>
  <c r="AB78" i="7" s="1"/>
  <c r="AB79" i="7" s="1"/>
  <c r="AB80" i="7" s="1"/>
  <c r="AB81" i="7" s="1"/>
  <c r="AB82" i="7" s="1"/>
  <c r="AB83" i="7" s="1"/>
  <c r="AB84" i="7" s="1"/>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19" i="7"/>
  <c r="AB120" i="7" s="1"/>
  <c r="AB121" i="7" s="1"/>
  <c r="AB122" i="7" s="1"/>
  <c r="AB123" i="7" s="1"/>
  <c r="AB124" i="7" s="1"/>
  <c r="AB125" i="7" s="1"/>
  <c r="AB126" i="7" s="1"/>
  <c r="AB127" i="7" s="1"/>
  <c r="AB128" i="7" s="1"/>
  <c r="AB129" i="7" s="1"/>
  <c r="AB130" i="7" s="1"/>
  <c r="AB131" i="7" s="1"/>
  <c r="AB132" i="7" s="1"/>
  <c r="AB133" i="7" s="1"/>
  <c r="AB134" i="7" s="1"/>
  <c r="AB135" i="7" s="1"/>
  <c r="AB136" i="7" s="1"/>
  <c r="AB137" i="7" s="1"/>
  <c r="AB138" i="7" s="1"/>
  <c r="AB139" i="7" s="1"/>
  <c r="AB140"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B168"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B196"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B224"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B252" i="7" s="1"/>
  <c r="AB253" i="7" s="1"/>
  <c r="AB254" i="7" s="1"/>
  <c r="AB255" i="7" s="1"/>
  <c r="L100" i="7" l="1"/>
  <c r="L101" i="7" s="1"/>
  <c r="L102" i="7" s="1"/>
  <c r="BE265" i="7"/>
  <c r="BE266" i="7"/>
  <c r="BE267" i="7"/>
  <c r="BE268" i="7"/>
  <c r="BE60" i="7"/>
  <c r="BE45" i="7"/>
  <c r="BE62" i="7"/>
  <c r="BE269" i="7"/>
  <c r="BE61" i="7"/>
  <c r="BE59" i="7"/>
  <c r="BE270" i="7"/>
  <c r="BE271" i="7"/>
  <c r="BE272" i="7"/>
  <c r="BE273" i="7"/>
  <c r="BE274" i="7"/>
  <c r="BE275" i="7"/>
  <c r="BE276" i="7"/>
  <c r="BE277" i="7"/>
  <c r="BE278" i="7"/>
  <c r="BE279" i="7"/>
  <c r="BE280" i="7"/>
  <c r="BE281" i="7"/>
  <c r="BE282" i="7"/>
  <c r="BE283" i="7"/>
  <c r="BE284" i="7"/>
  <c r="BE285" i="7"/>
  <c r="BE286" i="7"/>
  <c r="BE287" i="7"/>
  <c r="BE288" i="7"/>
  <c r="BE289" i="7"/>
  <c r="BE290" i="7"/>
  <c r="BE291" i="7"/>
  <c r="BE292" i="7"/>
  <c r="BE293" i="7"/>
  <c r="BE294" i="7"/>
  <c r="BE106" i="7"/>
  <c r="AB107" i="7"/>
  <c r="AB108" i="7" s="1"/>
  <c r="BE108" i="7" s="1"/>
  <c r="BL295" i="7"/>
  <c r="AI296" i="7"/>
  <c r="W296" i="7"/>
  <c r="BI295" i="7"/>
  <c r="AF296" i="7"/>
  <c r="BE295" i="7"/>
  <c r="AB296" i="7"/>
  <c r="AD318" i="7"/>
  <c r="U297" i="7"/>
  <c r="Y297" i="7"/>
  <c r="V316" i="7"/>
  <c r="Q297" i="7"/>
  <c r="AG297" i="7"/>
  <c r="BJ296" i="7"/>
  <c r="Z316" i="7"/>
  <c r="AL316" i="7"/>
  <c r="T296" i="7"/>
  <c r="AM296" i="7"/>
  <c r="AS295" i="7"/>
  <c r="P296" i="7"/>
  <c r="BH295" i="7"/>
  <c r="AE296" i="7"/>
  <c r="AN296" i="7"/>
  <c r="AV296" i="7"/>
  <c r="S297" i="7"/>
  <c r="R317" i="7"/>
  <c r="AA297" i="7"/>
  <c r="BK315" i="7"/>
  <c r="AH316" i="7"/>
  <c r="A297" i="7"/>
  <c r="AC297" i="7"/>
  <c r="L372" i="7"/>
  <c r="A371" i="7"/>
  <c r="AP316" i="7"/>
  <c r="AK297" i="7"/>
  <c r="AJ296" i="7"/>
  <c r="X296" i="7"/>
  <c r="A59" i="7"/>
  <c r="AI96" i="7"/>
  <c r="BL95" i="7"/>
  <c r="AI140" i="7"/>
  <c r="BL139" i="7"/>
  <c r="BE254" i="7"/>
  <c r="BE255" i="7"/>
  <c r="BE214" i="7"/>
  <c r="BE213" i="7"/>
  <c r="BE212" i="7"/>
  <c r="BE211" i="7"/>
  <c r="BE210" i="7"/>
  <c r="BE209" i="7"/>
  <c r="BE252" i="7"/>
  <c r="BE239" i="7"/>
  <c r="BE236" i="7"/>
  <c r="BE233" i="7"/>
  <c r="BE231" i="7"/>
  <c r="BE218" i="7"/>
  <c r="BE216" i="7"/>
  <c r="BE243" i="7"/>
  <c r="BE226" i="7"/>
  <c r="BE242" i="7"/>
  <c r="BE235" i="7"/>
  <c r="BE250" i="7"/>
  <c r="BE240" i="7"/>
  <c r="BE227" i="7"/>
  <c r="BE208" i="7"/>
  <c r="BE204" i="7"/>
  <c r="BE200" i="7"/>
  <c r="BE196" i="7"/>
  <c r="BE192" i="7"/>
  <c r="BE188" i="7"/>
  <c r="BE184" i="7"/>
  <c r="BE180" i="7"/>
  <c r="BE176" i="7"/>
  <c r="BE172" i="7"/>
  <c r="BE168" i="7"/>
  <c r="BE164" i="7"/>
  <c r="BE160" i="7"/>
  <c r="BE246" i="7"/>
  <c r="BE225" i="7"/>
  <c r="BE207" i="7"/>
  <c r="BE205" i="7"/>
  <c r="BE190" i="7"/>
  <c r="BE251" i="7"/>
  <c r="BE203" i="7"/>
  <c r="BE201" i="7"/>
  <c r="BE186" i="7"/>
  <c r="BE248" i="7"/>
  <c r="BE244" i="7"/>
  <c r="BE241" i="7"/>
  <c r="BE237" i="7"/>
  <c r="BE228" i="7"/>
  <c r="BE206" i="7"/>
  <c r="BE191" i="7"/>
  <c r="BE189" i="7"/>
  <c r="BE174" i="7"/>
  <c r="BE159" i="7"/>
  <c r="BE229" i="7"/>
  <c r="BE182" i="7"/>
  <c r="BE181" i="7"/>
  <c r="BE175" i="7"/>
  <c r="BE169" i="7"/>
  <c r="BE166" i="7"/>
  <c r="BE249" i="7"/>
  <c r="BE247" i="7"/>
  <c r="BE230" i="7"/>
  <c r="BE193" i="7"/>
  <c r="BE177" i="7"/>
  <c r="BE234" i="7"/>
  <c r="BE221" i="7"/>
  <c r="BE217" i="7"/>
  <c r="BE199" i="7"/>
  <c r="BE185" i="7"/>
  <c r="BE146" i="7"/>
  <c r="BE144" i="7"/>
  <c r="BE245" i="7"/>
  <c r="BE223" i="7"/>
  <c r="BE171" i="7"/>
  <c r="BE167" i="7"/>
  <c r="BE165" i="7"/>
  <c r="BE163" i="7"/>
  <c r="BE162" i="7"/>
  <c r="BE161" i="7"/>
  <c r="BE155" i="7"/>
  <c r="BE153" i="7"/>
  <c r="BE198" i="7"/>
  <c r="BE183" i="7"/>
  <c r="BE178" i="7"/>
  <c r="BE154" i="7"/>
  <c r="BE147" i="7"/>
  <c r="BE130" i="7"/>
  <c r="BE128" i="7"/>
  <c r="BE103" i="7"/>
  <c r="BE101" i="7"/>
  <c r="BE86" i="7"/>
  <c r="BE84" i="7"/>
  <c r="BE58" i="7"/>
  <c r="BE56" i="7"/>
  <c r="BE253" i="7"/>
  <c r="BE238" i="7"/>
  <c r="BE220" i="7"/>
  <c r="BE215" i="7"/>
  <c r="BE152" i="7"/>
  <c r="BE145" i="7"/>
  <c r="BE122" i="7"/>
  <c r="BE120" i="7"/>
  <c r="BE95" i="7"/>
  <c r="BE93" i="7"/>
  <c r="BE78" i="7"/>
  <c r="BE76" i="7"/>
  <c r="BE224" i="7"/>
  <c r="BE157" i="7"/>
  <c r="BE121" i="7"/>
  <c r="BE102" i="7"/>
  <c r="BE82" i="7"/>
  <c r="BE41" i="7"/>
  <c r="BE30" i="7"/>
  <c r="BE24" i="7"/>
  <c r="BE20" i="7"/>
  <c r="BE133" i="7"/>
  <c r="BE88" i="7"/>
  <c r="BE81" i="7"/>
  <c r="BE75" i="7"/>
  <c r="BE28" i="7"/>
  <c r="BE219" i="7"/>
  <c r="BE197" i="7"/>
  <c r="BE195" i="7"/>
  <c r="BE134" i="7"/>
  <c r="BE127" i="7"/>
  <c r="BE74" i="7"/>
  <c r="BE179" i="7"/>
  <c r="BE149" i="7"/>
  <c r="BE148" i="7"/>
  <c r="BE140" i="7"/>
  <c r="BE105" i="7"/>
  <c r="BE104" i="7"/>
  <c r="BE98" i="7"/>
  <c r="BE91" i="7"/>
  <c r="BE49" i="7"/>
  <c r="BE158" i="7"/>
  <c r="BE141" i="7"/>
  <c r="BE132" i="7"/>
  <c r="BE125" i="7"/>
  <c r="BE118" i="7"/>
  <c r="BE57" i="7"/>
  <c r="BE51" i="7"/>
  <c r="BE29" i="7"/>
  <c r="BE27" i="7"/>
  <c r="BE92" i="7"/>
  <c r="BE85" i="7"/>
  <c r="BE52" i="7"/>
  <c r="BE42" i="7"/>
  <c r="BE31" i="7"/>
  <c r="BE26" i="7"/>
  <c r="BE25" i="7"/>
  <c r="BE126" i="7"/>
  <c r="BE100" i="7"/>
  <c r="BE89" i="7"/>
  <c r="BE53" i="7"/>
  <c r="BE43" i="7"/>
  <c r="BE142" i="7"/>
  <c r="BE139" i="7"/>
  <c r="BE63" i="7"/>
  <c r="BE46" i="7"/>
  <c r="BE23" i="7"/>
  <c r="BE123" i="7"/>
  <c r="BE97" i="7"/>
  <c r="BE79" i="7"/>
  <c r="BE150" i="7"/>
  <c r="BE136" i="7"/>
  <c r="BE129" i="7"/>
  <c r="BE99" i="7"/>
  <c r="BE96" i="7"/>
  <c r="BE47" i="7"/>
  <c r="BE44" i="7"/>
  <c r="BE119" i="7"/>
  <c r="BE232" i="7"/>
  <c r="BE222" i="7"/>
  <c r="BE151" i="7"/>
  <c r="BE137" i="7"/>
  <c r="BE54" i="7"/>
  <c r="BE187" i="7"/>
  <c r="BE173" i="7"/>
  <c r="BE94" i="7"/>
  <c r="BE90" i="7"/>
  <c r="BE87" i="7"/>
  <c r="BE83" i="7"/>
  <c r="BE80" i="7"/>
  <c r="BE55" i="7"/>
  <c r="BE170" i="7"/>
  <c r="BE131" i="7"/>
  <c r="BE124" i="7"/>
  <c r="BE73" i="7"/>
  <c r="BE50" i="7"/>
  <c r="BE19" i="7"/>
  <c r="BE202" i="7"/>
  <c r="BE194" i="7"/>
  <c r="BE156" i="7"/>
  <c r="BE143" i="7"/>
  <c r="BE138" i="7"/>
  <c r="BE135" i="7"/>
  <c r="BE77" i="7"/>
  <c r="BE18" i="7"/>
  <c r="BE17" i="7"/>
  <c r="BE21" i="7"/>
  <c r="BE22" i="7"/>
  <c r="BE48" i="7"/>
  <c r="AE91" i="7"/>
  <c r="BH90" i="7"/>
  <c r="L138" i="7"/>
  <c r="A137" i="7"/>
  <c r="AE135" i="7"/>
  <c r="BH134" i="7"/>
  <c r="BH63" i="7"/>
  <c r="BH58" i="7"/>
  <c r="AE12" i="7"/>
  <c r="A56" i="7"/>
  <c r="A46" i="7"/>
  <c r="BG16" i="7"/>
  <c r="BH16" i="7" s="1"/>
  <c r="AP119" i="7"/>
  <c r="AP120" i="7" s="1"/>
  <c r="AP121" i="7" s="1"/>
  <c r="AP122" i="7" s="1"/>
  <c r="AP123" i="7" s="1"/>
  <c r="AP124" i="7" s="1"/>
  <c r="AP125" i="7" s="1"/>
  <c r="AP126" i="7" s="1"/>
  <c r="AP127" i="7" s="1"/>
  <c r="AP128" i="7" s="1"/>
  <c r="AP129" i="7" s="1"/>
  <c r="AP130" i="7" s="1"/>
  <c r="AP131" i="7" s="1"/>
  <c r="AP132" i="7" s="1"/>
  <c r="AP133" i="7" s="1"/>
  <c r="AP134" i="7" s="1"/>
  <c r="AP135" i="7" s="1"/>
  <c r="AP136" i="7" s="1"/>
  <c r="AP137" i="7" s="1"/>
  <c r="AP138" i="7" s="1"/>
  <c r="AP139" i="7" s="1"/>
  <c r="AP140" i="7" s="1"/>
  <c r="AN119" i="7"/>
  <c r="AN120" i="7" s="1"/>
  <c r="AN121" i="7" s="1"/>
  <c r="AN122" i="7" s="1"/>
  <c r="AN123" i="7" s="1"/>
  <c r="AN124" i="7" s="1"/>
  <c r="AN125" i="7" s="1"/>
  <c r="AN126" i="7" s="1"/>
  <c r="AN127" i="7" s="1"/>
  <c r="AN128" i="7" s="1"/>
  <c r="AN129" i="7" s="1"/>
  <c r="AN130" i="7" s="1"/>
  <c r="AN131" i="7" s="1"/>
  <c r="AN132" i="7" s="1"/>
  <c r="AN133" i="7" s="1"/>
  <c r="AN134" i="7" s="1"/>
  <c r="AN135" i="7" s="1"/>
  <c r="AN136" i="7" s="1"/>
  <c r="AN137" i="7" s="1"/>
  <c r="AN138" i="7" s="1"/>
  <c r="AN139" i="7" s="1"/>
  <c r="AN140" i="7" s="1"/>
  <c r="AN141" i="7" s="1"/>
  <c r="AN142" i="7" s="1"/>
  <c r="AN143" i="7" s="1"/>
  <c r="AN144" i="7" s="1"/>
  <c r="AN145" i="7" s="1"/>
  <c r="AN146" i="7" s="1"/>
  <c r="AN147" i="7" s="1"/>
  <c r="AN148" i="7" s="1"/>
  <c r="AN149" i="7" s="1"/>
  <c r="AN150" i="7" s="1"/>
  <c r="AN151" i="7" s="1"/>
  <c r="AN152" i="7" s="1"/>
  <c r="AN153" i="7" s="1"/>
  <c r="AN154" i="7" s="1"/>
  <c r="AN155" i="7" s="1"/>
  <c r="AN156" i="7" s="1"/>
  <c r="AN157" i="7" s="1"/>
  <c r="AN158" i="7" s="1"/>
  <c r="AN159" i="7" s="1"/>
  <c r="AN160" i="7" s="1"/>
  <c r="AN161" i="7" s="1"/>
  <c r="AN162" i="7" s="1"/>
  <c r="AN163" i="7" s="1"/>
  <c r="AN164" i="7" s="1"/>
  <c r="AN165" i="7" s="1"/>
  <c r="AN166" i="7" s="1"/>
  <c r="AN167" i="7" s="1"/>
  <c r="AN168" i="7" s="1"/>
  <c r="AN169" i="7" s="1"/>
  <c r="AN170" i="7" s="1"/>
  <c r="AN171" i="7" s="1"/>
  <c r="AN172" i="7" s="1"/>
  <c r="AN173" i="7" s="1"/>
  <c r="AN174" i="7" s="1"/>
  <c r="AN175" i="7" s="1"/>
  <c r="AN176" i="7" s="1"/>
  <c r="AN177" i="7" s="1"/>
  <c r="AN178" i="7" s="1"/>
  <c r="AN179" i="7" s="1"/>
  <c r="AN180" i="7" s="1"/>
  <c r="AN181" i="7" s="1"/>
  <c r="AN182" i="7" s="1"/>
  <c r="AN183" i="7" s="1"/>
  <c r="AN184" i="7" s="1"/>
  <c r="AN185" i="7" s="1"/>
  <c r="AN186" i="7" s="1"/>
  <c r="AN187" i="7" s="1"/>
  <c r="AN188" i="7" s="1"/>
  <c r="AN189" i="7" s="1"/>
  <c r="AN190" i="7" s="1"/>
  <c r="AN191" i="7" s="1"/>
  <c r="AN192" i="7" s="1"/>
  <c r="AN193" i="7" s="1"/>
  <c r="AN194" i="7" s="1"/>
  <c r="AN195" i="7" s="1"/>
  <c r="AN196" i="7" s="1"/>
  <c r="AN197" i="7" s="1"/>
  <c r="AN198" i="7" s="1"/>
  <c r="AN199" i="7" s="1"/>
  <c r="AN200" i="7" s="1"/>
  <c r="AN201" i="7" s="1"/>
  <c r="AN202" i="7" s="1"/>
  <c r="AN203" i="7" s="1"/>
  <c r="AN204" i="7" s="1"/>
  <c r="AN205" i="7" s="1"/>
  <c r="AN206" i="7" s="1"/>
  <c r="AN207" i="7" s="1"/>
  <c r="AN208" i="7" s="1"/>
  <c r="AN209" i="7" s="1"/>
  <c r="AN210" i="7" s="1"/>
  <c r="AN211" i="7" s="1"/>
  <c r="AN212" i="7" s="1"/>
  <c r="AN213" i="7" s="1"/>
  <c r="AN214" i="7" s="1"/>
  <c r="AN215" i="7" s="1"/>
  <c r="AN216" i="7" s="1"/>
  <c r="AN217" i="7" s="1"/>
  <c r="AN218" i="7" s="1"/>
  <c r="AN219" i="7" s="1"/>
  <c r="AN220" i="7" s="1"/>
  <c r="AN221" i="7" s="1"/>
  <c r="AN222" i="7" s="1"/>
  <c r="AN223" i="7" s="1"/>
  <c r="AN224" i="7" s="1"/>
  <c r="AN225" i="7" s="1"/>
  <c r="AN226" i="7" s="1"/>
  <c r="AN227" i="7" s="1"/>
  <c r="AN228" i="7" s="1"/>
  <c r="AN229" i="7" s="1"/>
  <c r="AN230" i="7" s="1"/>
  <c r="AN231" i="7" s="1"/>
  <c r="AN232" i="7" s="1"/>
  <c r="AN233" i="7" s="1"/>
  <c r="AN234" i="7" s="1"/>
  <c r="AN235" i="7" s="1"/>
  <c r="AN236" i="7" s="1"/>
  <c r="AN237" i="7" s="1"/>
  <c r="AN238" i="7" s="1"/>
  <c r="AN239" i="7" s="1"/>
  <c r="AN240" i="7" s="1"/>
  <c r="AN241" i="7" s="1"/>
  <c r="AN242" i="7" s="1"/>
  <c r="AN243" i="7" s="1"/>
  <c r="AN244" i="7" s="1"/>
  <c r="AN245" i="7" s="1"/>
  <c r="AN246" i="7" s="1"/>
  <c r="AN247" i="7" s="1"/>
  <c r="AN248" i="7" s="1"/>
  <c r="AN249" i="7" s="1"/>
  <c r="AN250" i="7" s="1"/>
  <c r="AN251" i="7" s="1"/>
  <c r="AN252" i="7" s="1"/>
  <c r="AN253" i="7" s="1"/>
  <c r="AN254" i="7" s="1"/>
  <c r="AN255" i="7" s="1"/>
  <c r="AM119" i="7"/>
  <c r="AM120" i="7" s="1"/>
  <c r="AM121" i="7" s="1"/>
  <c r="AM122" i="7" s="1"/>
  <c r="AM123" i="7" s="1"/>
  <c r="AM124" i="7" s="1"/>
  <c r="AM125" i="7" s="1"/>
  <c r="AM126" i="7" s="1"/>
  <c r="AM127" i="7" s="1"/>
  <c r="AM128" i="7" s="1"/>
  <c r="AM129" i="7" s="1"/>
  <c r="AM130" i="7" s="1"/>
  <c r="AM131" i="7" s="1"/>
  <c r="AM132" i="7" s="1"/>
  <c r="AM133" i="7" s="1"/>
  <c r="AM134" i="7" s="1"/>
  <c r="AM135" i="7" s="1"/>
  <c r="AM136" i="7" s="1"/>
  <c r="AM137" i="7" s="1"/>
  <c r="AM138" i="7" s="1"/>
  <c r="AM139" i="7" s="1"/>
  <c r="AM140" i="7" s="1"/>
  <c r="AM141" i="7" s="1"/>
  <c r="AM142" i="7" s="1"/>
  <c r="AM143" i="7" s="1"/>
  <c r="AM144" i="7" s="1"/>
  <c r="AM145" i="7" s="1"/>
  <c r="AM146" i="7" s="1"/>
  <c r="AM147" i="7" s="1"/>
  <c r="AM148" i="7" s="1"/>
  <c r="AM149" i="7" s="1"/>
  <c r="AM150" i="7" s="1"/>
  <c r="AM151" i="7" s="1"/>
  <c r="AM152" i="7" s="1"/>
  <c r="AM153" i="7" s="1"/>
  <c r="AM154" i="7" s="1"/>
  <c r="AM155" i="7" s="1"/>
  <c r="AM156" i="7" s="1"/>
  <c r="AM157" i="7" s="1"/>
  <c r="AM158" i="7" s="1"/>
  <c r="AM159" i="7" s="1"/>
  <c r="AM160" i="7" s="1"/>
  <c r="AM161" i="7" s="1"/>
  <c r="AM162" i="7" s="1"/>
  <c r="AM163" i="7" s="1"/>
  <c r="AM164" i="7" s="1"/>
  <c r="AM165" i="7" s="1"/>
  <c r="AM166" i="7" s="1"/>
  <c r="AM167" i="7" s="1"/>
  <c r="AM168" i="7" s="1"/>
  <c r="AM169" i="7" s="1"/>
  <c r="AM170" i="7" s="1"/>
  <c r="AM171" i="7" s="1"/>
  <c r="AM172" i="7" s="1"/>
  <c r="AM173" i="7" s="1"/>
  <c r="AM174" i="7" s="1"/>
  <c r="AM175" i="7" s="1"/>
  <c r="AM176" i="7" s="1"/>
  <c r="AM177" i="7" s="1"/>
  <c r="AM178" i="7" s="1"/>
  <c r="AM179" i="7" s="1"/>
  <c r="AM180" i="7" s="1"/>
  <c r="AM181" i="7" s="1"/>
  <c r="AM182" i="7" s="1"/>
  <c r="AM183" i="7" s="1"/>
  <c r="AM184" i="7" s="1"/>
  <c r="AM185" i="7" s="1"/>
  <c r="AM186" i="7" s="1"/>
  <c r="AM187" i="7" s="1"/>
  <c r="AM188" i="7" s="1"/>
  <c r="AM189" i="7" s="1"/>
  <c r="AM190" i="7" s="1"/>
  <c r="AM191" i="7" s="1"/>
  <c r="AM192" i="7" s="1"/>
  <c r="AM193" i="7" s="1"/>
  <c r="AM194" i="7" s="1"/>
  <c r="AM195" i="7" s="1"/>
  <c r="AM196" i="7" s="1"/>
  <c r="AM197" i="7" s="1"/>
  <c r="AM198" i="7" s="1"/>
  <c r="AM199" i="7" s="1"/>
  <c r="AM200" i="7" s="1"/>
  <c r="AM201" i="7" s="1"/>
  <c r="AM202" i="7" s="1"/>
  <c r="AM203" i="7" s="1"/>
  <c r="AM204" i="7" s="1"/>
  <c r="AM205" i="7" s="1"/>
  <c r="AM206" i="7" s="1"/>
  <c r="AM207" i="7" s="1"/>
  <c r="AM208" i="7" s="1"/>
  <c r="AM209" i="7" s="1"/>
  <c r="AM210" i="7" s="1"/>
  <c r="AM211" i="7" s="1"/>
  <c r="AM212" i="7" s="1"/>
  <c r="AM213" i="7" s="1"/>
  <c r="AM214" i="7" s="1"/>
  <c r="AM215" i="7" s="1"/>
  <c r="AM216" i="7" s="1"/>
  <c r="AM217" i="7" s="1"/>
  <c r="AM218" i="7" s="1"/>
  <c r="AM219" i="7" s="1"/>
  <c r="AM220" i="7" s="1"/>
  <c r="AM221" i="7" s="1"/>
  <c r="AM222" i="7" s="1"/>
  <c r="AM223" i="7" s="1"/>
  <c r="AM224" i="7" s="1"/>
  <c r="AM225" i="7" s="1"/>
  <c r="AM226" i="7" s="1"/>
  <c r="AM227" i="7" s="1"/>
  <c r="AM228" i="7" s="1"/>
  <c r="AM229" i="7" s="1"/>
  <c r="AM230" i="7" s="1"/>
  <c r="AM231" i="7" s="1"/>
  <c r="AM232" i="7" s="1"/>
  <c r="AM233" i="7" s="1"/>
  <c r="AM234" i="7" s="1"/>
  <c r="AM235" i="7" s="1"/>
  <c r="AM236" i="7" s="1"/>
  <c r="AM237" i="7" s="1"/>
  <c r="AM238" i="7" s="1"/>
  <c r="AM239" i="7" s="1"/>
  <c r="AM240" i="7" s="1"/>
  <c r="AM241" i="7" s="1"/>
  <c r="AM242" i="7" s="1"/>
  <c r="AM243" i="7" s="1"/>
  <c r="AM244" i="7" s="1"/>
  <c r="AM245" i="7" s="1"/>
  <c r="AM246" i="7" s="1"/>
  <c r="AM247" i="7" s="1"/>
  <c r="AM248" i="7" s="1"/>
  <c r="AM249" i="7" s="1"/>
  <c r="AM250" i="7" s="1"/>
  <c r="AM251" i="7" s="1"/>
  <c r="AM252" i="7" s="1"/>
  <c r="AM253" i="7" s="1"/>
  <c r="AM254" i="7" s="1"/>
  <c r="AM255" i="7" s="1"/>
  <c r="AL119" i="7"/>
  <c r="AL120" i="7" s="1"/>
  <c r="AL121" i="7" s="1"/>
  <c r="AL122" i="7" s="1"/>
  <c r="AL123" i="7" s="1"/>
  <c r="AL124" i="7" s="1"/>
  <c r="AL125" i="7" s="1"/>
  <c r="AL126" i="7" s="1"/>
  <c r="AL127" i="7" s="1"/>
  <c r="AL128" i="7" s="1"/>
  <c r="AL129" i="7" s="1"/>
  <c r="AL130" i="7" s="1"/>
  <c r="AL131" i="7" s="1"/>
  <c r="AL132" i="7" s="1"/>
  <c r="AL133" i="7" s="1"/>
  <c r="AL134" i="7" s="1"/>
  <c r="AL135" i="7" s="1"/>
  <c r="AL136" i="7" s="1"/>
  <c r="AL137" i="7" s="1"/>
  <c r="AL138" i="7" s="1"/>
  <c r="AL139" i="7" s="1"/>
  <c r="AL140" i="7" s="1"/>
  <c r="AL141" i="7" s="1"/>
  <c r="AL142" i="7" s="1"/>
  <c r="AL143" i="7" s="1"/>
  <c r="AL144" i="7" s="1"/>
  <c r="AL145" i="7" s="1"/>
  <c r="AL146" i="7" s="1"/>
  <c r="AL147" i="7" s="1"/>
  <c r="AL148" i="7" s="1"/>
  <c r="AL149" i="7" s="1"/>
  <c r="AL150" i="7" s="1"/>
  <c r="AL151" i="7" s="1"/>
  <c r="AL152" i="7" s="1"/>
  <c r="AL153" i="7" s="1"/>
  <c r="AL154" i="7" s="1"/>
  <c r="AL155" i="7" s="1"/>
  <c r="AL156" i="7" s="1"/>
  <c r="AL157" i="7" s="1"/>
  <c r="AL158" i="7" s="1"/>
  <c r="AL159" i="7" s="1"/>
  <c r="AL160" i="7" s="1"/>
  <c r="AL161" i="7" s="1"/>
  <c r="AL162" i="7" s="1"/>
  <c r="AL163" i="7" s="1"/>
  <c r="AL164" i="7" s="1"/>
  <c r="AL165" i="7" s="1"/>
  <c r="AL166" i="7" s="1"/>
  <c r="AL167" i="7" s="1"/>
  <c r="AL168" i="7" s="1"/>
  <c r="AL169" i="7" s="1"/>
  <c r="AL170" i="7" s="1"/>
  <c r="AL171" i="7" s="1"/>
  <c r="AL172" i="7" s="1"/>
  <c r="AL173" i="7" s="1"/>
  <c r="AL174" i="7" s="1"/>
  <c r="AL175" i="7" s="1"/>
  <c r="AL176" i="7" s="1"/>
  <c r="AL177" i="7" s="1"/>
  <c r="AL178" i="7" s="1"/>
  <c r="AL179" i="7" s="1"/>
  <c r="AL180" i="7" s="1"/>
  <c r="AL181" i="7" s="1"/>
  <c r="AL182" i="7" s="1"/>
  <c r="AL183" i="7" s="1"/>
  <c r="AL184" i="7" s="1"/>
  <c r="AL185" i="7" s="1"/>
  <c r="AL186" i="7" s="1"/>
  <c r="AL187" i="7" s="1"/>
  <c r="AL188" i="7" s="1"/>
  <c r="AL189" i="7" s="1"/>
  <c r="AL190" i="7" s="1"/>
  <c r="AL191" i="7" s="1"/>
  <c r="AL192" i="7" s="1"/>
  <c r="AL193" i="7" s="1"/>
  <c r="AL194" i="7" s="1"/>
  <c r="AL195" i="7" s="1"/>
  <c r="AL196" i="7" s="1"/>
  <c r="AL197" i="7" s="1"/>
  <c r="AL198" i="7" s="1"/>
  <c r="AL199" i="7" s="1"/>
  <c r="AL200" i="7" s="1"/>
  <c r="AL201" i="7" s="1"/>
  <c r="AL202" i="7" s="1"/>
  <c r="AL203" i="7" s="1"/>
  <c r="AL204" i="7" s="1"/>
  <c r="AL205" i="7" s="1"/>
  <c r="AL206" i="7" s="1"/>
  <c r="AL207" i="7" s="1"/>
  <c r="AL208" i="7" s="1"/>
  <c r="AL209" i="7" s="1"/>
  <c r="AL210" i="7" s="1"/>
  <c r="AL211" i="7" s="1"/>
  <c r="AL212" i="7" s="1"/>
  <c r="AL213" i="7" s="1"/>
  <c r="AL214" i="7" s="1"/>
  <c r="AL215" i="7" s="1"/>
  <c r="AL216" i="7" s="1"/>
  <c r="AL217" i="7" s="1"/>
  <c r="AL218" i="7" s="1"/>
  <c r="AL219" i="7" s="1"/>
  <c r="AL220" i="7" s="1"/>
  <c r="AL221" i="7" s="1"/>
  <c r="AL222" i="7" s="1"/>
  <c r="AL223" i="7" s="1"/>
  <c r="AL224" i="7" s="1"/>
  <c r="AL225" i="7" s="1"/>
  <c r="AL226" i="7" s="1"/>
  <c r="AL227" i="7" s="1"/>
  <c r="AL228" i="7" s="1"/>
  <c r="AL229" i="7" s="1"/>
  <c r="AL230" i="7" s="1"/>
  <c r="AL231" i="7" s="1"/>
  <c r="AL232" i="7" s="1"/>
  <c r="AL233" i="7" s="1"/>
  <c r="AL234" i="7" s="1"/>
  <c r="AL235" i="7" s="1"/>
  <c r="AL236" i="7" s="1"/>
  <c r="AL237" i="7" s="1"/>
  <c r="AL238" i="7" s="1"/>
  <c r="AL239" i="7" s="1"/>
  <c r="AL240" i="7" s="1"/>
  <c r="AL241" i="7" s="1"/>
  <c r="AL242" i="7" s="1"/>
  <c r="AL243" i="7" s="1"/>
  <c r="AL244" i="7" s="1"/>
  <c r="AL245" i="7" s="1"/>
  <c r="AL246" i="7" s="1"/>
  <c r="AL247" i="7" s="1"/>
  <c r="AL248" i="7" s="1"/>
  <c r="AL249" i="7" s="1"/>
  <c r="AL250" i="7" s="1"/>
  <c r="AL251" i="7" s="1"/>
  <c r="AL252" i="7" s="1"/>
  <c r="AL253" i="7" s="1"/>
  <c r="AL254" i="7" s="1"/>
  <c r="AL255" i="7" s="1"/>
  <c r="AK119" i="7"/>
  <c r="AK120" i="7" s="1"/>
  <c r="AK121" i="7" s="1"/>
  <c r="AK122" i="7" s="1"/>
  <c r="AK123" i="7" s="1"/>
  <c r="AK124" i="7" s="1"/>
  <c r="AK125" i="7" s="1"/>
  <c r="AK126" i="7" s="1"/>
  <c r="AK127" i="7" s="1"/>
  <c r="AK128" i="7" s="1"/>
  <c r="AK129" i="7" s="1"/>
  <c r="AK130" i="7" s="1"/>
  <c r="AK131" i="7" s="1"/>
  <c r="AK132" i="7" s="1"/>
  <c r="AK133" i="7" s="1"/>
  <c r="AK134" i="7" s="1"/>
  <c r="AK135" i="7" s="1"/>
  <c r="AK136" i="7" s="1"/>
  <c r="AK137" i="7" s="1"/>
  <c r="AK138" i="7" s="1"/>
  <c r="AK139" i="7" s="1"/>
  <c r="AK140" i="7" s="1"/>
  <c r="AK141" i="7" s="1"/>
  <c r="AK142" i="7" s="1"/>
  <c r="AK143" i="7" s="1"/>
  <c r="AK144" i="7" s="1"/>
  <c r="AK145" i="7" s="1"/>
  <c r="AK146" i="7" s="1"/>
  <c r="AK147" i="7" s="1"/>
  <c r="AK148" i="7" s="1"/>
  <c r="AK149" i="7" s="1"/>
  <c r="AK150" i="7" s="1"/>
  <c r="AK151" i="7" s="1"/>
  <c r="AK152" i="7" s="1"/>
  <c r="AK153" i="7" s="1"/>
  <c r="AK154" i="7" s="1"/>
  <c r="AK155" i="7" s="1"/>
  <c r="AK156" i="7" s="1"/>
  <c r="AK157" i="7" s="1"/>
  <c r="AK158" i="7" s="1"/>
  <c r="AK159" i="7" s="1"/>
  <c r="AK160" i="7" s="1"/>
  <c r="AK161" i="7" s="1"/>
  <c r="AK162" i="7" s="1"/>
  <c r="AK163" i="7" s="1"/>
  <c r="AK164" i="7" s="1"/>
  <c r="AK165" i="7" s="1"/>
  <c r="AK166" i="7" s="1"/>
  <c r="AK167" i="7" s="1"/>
  <c r="AK168" i="7" s="1"/>
  <c r="AK169" i="7" s="1"/>
  <c r="AK170" i="7" s="1"/>
  <c r="AK171" i="7" s="1"/>
  <c r="AK172" i="7" s="1"/>
  <c r="AK173" i="7" s="1"/>
  <c r="AK174" i="7" s="1"/>
  <c r="AK175" i="7" s="1"/>
  <c r="AK176" i="7" s="1"/>
  <c r="AK177" i="7" s="1"/>
  <c r="AK178" i="7" s="1"/>
  <c r="AK179" i="7" s="1"/>
  <c r="AK180" i="7" s="1"/>
  <c r="AK181" i="7" s="1"/>
  <c r="AK182" i="7" s="1"/>
  <c r="AK183" i="7" s="1"/>
  <c r="AK184" i="7" s="1"/>
  <c r="AK185" i="7" s="1"/>
  <c r="AK186" i="7" s="1"/>
  <c r="AK187" i="7" s="1"/>
  <c r="AK188" i="7" s="1"/>
  <c r="AK189" i="7" s="1"/>
  <c r="AK190" i="7" s="1"/>
  <c r="AK191" i="7" s="1"/>
  <c r="AK192" i="7" s="1"/>
  <c r="AK193" i="7" s="1"/>
  <c r="AK194" i="7" s="1"/>
  <c r="AK195" i="7" s="1"/>
  <c r="AK196" i="7" s="1"/>
  <c r="AK197" i="7" s="1"/>
  <c r="AK198" i="7" s="1"/>
  <c r="AK199" i="7" s="1"/>
  <c r="AK200" i="7" s="1"/>
  <c r="AK201" i="7" s="1"/>
  <c r="AK202" i="7" s="1"/>
  <c r="AK203" i="7" s="1"/>
  <c r="AK204" i="7" s="1"/>
  <c r="AK205" i="7" s="1"/>
  <c r="AK206" i="7" s="1"/>
  <c r="AK207" i="7" s="1"/>
  <c r="AK208" i="7" s="1"/>
  <c r="AK209" i="7" s="1"/>
  <c r="AK210" i="7" s="1"/>
  <c r="AK211" i="7" s="1"/>
  <c r="AK212" i="7" s="1"/>
  <c r="AK213" i="7" s="1"/>
  <c r="AK214" i="7" s="1"/>
  <c r="AK215" i="7" s="1"/>
  <c r="AK216" i="7" s="1"/>
  <c r="AK217" i="7" s="1"/>
  <c r="AK218" i="7" s="1"/>
  <c r="AK219" i="7" s="1"/>
  <c r="AK220" i="7" s="1"/>
  <c r="AK221" i="7" s="1"/>
  <c r="AK222" i="7" s="1"/>
  <c r="AK223" i="7" s="1"/>
  <c r="AK224" i="7" s="1"/>
  <c r="AK225" i="7" s="1"/>
  <c r="AK226" i="7" s="1"/>
  <c r="AK227" i="7" s="1"/>
  <c r="AK228" i="7" s="1"/>
  <c r="AK229" i="7" s="1"/>
  <c r="AK230" i="7" s="1"/>
  <c r="AK231" i="7" s="1"/>
  <c r="AK232" i="7" s="1"/>
  <c r="AK233" i="7" s="1"/>
  <c r="AK234" i="7" s="1"/>
  <c r="AK235" i="7" s="1"/>
  <c r="AK236" i="7" s="1"/>
  <c r="AK237" i="7" s="1"/>
  <c r="AK238" i="7" s="1"/>
  <c r="AK239" i="7" s="1"/>
  <c r="AK240" i="7" s="1"/>
  <c r="AK241" i="7" s="1"/>
  <c r="AK242" i="7" s="1"/>
  <c r="AK243" i="7" s="1"/>
  <c r="AK244" i="7" s="1"/>
  <c r="AK245" i="7" s="1"/>
  <c r="AK246" i="7" s="1"/>
  <c r="AK247" i="7" s="1"/>
  <c r="AK248" i="7" s="1"/>
  <c r="AK249" i="7" s="1"/>
  <c r="AK250" i="7" s="1"/>
  <c r="AK251" i="7" s="1"/>
  <c r="AK252" i="7" s="1"/>
  <c r="AK253" i="7" s="1"/>
  <c r="AK254" i="7" s="1"/>
  <c r="AK255" i="7" s="1"/>
  <c r="AJ119" i="7"/>
  <c r="AJ120" i="7" s="1"/>
  <c r="AJ121" i="7" s="1"/>
  <c r="AJ122" i="7" s="1"/>
  <c r="AJ123" i="7" s="1"/>
  <c r="AJ124" i="7" s="1"/>
  <c r="AJ125" i="7" s="1"/>
  <c r="AJ126" i="7" s="1"/>
  <c r="AJ127" i="7" s="1"/>
  <c r="AJ128" i="7" s="1"/>
  <c r="AJ129" i="7" s="1"/>
  <c r="AJ130" i="7" s="1"/>
  <c r="AJ131" i="7" s="1"/>
  <c r="AJ132" i="7" s="1"/>
  <c r="AJ133" i="7" s="1"/>
  <c r="AJ134" i="7" s="1"/>
  <c r="AJ135" i="7" s="1"/>
  <c r="AJ136" i="7" s="1"/>
  <c r="AJ137" i="7" s="1"/>
  <c r="AJ138" i="7" s="1"/>
  <c r="AJ139" i="7" s="1"/>
  <c r="AJ140" i="7" s="1"/>
  <c r="AJ141" i="7" s="1"/>
  <c r="AJ142" i="7" s="1"/>
  <c r="AJ143" i="7" s="1"/>
  <c r="AJ144" i="7" s="1"/>
  <c r="AJ145" i="7" s="1"/>
  <c r="AJ146" i="7" s="1"/>
  <c r="AJ147" i="7" s="1"/>
  <c r="AJ148" i="7" s="1"/>
  <c r="AJ149" i="7" s="1"/>
  <c r="AJ150" i="7" s="1"/>
  <c r="AJ151" i="7" s="1"/>
  <c r="AJ152" i="7" s="1"/>
  <c r="AJ153" i="7" s="1"/>
  <c r="AJ154" i="7" s="1"/>
  <c r="AJ155" i="7" s="1"/>
  <c r="AJ156" i="7" s="1"/>
  <c r="AJ157" i="7" s="1"/>
  <c r="AJ158" i="7" s="1"/>
  <c r="AJ159" i="7" s="1"/>
  <c r="AJ160" i="7" s="1"/>
  <c r="AJ161" i="7" s="1"/>
  <c r="AJ162" i="7" s="1"/>
  <c r="AJ163" i="7" s="1"/>
  <c r="AJ164" i="7" s="1"/>
  <c r="AJ165" i="7" s="1"/>
  <c r="AJ166" i="7" s="1"/>
  <c r="AJ167" i="7" s="1"/>
  <c r="AJ168" i="7" s="1"/>
  <c r="AJ169" i="7" s="1"/>
  <c r="AJ170" i="7" s="1"/>
  <c r="AJ171" i="7" s="1"/>
  <c r="AJ172" i="7" s="1"/>
  <c r="AJ173" i="7" s="1"/>
  <c r="AJ174" i="7" s="1"/>
  <c r="AJ175" i="7" s="1"/>
  <c r="AJ176" i="7" s="1"/>
  <c r="AJ177" i="7" s="1"/>
  <c r="AJ178" i="7" s="1"/>
  <c r="AJ179" i="7" s="1"/>
  <c r="AJ180" i="7" s="1"/>
  <c r="AJ181" i="7" s="1"/>
  <c r="AJ182" i="7" s="1"/>
  <c r="AJ183" i="7" s="1"/>
  <c r="AJ184" i="7" s="1"/>
  <c r="AJ185" i="7" s="1"/>
  <c r="AJ186" i="7" s="1"/>
  <c r="AJ187" i="7" s="1"/>
  <c r="AJ188" i="7" s="1"/>
  <c r="AJ189" i="7" s="1"/>
  <c r="AJ190" i="7" s="1"/>
  <c r="AJ191" i="7" s="1"/>
  <c r="AJ192" i="7" s="1"/>
  <c r="AJ193" i="7" s="1"/>
  <c r="AJ194" i="7" s="1"/>
  <c r="AJ195" i="7" s="1"/>
  <c r="AJ196" i="7" s="1"/>
  <c r="AJ197" i="7" s="1"/>
  <c r="AJ198" i="7" s="1"/>
  <c r="AJ199" i="7" s="1"/>
  <c r="AJ200" i="7" s="1"/>
  <c r="AJ201" i="7" s="1"/>
  <c r="AJ202" i="7" s="1"/>
  <c r="AJ203" i="7" s="1"/>
  <c r="AJ204" i="7" s="1"/>
  <c r="AJ205" i="7" s="1"/>
  <c r="AJ206" i="7" s="1"/>
  <c r="AJ207" i="7" s="1"/>
  <c r="AJ208" i="7" s="1"/>
  <c r="AJ209" i="7" s="1"/>
  <c r="AJ210" i="7" s="1"/>
  <c r="AJ211" i="7" s="1"/>
  <c r="AJ212" i="7" s="1"/>
  <c r="AJ213" i="7" s="1"/>
  <c r="AJ214" i="7" s="1"/>
  <c r="AJ215" i="7" s="1"/>
  <c r="AJ216" i="7" s="1"/>
  <c r="AJ217" i="7" s="1"/>
  <c r="AJ218" i="7" s="1"/>
  <c r="AJ219" i="7" s="1"/>
  <c r="AJ220" i="7" s="1"/>
  <c r="AJ221" i="7" s="1"/>
  <c r="AJ222" i="7" s="1"/>
  <c r="AJ223" i="7" s="1"/>
  <c r="AJ224" i="7" s="1"/>
  <c r="AJ225" i="7" s="1"/>
  <c r="AJ226" i="7" s="1"/>
  <c r="AJ227" i="7" s="1"/>
  <c r="AJ228" i="7" s="1"/>
  <c r="AJ229" i="7" s="1"/>
  <c r="AJ230" i="7" s="1"/>
  <c r="AJ231" i="7" s="1"/>
  <c r="AJ232" i="7" s="1"/>
  <c r="AJ233" i="7" s="1"/>
  <c r="AJ234" i="7" s="1"/>
  <c r="AJ235" i="7" s="1"/>
  <c r="AJ236" i="7" s="1"/>
  <c r="AJ237" i="7" s="1"/>
  <c r="AJ238" i="7" s="1"/>
  <c r="AJ239" i="7" s="1"/>
  <c r="AJ240" i="7" s="1"/>
  <c r="AJ241" i="7" s="1"/>
  <c r="AJ242" i="7" s="1"/>
  <c r="AJ243" i="7" s="1"/>
  <c r="AJ244" i="7" s="1"/>
  <c r="AJ245" i="7" s="1"/>
  <c r="AJ246" i="7" s="1"/>
  <c r="AJ247" i="7" s="1"/>
  <c r="AJ248" i="7" s="1"/>
  <c r="AJ249" i="7" s="1"/>
  <c r="AJ250" i="7" s="1"/>
  <c r="AJ251" i="7" s="1"/>
  <c r="AJ252" i="7" s="1"/>
  <c r="AJ253" i="7" s="1"/>
  <c r="AJ254" i="7" s="1"/>
  <c r="AJ255" i="7" s="1"/>
  <c r="AD119" i="7"/>
  <c r="AD120" i="7" s="1"/>
  <c r="AD121" i="7" s="1"/>
  <c r="AD122" i="7" s="1"/>
  <c r="AD123" i="7" s="1"/>
  <c r="AD124" i="7" s="1"/>
  <c r="AD125" i="7" s="1"/>
  <c r="AD126" i="7" s="1"/>
  <c r="AD127" i="7" s="1"/>
  <c r="AD128" i="7" s="1"/>
  <c r="AD129" i="7" s="1"/>
  <c r="AD130" i="7" s="1"/>
  <c r="AD131" i="7" s="1"/>
  <c r="AD132" i="7" s="1"/>
  <c r="AD133" i="7" s="1"/>
  <c r="AD134" i="7" s="1"/>
  <c r="AD135" i="7" s="1"/>
  <c r="AD136" i="7" s="1"/>
  <c r="AD137" i="7" s="1"/>
  <c r="AD138" i="7" s="1"/>
  <c r="AD139" i="7" s="1"/>
  <c r="AD140"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D168"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D196"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D224"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D252" i="7" s="1"/>
  <c r="AD253" i="7" s="1"/>
  <c r="AD254" i="7" s="1"/>
  <c r="AD255" i="7" s="1"/>
  <c r="AC119" i="7"/>
  <c r="AC120" i="7" s="1"/>
  <c r="AC121" i="7" s="1"/>
  <c r="AC122" i="7" s="1"/>
  <c r="AC123" i="7" s="1"/>
  <c r="AC124" i="7" s="1"/>
  <c r="AC125" i="7" s="1"/>
  <c r="AC126" i="7" s="1"/>
  <c r="AC127" i="7" s="1"/>
  <c r="AC128" i="7" s="1"/>
  <c r="AC129" i="7" s="1"/>
  <c r="AC130" i="7" s="1"/>
  <c r="AC131" i="7" s="1"/>
  <c r="AC132" i="7" s="1"/>
  <c r="AC133" i="7" s="1"/>
  <c r="AC134" i="7" s="1"/>
  <c r="AC135" i="7" s="1"/>
  <c r="AC136" i="7" s="1"/>
  <c r="AC137" i="7" s="1"/>
  <c r="AC138" i="7" s="1"/>
  <c r="AC139" i="7" s="1"/>
  <c r="AC140"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C168"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C196"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C224"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C252" i="7" s="1"/>
  <c r="AC253" i="7" s="1"/>
  <c r="AC254" i="7" s="1"/>
  <c r="AC255" i="7" s="1"/>
  <c r="AA119" i="7"/>
  <c r="AA120" i="7" s="1"/>
  <c r="Z119" i="7"/>
  <c r="Z120" i="7" s="1"/>
  <c r="Y119" i="7"/>
  <c r="Y120" i="7" s="1"/>
  <c r="X119" i="7"/>
  <c r="X120" i="7" s="1"/>
  <c r="W119" i="7"/>
  <c r="W120" i="7" s="1"/>
  <c r="V119" i="7"/>
  <c r="V120" i="7" s="1"/>
  <c r="U119" i="7"/>
  <c r="U120" i="7" s="1"/>
  <c r="T119" i="7"/>
  <c r="T120" i="7" s="1"/>
  <c r="Q119" i="7"/>
  <c r="Q120" i="7" s="1"/>
  <c r="R119" i="7"/>
  <c r="R120" i="7" s="1"/>
  <c r="S119" i="7"/>
  <c r="S120" i="7" s="1"/>
  <c r="P119" i="7"/>
  <c r="P120" i="7" s="1"/>
  <c r="AP74" i="7"/>
  <c r="AP75" i="7" s="1"/>
  <c r="AP76" i="7" s="1"/>
  <c r="AP77" i="7" s="1"/>
  <c r="AP78" i="7" s="1"/>
  <c r="AP79" i="7" s="1"/>
  <c r="AP80" i="7" s="1"/>
  <c r="AP81" i="7" s="1"/>
  <c r="AP82" i="7" s="1"/>
  <c r="AP83" i="7" s="1"/>
  <c r="AP84" i="7" s="1"/>
  <c r="AP85" i="7" s="1"/>
  <c r="AP86" i="7" s="1"/>
  <c r="AP87" i="7" s="1"/>
  <c r="AP88" i="7" s="1"/>
  <c r="AP89" i="7" s="1"/>
  <c r="AP90" i="7" s="1"/>
  <c r="AP91" i="7" s="1"/>
  <c r="AP92" i="7" s="1"/>
  <c r="AP93" i="7" s="1"/>
  <c r="AP94" i="7" s="1"/>
  <c r="AP95" i="7" s="1"/>
  <c r="AP96" i="7" s="1"/>
  <c r="AP97" i="7" s="1"/>
  <c r="AP98" i="7" s="1"/>
  <c r="AP99" i="7" s="1"/>
  <c r="AP100" i="7" s="1"/>
  <c r="AP101" i="7" s="1"/>
  <c r="AP102" i="7" s="1"/>
  <c r="AP103" i="7" s="1"/>
  <c r="AP104" i="7" s="1"/>
  <c r="AN74" i="7"/>
  <c r="AN75" i="7" s="1"/>
  <c r="AN76" i="7" s="1"/>
  <c r="AN77" i="7" s="1"/>
  <c r="AN78" i="7" s="1"/>
  <c r="AN79" i="7" s="1"/>
  <c r="AN80" i="7" s="1"/>
  <c r="AN81" i="7" s="1"/>
  <c r="AN82" i="7" s="1"/>
  <c r="AN83" i="7" s="1"/>
  <c r="AN84" i="7" s="1"/>
  <c r="AN85" i="7" s="1"/>
  <c r="AN86" i="7" s="1"/>
  <c r="AN87" i="7" s="1"/>
  <c r="AN88" i="7" s="1"/>
  <c r="AN89" i="7" s="1"/>
  <c r="AN90" i="7" s="1"/>
  <c r="AN91" i="7" s="1"/>
  <c r="AN92" i="7" s="1"/>
  <c r="AN93" i="7" s="1"/>
  <c r="AN94" i="7" s="1"/>
  <c r="AN95" i="7" s="1"/>
  <c r="AN96" i="7" s="1"/>
  <c r="AN97" i="7" s="1"/>
  <c r="AN98" i="7" s="1"/>
  <c r="AN99" i="7" s="1"/>
  <c r="AN100" i="7" s="1"/>
  <c r="AN101" i="7" s="1"/>
  <c r="AN102" i="7" s="1"/>
  <c r="AN103" i="7" s="1"/>
  <c r="AM74" i="7"/>
  <c r="AM75" i="7" s="1"/>
  <c r="AM76" i="7" s="1"/>
  <c r="AM77" i="7" s="1"/>
  <c r="AM78" i="7" s="1"/>
  <c r="AM79" i="7" s="1"/>
  <c r="AM80" i="7" s="1"/>
  <c r="AM81" i="7" s="1"/>
  <c r="AM82" i="7" s="1"/>
  <c r="AM83" i="7" s="1"/>
  <c r="AM84" i="7" s="1"/>
  <c r="AM85" i="7" s="1"/>
  <c r="AM86" i="7" s="1"/>
  <c r="AM87" i="7" s="1"/>
  <c r="AM88" i="7" s="1"/>
  <c r="AM89" i="7" s="1"/>
  <c r="AM90" i="7" s="1"/>
  <c r="AM91" i="7" s="1"/>
  <c r="AM92" i="7" s="1"/>
  <c r="AM93" i="7" s="1"/>
  <c r="AM94" i="7" s="1"/>
  <c r="AM95" i="7" s="1"/>
  <c r="AM96" i="7" s="1"/>
  <c r="AM97" i="7" s="1"/>
  <c r="AM98" i="7" s="1"/>
  <c r="AM99" i="7" s="1"/>
  <c r="AM100" i="7" s="1"/>
  <c r="AM101" i="7" s="1"/>
  <c r="AM102" i="7" s="1"/>
  <c r="AM103" i="7" s="1"/>
  <c r="AM104" i="7" s="1"/>
  <c r="AM105" i="7" s="1"/>
  <c r="AM106" i="7" s="1"/>
  <c r="AM107" i="7" s="1"/>
  <c r="AM108" i="7" s="1"/>
  <c r="AL74" i="7"/>
  <c r="AL75" i="7" s="1"/>
  <c r="AL76" i="7" s="1"/>
  <c r="AL77" i="7" s="1"/>
  <c r="AL78" i="7" s="1"/>
  <c r="AL79" i="7" s="1"/>
  <c r="AL80" i="7" s="1"/>
  <c r="AL81" i="7" s="1"/>
  <c r="AL82" i="7" s="1"/>
  <c r="AL83" i="7" s="1"/>
  <c r="AL84" i="7" s="1"/>
  <c r="AL85" i="7" s="1"/>
  <c r="AL86" i="7" s="1"/>
  <c r="AL87" i="7" s="1"/>
  <c r="AL88" i="7" s="1"/>
  <c r="AL89" i="7" s="1"/>
  <c r="AL90" i="7" s="1"/>
  <c r="AL91" i="7" s="1"/>
  <c r="AL92" i="7" s="1"/>
  <c r="AL93" i="7" s="1"/>
  <c r="AL94" i="7" s="1"/>
  <c r="AL95" i="7" s="1"/>
  <c r="AL96" i="7" s="1"/>
  <c r="AL97" i="7" s="1"/>
  <c r="AL98" i="7" s="1"/>
  <c r="AL99" i="7" s="1"/>
  <c r="AL100" i="7" s="1"/>
  <c r="AL101" i="7" s="1"/>
  <c r="AL102" i="7" s="1"/>
  <c r="AK74" i="7"/>
  <c r="AK75" i="7" s="1"/>
  <c r="AK76" i="7" s="1"/>
  <c r="AK77" i="7" s="1"/>
  <c r="AK78" i="7" s="1"/>
  <c r="AK79" i="7" s="1"/>
  <c r="AK80" i="7" s="1"/>
  <c r="AK81" i="7" s="1"/>
  <c r="AK82" i="7" s="1"/>
  <c r="AK83" i="7" s="1"/>
  <c r="AK84" i="7" s="1"/>
  <c r="AK85" i="7" s="1"/>
  <c r="AK86" i="7" s="1"/>
  <c r="AK87" i="7" s="1"/>
  <c r="AK88" i="7" s="1"/>
  <c r="AK89" i="7" s="1"/>
  <c r="AK90" i="7" s="1"/>
  <c r="AK91" i="7" s="1"/>
  <c r="AK92" i="7" s="1"/>
  <c r="AK93" i="7" s="1"/>
  <c r="AK94" i="7" s="1"/>
  <c r="AK95" i="7" s="1"/>
  <c r="AK96" i="7" s="1"/>
  <c r="AK97" i="7" s="1"/>
  <c r="AK98" i="7" s="1"/>
  <c r="AK99" i="7" s="1"/>
  <c r="AK100" i="7" s="1"/>
  <c r="AK101" i="7" s="1"/>
  <c r="AK102" i="7" s="1"/>
  <c r="AK103" i="7" s="1"/>
  <c r="AJ74" i="7"/>
  <c r="AJ75" i="7" s="1"/>
  <c r="AJ76" i="7" s="1"/>
  <c r="AJ77" i="7" s="1"/>
  <c r="AJ78" i="7" s="1"/>
  <c r="AJ79" i="7" s="1"/>
  <c r="AJ80" i="7" s="1"/>
  <c r="AJ81" i="7" s="1"/>
  <c r="AJ82" i="7" s="1"/>
  <c r="AJ83" i="7" s="1"/>
  <c r="AJ84" i="7" s="1"/>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C74" i="7"/>
  <c r="AC75" i="7" s="1"/>
  <c r="AC76" i="7" s="1"/>
  <c r="AC77" i="7" s="1"/>
  <c r="AC78" i="7" s="1"/>
  <c r="AC79" i="7" s="1"/>
  <c r="AC80" i="7" s="1"/>
  <c r="AC81" i="7" s="1"/>
  <c r="AC82" i="7" s="1"/>
  <c r="AC83" i="7" s="1"/>
  <c r="AC84" i="7" s="1"/>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A74" i="7"/>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Z74" i="7"/>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Y74" i="7"/>
  <c r="Y75" i="7" s="1"/>
  <c r="Y76" i="7" s="1"/>
  <c r="Y77" i="7" s="1"/>
  <c r="Y78" i="7" s="1"/>
  <c r="Y79" i="7" s="1"/>
  <c r="Y80" i="7" s="1"/>
  <c r="Y81" i="7" s="1"/>
  <c r="Y82" i="7" s="1"/>
  <c r="Y83" i="7" s="1"/>
  <c r="Y84" i="7" s="1"/>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X74" i="7"/>
  <c r="X75" i="7" s="1"/>
  <c r="X76" i="7" s="1"/>
  <c r="X77" i="7" s="1"/>
  <c r="X78" i="7" s="1"/>
  <c r="X79" i="7" s="1"/>
  <c r="X80" i="7" s="1"/>
  <c r="X81" i="7" s="1"/>
  <c r="X82" i="7" s="1"/>
  <c r="X83" i="7" s="1"/>
  <c r="X84" i="7" s="1"/>
  <c r="X85" i="7" s="1"/>
  <c r="X86" i="7" s="1"/>
  <c r="X87" i="7" s="1"/>
  <c r="X88" i="7" s="1"/>
  <c r="X89" i="7" s="1"/>
  <c r="X90" i="7" s="1"/>
  <c r="X91" i="7" s="1"/>
  <c r="X92" i="7" s="1"/>
  <c r="X93" i="7" s="1"/>
  <c r="X94" i="7" s="1"/>
  <c r="X95" i="7" s="1"/>
  <c r="X96" i="7" s="1"/>
  <c r="X97" i="7" s="1"/>
  <c r="X98" i="7" s="1"/>
  <c r="X99" i="7" s="1"/>
  <c r="X100" i="7" s="1"/>
  <c r="X101" i="7" s="1"/>
  <c r="X102" i="7" s="1"/>
  <c r="W74" i="7"/>
  <c r="W75" i="7" s="1"/>
  <c r="W76" i="7" s="1"/>
  <c r="W77" i="7" s="1"/>
  <c r="W78" i="7" s="1"/>
  <c r="W79" i="7" s="1"/>
  <c r="W80" i="7" s="1"/>
  <c r="W81" i="7" s="1"/>
  <c r="W82" i="7" s="1"/>
  <c r="W83" i="7" s="1"/>
  <c r="W84" i="7" s="1"/>
  <c r="W85" i="7" s="1"/>
  <c r="W86" i="7" s="1"/>
  <c r="W87" i="7" s="1"/>
  <c r="W88" i="7" s="1"/>
  <c r="W89" i="7" s="1"/>
  <c r="W90" i="7" s="1"/>
  <c r="W91" i="7" s="1"/>
  <c r="W92" i="7" s="1"/>
  <c r="W93" i="7" s="1"/>
  <c r="W94" i="7" s="1"/>
  <c r="W95" i="7" s="1"/>
  <c r="W96" i="7" s="1"/>
  <c r="W97" i="7" s="1"/>
  <c r="W98" i="7" s="1"/>
  <c r="W99" i="7" s="1"/>
  <c r="W100" i="7" s="1"/>
  <c r="W101" i="7" s="1"/>
  <c r="W102" i="7" s="1"/>
  <c r="W103" i="7" s="1"/>
  <c r="U74" i="7"/>
  <c r="U75" i="7" s="1"/>
  <c r="U76" i="7" s="1"/>
  <c r="U77" i="7" s="1"/>
  <c r="U78" i="7" s="1"/>
  <c r="U79" i="7" s="1"/>
  <c r="U80" i="7" s="1"/>
  <c r="U81" i="7" s="1"/>
  <c r="U82" i="7" s="1"/>
  <c r="U83" i="7" s="1"/>
  <c r="U84" i="7" s="1"/>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AX108" i="7" s="1"/>
  <c r="T74" i="7"/>
  <c r="T75" i="7" s="1"/>
  <c r="T76" i="7" s="1"/>
  <c r="T77" i="7" s="1"/>
  <c r="T78" i="7" s="1"/>
  <c r="T79" i="7" s="1"/>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S74" i="7"/>
  <c r="S75" i="7" s="1"/>
  <c r="S76" i="7" s="1"/>
  <c r="S77" i="7" s="1"/>
  <c r="S78" i="7" s="1"/>
  <c r="S79" i="7" s="1"/>
  <c r="S80" i="7" s="1"/>
  <c r="S81" i="7" s="1"/>
  <c r="S82" i="7" s="1"/>
  <c r="S83" i="7" s="1"/>
  <c r="S84" i="7" s="1"/>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R74" i="7"/>
  <c r="R75" i="7" s="1"/>
  <c r="R76" i="7" s="1"/>
  <c r="R77" i="7" s="1"/>
  <c r="R78" i="7" s="1"/>
  <c r="R79" i="7" s="1"/>
  <c r="R80" i="7" s="1"/>
  <c r="R81" i="7" s="1"/>
  <c r="R82" i="7" s="1"/>
  <c r="R83" i="7" s="1"/>
  <c r="R84" i="7" s="1"/>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Q74" i="7"/>
  <c r="Q75" i="7" s="1"/>
  <c r="Q76" i="7" s="1"/>
  <c r="Q77" i="7" s="1"/>
  <c r="Q78" i="7" s="1"/>
  <c r="Q79" i="7" s="1"/>
  <c r="Q80" i="7" s="1"/>
  <c r="Q81" i="7" s="1"/>
  <c r="Q82" i="7" s="1"/>
  <c r="Q83" i="7" s="1"/>
  <c r="Q84" i="7" s="1"/>
  <c r="Q85" i="7" s="1"/>
  <c r="Q86" i="7" s="1"/>
  <c r="Q87" i="7" s="1"/>
  <c r="Q88" i="7" s="1"/>
  <c r="Q89" i="7" s="1"/>
  <c r="Q90" i="7" s="1"/>
  <c r="Q91" i="7" s="1"/>
  <c r="Q92" i="7" s="1"/>
  <c r="Q93" i="7" s="1"/>
  <c r="Q94" i="7" s="1"/>
  <c r="Q95" i="7" s="1"/>
  <c r="Q96" i="7" s="1"/>
  <c r="Q97" i="7" s="1"/>
  <c r="Q98" i="7" s="1"/>
  <c r="Q99" i="7" s="1"/>
  <c r="Q100" i="7" s="1"/>
  <c r="Q101" i="7" s="1"/>
  <c r="Q102" i="7" s="1"/>
  <c r="Q103" i="7" s="1"/>
  <c r="P74" i="7"/>
  <c r="P75" i="7" s="1"/>
  <c r="P76" i="7" s="1"/>
  <c r="P77" i="7" s="1"/>
  <c r="P78" i="7" s="1"/>
  <c r="P79" i="7" s="1"/>
  <c r="P80" i="7" s="1"/>
  <c r="P81" i="7" s="1"/>
  <c r="P82" i="7" s="1"/>
  <c r="P83" i="7" s="1"/>
  <c r="P84" i="7" s="1"/>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AS108" i="7" s="1"/>
  <c r="A89" i="7"/>
  <c r="A90" i="7"/>
  <c r="A91" i="7"/>
  <c r="A92" i="7"/>
  <c r="A93" i="7"/>
  <c r="A94" i="7"/>
  <c r="A95" i="7"/>
  <c r="A96" i="7"/>
  <c r="A97" i="7"/>
  <c r="A98" i="7"/>
  <c r="A99" i="7"/>
  <c r="A100" i="7"/>
  <c r="A101" i="7"/>
  <c r="O96" i="7"/>
  <c r="E96" i="7"/>
  <c r="O95" i="7"/>
  <c r="E95" i="7"/>
  <c r="O94" i="7"/>
  <c r="E94" i="7"/>
  <c r="O93" i="7"/>
  <c r="E93" i="7"/>
  <c r="O92" i="7"/>
  <c r="E92" i="7"/>
  <c r="O91" i="7"/>
  <c r="E91" i="7"/>
  <c r="O90" i="7"/>
  <c r="E90" i="7"/>
  <c r="O89" i="7"/>
  <c r="E89" i="7"/>
  <c r="AK13" i="7"/>
  <c r="AL13" i="7"/>
  <c r="AM13" i="7"/>
  <c r="BP295" i="7" s="1"/>
  <c r="AN13" i="7"/>
  <c r="AO13" i="7"/>
  <c r="AP13" i="7"/>
  <c r="AQ13" i="7"/>
  <c r="AR13" i="7"/>
  <c r="AJ13" i="7"/>
  <c r="Q13" i="7"/>
  <c r="R13" i="7"/>
  <c r="S13" i="7"/>
  <c r="T13" i="7"/>
  <c r="U13" i="7"/>
  <c r="V13" i="7"/>
  <c r="W13" i="7"/>
  <c r="AZ295" i="7" s="1"/>
  <c r="X13" i="7"/>
  <c r="BA295" i="7" s="1"/>
  <c r="Y13" i="7"/>
  <c r="BB296" i="7" s="1"/>
  <c r="Z13" i="7"/>
  <c r="AA13" i="7"/>
  <c r="AC13" i="7"/>
  <c r="AD13" i="7"/>
  <c r="P13" i="7"/>
  <c r="AP18" i="7"/>
  <c r="AP19" i="7" s="1"/>
  <c r="AP20" i="7" s="1"/>
  <c r="AP21" i="7" s="1"/>
  <c r="AP22" i="7" s="1"/>
  <c r="AP23" i="7" s="1"/>
  <c r="AP24" i="7" s="1"/>
  <c r="AP25" i="7" s="1"/>
  <c r="AP26" i="7" s="1"/>
  <c r="AP27" i="7" s="1"/>
  <c r="AP28" i="7" s="1"/>
  <c r="AP29" i="7" s="1"/>
  <c r="AP30" i="7" s="1"/>
  <c r="AP31" i="7" s="1"/>
  <c r="AL18" i="7"/>
  <c r="AL19" i="7" s="1"/>
  <c r="AL20" i="7" s="1"/>
  <c r="AL21" i="7" s="1"/>
  <c r="AL22" i="7" s="1"/>
  <c r="AL23" i="7" s="1"/>
  <c r="AL24" i="7" s="1"/>
  <c r="AL25" i="7" s="1"/>
  <c r="AL26" i="7" s="1"/>
  <c r="AL27" i="7" s="1"/>
  <c r="AL28" i="7" s="1"/>
  <c r="AL29" i="7" s="1"/>
  <c r="AL30" i="7" s="1"/>
  <c r="AL31" i="7" s="1"/>
  <c r="AM18" i="7"/>
  <c r="AM19" i="7" s="1"/>
  <c r="AM20" i="7" s="1"/>
  <c r="AM21" i="7" s="1"/>
  <c r="AM22" i="7" s="1"/>
  <c r="AM23" i="7" s="1"/>
  <c r="AM24" i="7" s="1"/>
  <c r="AM25" i="7" s="1"/>
  <c r="AM26" i="7" s="1"/>
  <c r="AM27" i="7" s="1"/>
  <c r="AM28" i="7" s="1"/>
  <c r="AM29" i="7" s="1"/>
  <c r="AM30" i="7" s="1"/>
  <c r="AM31" i="7" s="1"/>
  <c r="AK18" i="7"/>
  <c r="AK19" i="7" s="1"/>
  <c r="AK20" i="7" s="1"/>
  <c r="AK21" i="7" s="1"/>
  <c r="AK22" i="7" s="1"/>
  <c r="AK23" i="7" s="1"/>
  <c r="AK24" i="7" s="1"/>
  <c r="AK25" i="7" s="1"/>
  <c r="AK26" i="7" s="1"/>
  <c r="AK27" i="7" s="1"/>
  <c r="AK28" i="7" s="1"/>
  <c r="AK29" i="7" s="1"/>
  <c r="AK30" i="7" s="1"/>
  <c r="AK31" i="7" s="1"/>
  <c r="AO17" i="7"/>
  <c r="AO265" i="7" s="1"/>
  <c r="AO266" i="7" s="1"/>
  <c r="AO267" i="7" s="1"/>
  <c r="AO268" i="7" s="1"/>
  <c r="AO269" i="7" s="1"/>
  <c r="AO270" i="7" s="1"/>
  <c r="AO271" i="7" s="1"/>
  <c r="AO272" i="7" s="1"/>
  <c r="AO273" i="7" s="1"/>
  <c r="AO274" i="7" s="1"/>
  <c r="AO275" i="7" s="1"/>
  <c r="AO276" i="7" s="1"/>
  <c r="AO277" i="7" s="1"/>
  <c r="AO278" i="7" s="1"/>
  <c r="AO279" i="7" s="1"/>
  <c r="AO280" i="7" s="1"/>
  <c r="AO281" i="7" s="1"/>
  <c r="AO282" i="7" s="1"/>
  <c r="AO283" i="7" s="1"/>
  <c r="AO284" i="7" s="1"/>
  <c r="AO285" i="7" s="1"/>
  <c r="AO286" i="7" s="1"/>
  <c r="AO287" i="7" s="1"/>
  <c r="AO288" i="7" s="1"/>
  <c r="AO289" i="7" s="1"/>
  <c r="AO290" i="7" s="1"/>
  <c r="AO291" i="7" s="1"/>
  <c r="AO292" i="7" s="1"/>
  <c r="AO293" i="7" s="1"/>
  <c r="AO294" i="7" s="1"/>
  <c r="AO295" i="7" s="1"/>
  <c r="AO296" i="7" s="1"/>
  <c r="AO297" i="7" s="1"/>
  <c r="AQ17" i="7"/>
  <c r="AQ265" i="7" s="1"/>
  <c r="AQ266" i="7" s="1"/>
  <c r="AQ267" i="7" s="1"/>
  <c r="AQ268" i="7" s="1"/>
  <c r="AQ269" i="7" s="1"/>
  <c r="AQ270" i="7" s="1"/>
  <c r="AQ271" i="7" s="1"/>
  <c r="AQ272" i="7" s="1"/>
  <c r="AQ273" i="7" s="1"/>
  <c r="AQ274" i="7" s="1"/>
  <c r="AQ275" i="7" s="1"/>
  <c r="AQ276" i="7" s="1"/>
  <c r="AQ277" i="7" s="1"/>
  <c r="AQ278" i="7" s="1"/>
  <c r="AQ279" i="7" s="1"/>
  <c r="AQ280" i="7" s="1"/>
  <c r="AQ281" i="7" s="1"/>
  <c r="AQ282" i="7" s="1"/>
  <c r="AQ283" i="7" s="1"/>
  <c r="AQ284" i="7" s="1"/>
  <c r="AQ285" i="7" s="1"/>
  <c r="AQ286" i="7" s="1"/>
  <c r="AQ287" i="7" s="1"/>
  <c r="AQ288" i="7" s="1"/>
  <c r="AQ289" i="7" s="1"/>
  <c r="AQ290" i="7" s="1"/>
  <c r="AQ291" i="7" s="1"/>
  <c r="AQ292" i="7" s="1"/>
  <c r="AQ293" i="7" s="1"/>
  <c r="AQ294" i="7" s="1"/>
  <c r="AQ295" i="7" s="1"/>
  <c r="AQ296" i="7" s="1"/>
  <c r="AQ297" i="7" s="1"/>
  <c r="AR17" i="7"/>
  <c r="AR265" i="7" s="1"/>
  <c r="AN18" i="7"/>
  <c r="AN19" i="7" s="1"/>
  <c r="AN20" i="7" s="1"/>
  <c r="AN21" i="7" s="1"/>
  <c r="AN22" i="7" s="1"/>
  <c r="AN23" i="7" s="1"/>
  <c r="AN24" i="7" s="1"/>
  <c r="AN25" i="7" s="1"/>
  <c r="AN26" i="7" s="1"/>
  <c r="AN27" i="7" s="1"/>
  <c r="AN28" i="7" s="1"/>
  <c r="AN29" i="7" s="1"/>
  <c r="AN30" i="7" s="1"/>
  <c r="AN31" i="7" s="1"/>
  <c r="W18" i="7"/>
  <c r="W19" i="7" s="1"/>
  <c r="W20" i="7" s="1"/>
  <c r="W21" i="7" s="1"/>
  <c r="W22" i="7" s="1"/>
  <c r="W23" i="7" s="1"/>
  <c r="W24" i="7" s="1"/>
  <c r="W25" i="7" s="1"/>
  <c r="W26" i="7" s="1"/>
  <c r="W27" i="7" s="1"/>
  <c r="W28" i="7" s="1"/>
  <c r="W29" i="7" s="1"/>
  <c r="W30" i="7" s="1"/>
  <c r="W31" i="7" s="1"/>
  <c r="Q18" i="7"/>
  <c r="Q19" i="7" s="1"/>
  <c r="Q20" i="7" s="1"/>
  <c r="Q21" i="7" s="1"/>
  <c r="Q22" i="7" s="1"/>
  <c r="Q23" i="7" s="1"/>
  <c r="Q24" i="7" s="1"/>
  <c r="Q25" i="7" s="1"/>
  <c r="Q26" i="7" s="1"/>
  <c r="Q27" i="7" s="1"/>
  <c r="Q28" i="7" s="1"/>
  <c r="Q29" i="7" s="1"/>
  <c r="Q30" i="7" s="1"/>
  <c r="Q31" i="7" s="1"/>
  <c r="R18" i="7"/>
  <c r="R19" i="7" s="1"/>
  <c r="R20" i="7" s="1"/>
  <c r="R21" i="7" s="1"/>
  <c r="R22" i="7" s="1"/>
  <c r="R23" i="7" s="1"/>
  <c r="R24" i="7" s="1"/>
  <c r="R25" i="7" s="1"/>
  <c r="R26" i="7" s="1"/>
  <c r="R27" i="7" s="1"/>
  <c r="R28" i="7" s="1"/>
  <c r="R29" i="7" s="1"/>
  <c r="R30" i="7" s="1"/>
  <c r="R31" i="7" s="1"/>
  <c r="S18" i="7"/>
  <c r="S19" i="7" s="1"/>
  <c r="S20" i="7" s="1"/>
  <c r="S21" i="7" s="1"/>
  <c r="S22" i="7" s="1"/>
  <c r="S23" i="7" s="1"/>
  <c r="S24" i="7" s="1"/>
  <c r="S25" i="7" s="1"/>
  <c r="S26" i="7" s="1"/>
  <c r="S27" i="7" s="1"/>
  <c r="S28" i="7" s="1"/>
  <c r="S29" i="7" s="1"/>
  <c r="S30" i="7" s="1"/>
  <c r="S31" i="7" s="1"/>
  <c r="T18" i="7"/>
  <c r="T19" i="7" s="1"/>
  <c r="T20" i="7" s="1"/>
  <c r="T21" i="7" s="1"/>
  <c r="T22" i="7" s="1"/>
  <c r="T23" i="7" s="1"/>
  <c r="T24" i="7" s="1"/>
  <c r="T25" i="7" s="1"/>
  <c r="T26" i="7" s="1"/>
  <c r="T27" i="7" s="1"/>
  <c r="T28" i="7" s="1"/>
  <c r="T29" i="7" s="1"/>
  <c r="T30" i="7" s="1"/>
  <c r="T31" i="7" s="1"/>
  <c r="P18" i="7"/>
  <c r="P19" i="7" s="1"/>
  <c r="P20" i="7" s="1"/>
  <c r="P21" i="7" s="1"/>
  <c r="P22" i="7" s="1"/>
  <c r="P23" i="7" s="1"/>
  <c r="P24" i="7" s="1"/>
  <c r="P25" i="7" s="1"/>
  <c r="P26" i="7" s="1"/>
  <c r="P27" i="7" s="1"/>
  <c r="P28" i="7" s="1"/>
  <c r="P29" i="7" s="1"/>
  <c r="P30" i="7" s="1"/>
  <c r="P31" i="7" s="1"/>
  <c r="BT296" i="7" l="1"/>
  <c r="L103" i="7"/>
  <c r="A102" i="7"/>
  <c r="BF265" i="7"/>
  <c r="BF266" i="7"/>
  <c r="BF267" i="7"/>
  <c r="BF268" i="7"/>
  <c r="BF269" i="7"/>
  <c r="BF45" i="7"/>
  <c r="BF61" i="7"/>
  <c r="BF270" i="7"/>
  <c r="BF59" i="7"/>
  <c r="BF60" i="7"/>
  <c r="BF62" i="7"/>
  <c r="BF106" i="7"/>
  <c r="BF271" i="7"/>
  <c r="BF272" i="7"/>
  <c r="BF107" i="7"/>
  <c r="BF273" i="7"/>
  <c r="BF274" i="7"/>
  <c r="BF275" i="7"/>
  <c r="BF276" i="7"/>
  <c r="BF277" i="7"/>
  <c r="BF278" i="7"/>
  <c r="BF279" i="7"/>
  <c r="BF280" i="7"/>
  <c r="BF281" i="7"/>
  <c r="BF282" i="7"/>
  <c r="BF283" i="7"/>
  <c r="BF284" i="7"/>
  <c r="BF285" i="7"/>
  <c r="BF286" i="7"/>
  <c r="BF287" i="7"/>
  <c r="BF288" i="7"/>
  <c r="BF289" i="7"/>
  <c r="BF290" i="7"/>
  <c r="BF291" i="7"/>
  <c r="BF292" i="7"/>
  <c r="BF293" i="7"/>
  <c r="BF294" i="7"/>
  <c r="BF295" i="7"/>
  <c r="AW265" i="7"/>
  <c r="AW266" i="7"/>
  <c r="AW267" i="7"/>
  <c r="AW268" i="7"/>
  <c r="AW60" i="7"/>
  <c r="AW62" i="7"/>
  <c r="AW45" i="7"/>
  <c r="AW269" i="7"/>
  <c r="AW61" i="7"/>
  <c r="AW59" i="7"/>
  <c r="AW270" i="7"/>
  <c r="AW271" i="7"/>
  <c r="AW272" i="7"/>
  <c r="AW273" i="7"/>
  <c r="AW274" i="7"/>
  <c r="AW275" i="7"/>
  <c r="AW276" i="7"/>
  <c r="AW277" i="7"/>
  <c r="AW278" i="7"/>
  <c r="AW279" i="7"/>
  <c r="AW280" i="7"/>
  <c r="AW281" i="7"/>
  <c r="AW282" i="7"/>
  <c r="AW283" i="7"/>
  <c r="AW284" i="7"/>
  <c r="AW285" i="7"/>
  <c r="AW286" i="7"/>
  <c r="AW287" i="7"/>
  <c r="AW288" i="7"/>
  <c r="AW289" i="7"/>
  <c r="AW290" i="7"/>
  <c r="AW291" i="7"/>
  <c r="AW292" i="7"/>
  <c r="AW293" i="7"/>
  <c r="AW294" i="7"/>
  <c r="BR265" i="7"/>
  <c r="BR266" i="7"/>
  <c r="BR267" i="7"/>
  <c r="BR268" i="7"/>
  <c r="BR269" i="7"/>
  <c r="BR270" i="7"/>
  <c r="BR271" i="7"/>
  <c r="BR272" i="7"/>
  <c r="BR273" i="7"/>
  <c r="BR274" i="7"/>
  <c r="BR275" i="7"/>
  <c r="BR276" i="7"/>
  <c r="BR277" i="7"/>
  <c r="BR278" i="7"/>
  <c r="BR279" i="7"/>
  <c r="BR280" i="7"/>
  <c r="BR281" i="7"/>
  <c r="BR282" i="7"/>
  <c r="BR283" i="7"/>
  <c r="BR284" i="7"/>
  <c r="BR285" i="7"/>
  <c r="BR286" i="7"/>
  <c r="BR287" i="7"/>
  <c r="BR288" i="7"/>
  <c r="BR289" i="7"/>
  <c r="BR290" i="7"/>
  <c r="BR291" i="7"/>
  <c r="BR292" i="7"/>
  <c r="BR293" i="7"/>
  <c r="BR294" i="7"/>
  <c r="BR295" i="7"/>
  <c r="BR296" i="7"/>
  <c r="BD265" i="7"/>
  <c r="BD266" i="7"/>
  <c r="BD267" i="7"/>
  <c r="BD268" i="7"/>
  <c r="BD269" i="7"/>
  <c r="BD60" i="7"/>
  <c r="BD45" i="7"/>
  <c r="BD59" i="7"/>
  <c r="BD270" i="7"/>
  <c r="BD61" i="7"/>
  <c r="BD62" i="7"/>
  <c r="BD271" i="7"/>
  <c r="BD272" i="7"/>
  <c r="BD273" i="7"/>
  <c r="BD274" i="7"/>
  <c r="BD275" i="7"/>
  <c r="BD276" i="7"/>
  <c r="BD277" i="7"/>
  <c r="BD278" i="7"/>
  <c r="BD279" i="7"/>
  <c r="BD280" i="7"/>
  <c r="BD281" i="7"/>
  <c r="BD282" i="7"/>
  <c r="BD283" i="7"/>
  <c r="BD284" i="7"/>
  <c r="BD285" i="7"/>
  <c r="BD286" i="7"/>
  <c r="BD287" i="7"/>
  <c r="BD288" i="7"/>
  <c r="BD289" i="7"/>
  <c r="BD290" i="7"/>
  <c r="BD291" i="7"/>
  <c r="BD292" i="7"/>
  <c r="BD293" i="7"/>
  <c r="BD294" i="7"/>
  <c r="BD295" i="7"/>
  <c r="AV266" i="7"/>
  <c r="AV265" i="7"/>
  <c r="AV267" i="7"/>
  <c r="AV268" i="7"/>
  <c r="AV269" i="7"/>
  <c r="AV59" i="7"/>
  <c r="AV60" i="7"/>
  <c r="AV270" i="7"/>
  <c r="AV45" i="7"/>
  <c r="AV61" i="7"/>
  <c r="AV62" i="7"/>
  <c r="AV271" i="7"/>
  <c r="AV272" i="7"/>
  <c r="AV273" i="7"/>
  <c r="AV274" i="7"/>
  <c r="AV275" i="7"/>
  <c r="AV276" i="7"/>
  <c r="AV277" i="7"/>
  <c r="AV278" i="7"/>
  <c r="AV279" i="7"/>
  <c r="AV280" i="7"/>
  <c r="AV281" i="7"/>
  <c r="AV282" i="7"/>
  <c r="AV283" i="7"/>
  <c r="AV284" i="7"/>
  <c r="AV285" i="7"/>
  <c r="AV286" i="7"/>
  <c r="AV287" i="7"/>
  <c r="AV288" i="7"/>
  <c r="AV289" i="7"/>
  <c r="AV290" i="7"/>
  <c r="AV291" i="7"/>
  <c r="AV292" i="7"/>
  <c r="AV293" i="7"/>
  <c r="AV294" i="7"/>
  <c r="AV295" i="7"/>
  <c r="BQ265" i="7"/>
  <c r="BQ266" i="7"/>
  <c r="BQ267" i="7"/>
  <c r="BQ268" i="7"/>
  <c r="BQ59" i="7"/>
  <c r="BQ62" i="7"/>
  <c r="BQ269" i="7"/>
  <c r="BQ61" i="7"/>
  <c r="BQ60" i="7"/>
  <c r="BQ45" i="7"/>
  <c r="BQ270" i="7"/>
  <c r="BQ271" i="7"/>
  <c r="BQ272" i="7"/>
  <c r="BQ273" i="7"/>
  <c r="BQ274" i="7"/>
  <c r="BQ275" i="7"/>
  <c r="BQ276" i="7"/>
  <c r="BQ277" i="7"/>
  <c r="BQ278" i="7"/>
  <c r="BQ279" i="7"/>
  <c r="BQ280" i="7"/>
  <c r="BQ281" i="7"/>
  <c r="BQ282" i="7"/>
  <c r="BQ283" i="7"/>
  <c r="BQ284" i="7"/>
  <c r="BQ285" i="7"/>
  <c r="BQ286" i="7"/>
  <c r="BQ287" i="7"/>
  <c r="BQ288" i="7"/>
  <c r="BQ289" i="7"/>
  <c r="BQ290" i="7"/>
  <c r="BQ291" i="7"/>
  <c r="BQ292" i="7"/>
  <c r="BQ293" i="7"/>
  <c r="BQ294" i="7"/>
  <c r="BP108" i="7"/>
  <c r="BQ295" i="7"/>
  <c r="BE107" i="7"/>
  <c r="BG265" i="7"/>
  <c r="BG277" i="7"/>
  <c r="BG281" i="7"/>
  <c r="BG273" i="7"/>
  <c r="BG276" i="7"/>
  <c r="BG268" i="7"/>
  <c r="BG269" i="7"/>
  <c r="BG284" i="7"/>
  <c r="BG280" i="7"/>
  <c r="BG272" i="7"/>
  <c r="BG266" i="7"/>
  <c r="BG267" i="7"/>
  <c r="BG270" i="7"/>
  <c r="BG285" i="7"/>
  <c r="BG278" i="7"/>
  <c r="BG286" i="7"/>
  <c r="BG271" i="7"/>
  <c r="BG282" i="7"/>
  <c r="BG283" i="7"/>
  <c r="BG279" i="7"/>
  <c r="BG274" i="7"/>
  <c r="BG275" i="7"/>
  <c r="BG287" i="7"/>
  <c r="BG288" i="7"/>
  <c r="BG289" i="7"/>
  <c r="BG290" i="7"/>
  <c r="BG291" i="7"/>
  <c r="BG61" i="7"/>
  <c r="BG60" i="7"/>
  <c r="BG59" i="7"/>
  <c r="BG45" i="7"/>
  <c r="BG62" i="7"/>
  <c r="BG292" i="7"/>
  <c r="BG106" i="7"/>
  <c r="BG107" i="7"/>
  <c r="BG293" i="7"/>
  <c r="BG294" i="7"/>
  <c r="BG295" i="7"/>
  <c r="BG296" i="7"/>
  <c r="BG297" i="7"/>
  <c r="BG298" i="7"/>
  <c r="BG299" i="7"/>
  <c r="BG300" i="7"/>
  <c r="BG301" i="7"/>
  <c r="BG108" i="7"/>
  <c r="BG302" i="7"/>
  <c r="BG303" i="7"/>
  <c r="BG304" i="7"/>
  <c r="BG305" i="7"/>
  <c r="BG306" i="7"/>
  <c r="BG307" i="7"/>
  <c r="BG308" i="7"/>
  <c r="BG309" i="7"/>
  <c r="BG310" i="7"/>
  <c r="BG311" i="7"/>
  <c r="BG312" i="7"/>
  <c r="BG313" i="7"/>
  <c r="BG314" i="7"/>
  <c r="BG315" i="7"/>
  <c r="BG316" i="7"/>
  <c r="AX265" i="7"/>
  <c r="AX266" i="7"/>
  <c r="AX267" i="7"/>
  <c r="AX268" i="7"/>
  <c r="AX269" i="7"/>
  <c r="AX45" i="7"/>
  <c r="AX61" i="7"/>
  <c r="AX270" i="7"/>
  <c r="AX60" i="7"/>
  <c r="AX59" i="7"/>
  <c r="AX62" i="7"/>
  <c r="AX106" i="7"/>
  <c r="AX271" i="7"/>
  <c r="AX272" i="7"/>
  <c r="AX107" i="7"/>
  <c r="AX273" i="7"/>
  <c r="AX274" i="7"/>
  <c r="AX275" i="7"/>
  <c r="AX276" i="7"/>
  <c r="AX277" i="7"/>
  <c r="AX278" i="7"/>
  <c r="AX279" i="7"/>
  <c r="AX280" i="7"/>
  <c r="AX281" i="7"/>
  <c r="AX282" i="7"/>
  <c r="AX283" i="7"/>
  <c r="AX284" i="7"/>
  <c r="AX285" i="7"/>
  <c r="AX286" i="7"/>
  <c r="AX287" i="7"/>
  <c r="AX288" i="7"/>
  <c r="AX289" i="7"/>
  <c r="AX290" i="7"/>
  <c r="AX291" i="7"/>
  <c r="AX292" i="7"/>
  <c r="AX293" i="7"/>
  <c r="AX294" i="7"/>
  <c r="AX295" i="7"/>
  <c r="BC267" i="7"/>
  <c r="BC265" i="7"/>
  <c r="BC282" i="7"/>
  <c r="BC274" i="7"/>
  <c r="BC266" i="7"/>
  <c r="BC279" i="7"/>
  <c r="BC278" i="7"/>
  <c r="BC271" i="7"/>
  <c r="BC270" i="7"/>
  <c r="BC275" i="7"/>
  <c r="BC280" i="7"/>
  <c r="BC281" i="7"/>
  <c r="BC276" i="7"/>
  <c r="BC277" i="7"/>
  <c r="BC283" i="7"/>
  <c r="BC272" i="7"/>
  <c r="BC285" i="7"/>
  <c r="BC273" i="7"/>
  <c r="BC268" i="7"/>
  <c r="BC269" i="7"/>
  <c r="BC284" i="7"/>
  <c r="BC286" i="7"/>
  <c r="BC287" i="7"/>
  <c r="BC288" i="7"/>
  <c r="BC289" i="7"/>
  <c r="BC62" i="7"/>
  <c r="BC59" i="7"/>
  <c r="BC60" i="7"/>
  <c r="BC45" i="7"/>
  <c r="BC61" i="7"/>
  <c r="BC290" i="7"/>
  <c r="BC291" i="7"/>
  <c r="BC292" i="7"/>
  <c r="BC293" i="7"/>
  <c r="BC294" i="7"/>
  <c r="BC295" i="7"/>
  <c r="BC296" i="7"/>
  <c r="BC297" i="7"/>
  <c r="BC298" i="7"/>
  <c r="BC299" i="7"/>
  <c r="BC300" i="7"/>
  <c r="BC301" i="7"/>
  <c r="BC302" i="7"/>
  <c r="BC303" i="7"/>
  <c r="BC304" i="7"/>
  <c r="BC305" i="7"/>
  <c r="BC306" i="7"/>
  <c r="BC307" i="7"/>
  <c r="BC308" i="7"/>
  <c r="BC309" i="7"/>
  <c r="BC310" i="7"/>
  <c r="BC311" i="7"/>
  <c r="BC312" i="7"/>
  <c r="BC313" i="7"/>
  <c r="BC314" i="7"/>
  <c r="AU282" i="7"/>
  <c r="AU274" i="7"/>
  <c r="AU266" i="7"/>
  <c r="AU267" i="7"/>
  <c r="AU265" i="7"/>
  <c r="AU279" i="7"/>
  <c r="AU278" i="7"/>
  <c r="AU271" i="7"/>
  <c r="AU270" i="7"/>
  <c r="AU275" i="7"/>
  <c r="AU285" i="7"/>
  <c r="AU276" i="7"/>
  <c r="AU277" i="7"/>
  <c r="AU283" i="7"/>
  <c r="AU272" i="7"/>
  <c r="AU273" i="7"/>
  <c r="AU281" i="7"/>
  <c r="AU268" i="7"/>
  <c r="AU269" i="7"/>
  <c r="AU280" i="7"/>
  <c r="AU284" i="7"/>
  <c r="AU286" i="7"/>
  <c r="AU287" i="7"/>
  <c r="AU288" i="7"/>
  <c r="AU289" i="7"/>
  <c r="AU62" i="7"/>
  <c r="AU290" i="7"/>
  <c r="AU60" i="7"/>
  <c r="AU45" i="7"/>
  <c r="AU61" i="7"/>
  <c r="AU59" i="7"/>
  <c r="AU291" i="7"/>
  <c r="AU292" i="7"/>
  <c r="AU293" i="7"/>
  <c r="AU294" i="7"/>
  <c r="AU295" i="7"/>
  <c r="AU296" i="7"/>
  <c r="AU297" i="7"/>
  <c r="AU298" i="7"/>
  <c r="AU299" i="7"/>
  <c r="AU300" i="7"/>
  <c r="AU301" i="7"/>
  <c r="AU302" i="7"/>
  <c r="AU303" i="7"/>
  <c r="AU304" i="7"/>
  <c r="AU305" i="7"/>
  <c r="AU306" i="7"/>
  <c r="AU307" i="7"/>
  <c r="AU308" i="7"/>
  <c r="AU309" i="7"/>
  <c r="AU310" i="7"/>
  <c r="AU311" i="7"/>
  <c r="AU312" i="7"/>
  <c r="AU313" i="7"/>
  <c r="AU314" i="7"/>
  <c r="AU315" i="7"/>
  <c r="BP265" i="7"/>
  <c r="BP266" i="7"/>
  <c r="BP267" i="7"/>
  <c r="BP268" i="7"/>
  <c r="BP61" i="7"/>
  <c r="BP59" i="7"/>
  <c r="BP62" i="7"/>
  <c r="BP269" i="7"/>
  <c r="BP45" i="7"/>
  <c r="BP60" i="7"/>
  <c r="BP106" i="7"/>
  <c r="BP270" i="7"/>
  <c r="BP107" i="7"/>
  <c r="BP271" i="7"/>
  <c r="BP272" i="7"/>
  <c r="BP273" i="7"/>
  <c r="BP274" i="7"/>
  <c r="BP275" i="7"/>
  <c r="BP276" i="7"/>
  <c r="BP277" i="7"/>
  <c r="BP278" i="7"/>
  <c r="BP279" i="7"/>
  <c r="BP280" i="7"/>
  <c r="BP281" i="7"/>
  <c r="BP282" i="7"/>
  <c r="BP283" i="7"/>
  <c r="BP284" i="7"/>
  <c r="BP285" i="7"/>
  <c r="BP286" i="7"/>
  <c r="BP287" i="7"/>
  <c r="BP288" i="7"/>
  <c r="BP289" i="7"/>
  <c r="BP290" i="7"/>
  <c r="BP291" i="7"/>
  <c r="BP292" i="7"/>
  <c r="BP293" i="7"/>
  <c r="BP294" i="7"/>
  <c r="BB108" i="7"/>
  <c r="AX296" i="7"/>
  <c r="BB265" i="7"/>
  <c r="BB266" i="7"/>
  <c r="BB267" i="7"/>
  <c r="BB268" i="7"/>
  <c r="BB269" i="7"/>
  <c r="BB59" i="7"/>
  <c r="BB62" i="7"/>
  <c r="BB60" i="7"/>
  <c r="BB61" i="7"/>
  <c r="BB45" i="7"/>
  <c r="BB270" i="7"/>
  <c r="BB271" i="7"/>
  <c r="BB272" i="7"/>
  <c r="BB107" i="7"/>
  <c r="BB106" i="7"/>
  <c r="BB273" i="7"/>
  <c r="BB274" i="7"/>
  <c r="BB275" i="7"/>
  <c r="BB276" i="7"/>
  <c r="BB277" i="7"/>
  <c r="BB278" i="7"/>
  <c r="BB279" i="7"/>
  <c r="BB280" i="7"/>
  <c r="BB281" i="7"/>
  <c r="BB282" i="7"/>
  <c r="BB283" i="7"/>
  <c r="BB284" i="7"/>
  <c r="BB285" i="7"/>
  <c r="BB286" i="7"/>
  <c r="BB287" i="7"/>
  <c r="BB288" i="7"/>
  <c r="BB289" i="7"/>
  <c r="BB290" i="7"/>
  <c r="BB291" i="7"/>
  <c r="BB292" i="7"/>
  <c r="BB293" i="7"/>
  <c r="BB294" i="7"/>
  <c r="BB295" i="7"/>
  <c r="AT265" i="7"/>
  <c r="AT266" i="7"/>
  <c r="AT267" i="7"/>
  <c r="AT268" i="7"/>
  <c r="AT269" i="7"/>
  <c r="AT59" i="7"/>
  <c r="AT62" i="7"/>
  <c r="AT270" i="7"/>
  <c r="AT61" i="7"/>
  <c r="AT60" i="7"/>
  <c r="AT45" i="7"/>
  <c r="AT271" i="7"/>
  <c r="AT272" i="7"/>
  <c r="AT273" i="7"/>
  <c r="AT274" i="7"/>
  <c r="AT275" i="7"/>
  <c r="AT276" i="7"/>
  <c r="AT277" i="7"/>
  <c r="AT278" i="7"/>
  <c r="AT279" i="7"/>
  <c r="AT280" i="7"/>
  <c r="AT281" i="7"/>
  <c r="AT282" i="7"/>
  <c r="AT283" i="7"/>
  <c r="AT284" i="7"/>
  <c r="AT285" i="7"/>
  <c r="AT286" i="7"/>
  <c r="AT287" i="7"/>
  <c r="AT288" i="7"/>
  <c r="AT289" i="7"/>
  <c r="AT290" i="7"/>
  <c r="AT291" i="7"/>
  <c r="AT292" i="7"/>
  <c r="AT293" i="7"/>
  <c r="AT294" i="7"/>
  <c r="AT295" i="7"/>
  <c r="BO281" i="7"/>
  <c r="BO273" i="7"/>
  <c r="BO277" i="7"/>
  <c r="BO276" i="7"/>
  <c r="BO268" i="7"/>
  <c r="BO269" i="7"/>
  <c r="BO284" i="7"/>
  <c r="BO280" i="7"/>
  <c r="BO272" i="7"/>
  <c r="BO265" i="7"/>
  <c r="BO285" i="7"/>
  <c r="BO270" i="7"/>
  <c r="BO271" i="7"/>
  <c r="BO266" i="7"/>
  <c r="BO267" i="7"/>
  <c r="BO283" i="7"/>
  <c r="BO282" i="7"/>
  <c r="BO275" i="7"/>
  <c r="BO278" i="7"/>
  <c r="BO279" i="7"/>
  <c r="BO274" i="7"/>
  <c r="BO286" i="7"/>
  <c r="BO287" i="7"/>
  <c r="BO288" i="7"/>
  <c r="BO60" i="7"/>
  <c r="BO289" i="7"/>
  <c r="BO61" i="7"/>
  <c r="BO59" i="7"/>
  <c r="BO62" i="7"/>
  <c r="BO45" i="7"/>
  <c r="BO290" i="7"/>
  <c r="BO291" i="7"/>
  <c r="BO292" i="7"/>
  <c r="BO293" i="7"/>
  <c r="BO294" i="7"/>
  <c r="BO295" i="7"/>
  <c r="BO296" i="7"/>
  <c r="BO297" i="7"/>
  <c r="BO298" i="7"/>
  <c r="BO299" i="7"/>
  <c r="BO300" i="7"/>
  <c r="BO301" i="7"/>
  <c r="BO302" i="7"/>
  <c r="BO303" i="7"/>
  <c r="BO304" i="7"/>
  <c r="BO305" i="7"/>
  <c r="BO306" i="7"/>
  <c r="BO307" i="7"/>
  <c r="BO308" i="7"/>
  <c r="BO309" i="7"/>
  <c r="BO310" i="7"/>
  <c r="BO311" i="7"/>
  <c r="BO312" i="7"/>
  <c r="BO313" i="7"/>
  <c r="BO314" i="7"/>
  <c r="BF296" i="7"/>
  <c r="BD296" i="7"/>
  <c r="AW295" i="7"/>
  <c r="BU265" i="7"/>
  <c r="AR266" i="7"/>
  <c r="AR267" i="7" s="1"/>
  <c r="AR268" i="7" s="1"/>
  <c r="AR269" i="7" s="1"/>
  <c r="AR270" i="7" s="1"/>
  <c r="AR271" i="7" s="1"/>
  <c r="AR272" i="7" s="1"/>
  <c r="AR273" i="7" s="1"/>
  <c r="AR274" i="7" s="1"/>
  <c r="AR275" i="7" s="1"/>
  <c r="AR276" i="7" s="1"/>
  <c r="AR277" i="7" s="1"/>
  <c r="AR278" i="7" s="1"/>
  <c r="AR279" i="7" s="1"/>
  <c r="AR280" i="7" s="1"/>
  <c r="AR281" i="7" s="1"/>
  <c r="AR282" i="7" s="1"/>
  <c r="AR283" i="7" s="1"/>
  <c r="AR284" i="7" s="1"/>
  <c r="AR285" i="7" s="1"/>
  <c r="AR286" i="7" s="1"/>
  <c r="AR287" i="7" s="1"/>
  <c r="AR288" i="7" s="1"/>
  <c r="AR289" i="7" s="1"/>
  <c r="AR290" i="7" s="1"/>
  <c r="AR291" i="7" s="1"/>
  <c r="AR292" i="7" s="1"/>
  <c r="AR293" i="7" s="1"/>
  <c r="AR294" i="7" s="1"/>
  <c r="AR295" i="7" s="1"/>
  <c r="BS283" i="7"/>
  <c r="BS282" i="7"/>
  <c r="BS274" i="7"/>
  <c r="BS266" i="7"/>
  <c r="BS271" i="7"/>
  <c r="BS275" i="7"/>
  <c r="BS267" i="7"/>
  <c r="BS265" i="7"/>
  <c r="BS279" i="7"/>
  <c r="BS270" i="7"/>
  <c r="BS278" i="7"/>
  <c r="BS284" i="7"/>
  <c r="BS269" i="7"/>
  <c r="BS280" i="7"/>
  <c r="BS281" i="7"/>
  <c r="BS285" i="7"/>
  <c r="BS276" i="7"/>
  <c r="BS277" i="7"/>
  <c r="BS272" i="7"/>
  <c r="BS273" i="7"/>
  <c r="BS268" i="7"/>
  <c r="BS286" i="7"/>
  <c r="BS287" i="7"/>
  <c r="BS288" i="7"/>
  <c r="BS62" i="7"/>
  <c r="BS59" i="7"/>
  <c r="BS60" i="7"/>
  <c r="BS289" i="7"/>
  <c r="BS45" i="7"/>
  <c r="BS61" i="7"/>
  <c r="BS290" i="7"/>
  <c r="BS291" i="7"/>
  <c r="BS292" i="7"/>
  <c r="BS293" i="7"/>
  <c r="BS294" i="7"/>
  <c r="BS295" i="7"/>
  <c r="BS296" i="7"/>
  <c r="BS297" i="7"/>
  <c r="BS298" i="7"/>
  <c r="BS299" i="7"/>
  <c r="BS300" i="7"/>
  <c r="BS301" i="7"/>
  <c r="BS302" i="7"/>
  <c r="BS303" i="7"/>
  <c r="BS304" i="7"/>
  <c r="BS305" i="7"/>
  <c r="BS306" i="7"/>
  <c r="BS307" i="7"/>
  <c r="BS308" i="7"/>
  <c r="BS309" i="7"/>
  <c r="BS310" i="7"/>
  <c r="BS311" i="7"/>
  <c r="BS312" i="7"/>
  <c r="BS313" i="7"/>
  <c r="BS314" i="7"/>
  <c r="BA265" i="7"/>
  <c r="BA266" i="7"/>
  <c r="BA267" i="7"/>
  <c r="BA268" i="7"/>
  <c r="BA59" i="7"/>
  <c r="BA61" i="7"/>
  <c r="BA62" i="7"/>
  <c r="BA60" i="7"/>
  <c r="BA269" i="7"/>
  <c r="BA45" i="7"/>
  <c r="BA270" i="7"/>
  <c r="BA271" i="7"/>
  <c r="BA272" i="7"/>
  <c r="BA273" i="7"/>
  <c r="BA274" i="7"/>
  <c r="BA275" i="7"/>
  <c r="BA276" i="7"/>
  <c r="BA277" i="7"/>
  <c r="BA278" i="7"/>
  <c r="BA279" i="7"/>
  <c r="BA280" i="7"/>
  <c r="BA281" i="7"/>
  <c r="BA282" i="7"/>
  <c r="BA283" i="7"/>
  <c r="BA284" i="7"/>
  <c r="BA285" i="7"/>
  <c r="BA286" i="7"/>
  <c r="BA287" i="7"/>
  <c r="BA288" i="7"/>
  <c r="BA289" i="7"/>
  <c r="BA290" i="7"/>
  <c r="BA291" i="7"/>
  <c r="BA292" i="7"/>
  <c r="BA293" i="7"/>
  <c r="BA294" i="7"/>
  <c r="BM265" i="7"/>
  <c r="BM266" i="7"/>
  <c r="BM267" i="7"/>
  <c r="BM268" i="7"/>
  <c r="BM60" i="7"/>
  <c r="BM45" i="7"/>
  <c r="BM62" i="7"/>
  <c r="BM61" i="7"/>
  <c r="BM269" i="7"/>
  <c r="BM59" i="7"/>
  <c r="BM270" i="7"/>
  <c r="BM271" i="7"/>
  <c r="BM272" i="7"/>
  <c r="BM273" i="7"/>
  <c r="BM274" i="7"/>
  <c r="BM275" i="7"/>
  <c r="BM276" i="7"/>
  <c r="BM277" i="7"/>
  <c r="BM278" i="7"/>
  <c r="BM279" i="7"/>
  <c r="BM280" i="7"/>
  <c r="BM281" i="7"/>
  <c r="BM282" i="7"/>
  <c r="BM283" i="7"/>
  <c r="BM284" i="7"/>
  <c r="BM285" i="7"/>
  <c r="BM286" i="7"/>
  <c r="BM287" i="7"/>
  <c r="BM288" i="7"/>
  <c r="BM289" i="7"/>
  <c r="BM290" i="7"/>
  <c r="BM291" i="7"/>
  <c r="BM292" i="7"/>
  <c r="BM293" i="7"/>
  <c r="BM294" i="7"/>
  <c r="BN265" i="7"/>
  <c r="BN266" i="7"/>
  <c r="BN267" i="7"/>
  <c r="BN268" i="7"/>
  <c r="BN269" i="7"/>
  <c r="BN45" i="7"/>
  <c r="BN61" i="7"/>
  <c r="BN270" i="7"/>
  <c r="BN59" i="7"/>
  <c r="BN62" i="7"/>
  <c r="BN60" i="7"/>
  <c r="BN271" i="7"/>
  <c r="BN272" i="7"/>
  <c r="BN273" i="7"/>
  <c r="BN274" i="7"/>
  <c r="BN275" i="7"/>
  <c r="BN276" i="7"/>
  <c r="BN277" i="7"/>
  <c r="BN278" i="7"/>
  <c r="BN279" i="7"/>
  <c r="BN280" i="7"/>
  <c r="BN281" i="7"/>
  <c r="BN282" i="7"/>
  <c r="BN283" i="7"/>
  <c r="BN284" i="7"/>
  <c r="BN285" i="7"/>
  <c r="BN286" i="7"/>
  <c r="BN287" i="7"/>
  <c r="BN288" i="7"/>
  <c r="BN289" i="7"/>
  <c r="BN290" i="7"/>
  <c r="BN291" i="7"/>
  <c r="BN292" i="7"/>
  <c r="BN293" i="7"/>
  <c r="BN294" i="7"/>
  <c r="BN295" i="7"/>
  <c r="AU106" i="7"/>
  <c r="R107" i="7"/>
  <c r="R108" i="7" s="1"/>
  <c r="AU108" i="7" s="1"/>
  <c r="BD106" i="7"/>
  <c r="AA107" i="7"/>
  <c r="AA108" i="7" s="1"/>
  <c r="BD108" i="7" s="1"/>
  <c r="BM295" i="7"/>
  <c r="BO315" i="7"/>
  <c r="AT296" i="7"/>
  <c r="BG317" i="7"/>
  <c r="AV106" i="7"/>
  <c r="S107" i="7"/>
  <c r="S108" i="7" s="1"/>
  <c r="AV108" i="7" s="1"/>
  <c r="BF108" i="7"/>
  <c r="BN296" i="7"/>
  <c r="AU316" i="7"/>
  <c r="BS315" i="7"/>
  <c r="AZ265" i="7"/>
  <c r="AZ266" i="7"/>
  <c r="AZ267" i="7"/>
  <c r="AZ268" i="7"/>
  <c r="AZ61" i="7"/>
  <c r="AZ45" i="7"/>
  <c r="AZ59" i="7"/>
  <c r="AZ62" i="7"/>
  <c r="AZ269" i="7"/>
  <c r="AZ60" i="7"/>
  <c r="AZ270" i="7"/>
  <c r="AZ271" i="7"/>
  <c r="AZ272" i="7"/>
  <c r="AZ273" i="7"/>
  <c r="AZ274" i="7"/>
  <c r="AZ275" i="7"/>
  <c r="AZ276" i="7"/>
  <c r="AZ277" i="7"/>
  <c r="AZ278" i="7"/>
  <c r="AZ279" i="7"/>
  <c r="AZ280" i="7"/>
  <c r="AZ281" i="7"/>
  <c r="AZ282" i="7"/>
  <c r="AZ283" i="7"/>
  <c r="AZ284" i="7"/>
  <c r="AZ285" i="7"/>
  <c r="AZ286" i="7"/>
  <c r="AZ287" i="7"/>
  <c r="AZ288" i="7"/>
  <c r="AZ289" i="7"/>
  <c r="AZ290" i="7"/>
  <c r="AZ291" i="7"/>
  <c r="AZ292" i="7"/>
  <c r="AZ293" i="7"/>
  <c r="AZ294" i="7"/>
  <c r="BU45" i="7"/>
  <c r="BU273" i="7"/>
  <c r="BU281" i="7"/>
  <c r="BU289" i="7"/>
  <c r="AS265" i="7"/>
  <c r="AS266" i="7"/>
  <c r="AS267" i="7"/>
  <c r="AS268" i="7"/>
  <c r="AS59" i="7"/>
  <c r="AS62" i="7"/>
  <c r="AS61" i="7"/>
  <c r="AS269" i="7"/>
  <c r="AS60" i="7"/>
  <c r="AS45" i="7"/>
  <c r="AS270" i="7"/>
  <c r="AS106" i="7"/>
  <c r="AS107" i="7"/>
  <c r="AS271" i="7"/>
  <c r="AS272" i="7"/>
  <c r="AS273" i="7"/>
  <c r="AS274" i="7"/>
  <c r="AS275" i="7"/>
  <c r="AS276" i="7"/>
  <c r="AS277" i="7"/>
  <c r="AS278" i="7"/>
  <c r="AS279" i="7"/>
  <c r="AS280" i="7"/>
  <c r="AS281" i="7"/>
  <c r="AS282" i="7"/>
  <c r="AS283" i="7"/>
  <c r="AS284" i="7"/>
  <c r="AS285" i="7"/>
  <c r="AS286" i="7"/>
  <c r="AS287" i="7"/>
  <c r="AS288" i="7"/>
  <c r="AS289" i="7"/>
  <c r="AS290" i="7"/>
  <c r="AS291" i="7"/>
  <c r="AS292" i="7"/>
  <c r="AS293" i="7"/>
  <c r="AS294" i="7"/>
  <c r="AY284" i="7"/>
  <c r="AY280" i="7"/>
  <c r="AY272" i="7"/>
  <c r="AY281" i="7"/>
  <c r="AY273" i="7"/>
  <c r="AY277" i="7"/>
  <c r="AY269" i="7"/>
  <c r="AY276" i="7"/>
  <c r="AY265" i="7"/>
  <c r="AY268" i="7"/>
  <c r="AY274" i="7"/>
  <c r="AY267" i="7"/>
  <c r="AY282" i="7"/>
  <c r="AY283" i="7"/>
  <c r="AY285" i="7"/>
  <c r="AY278" i="7"/>
  <c r="AY279" i="7"/>
  <c r="AY275" i="7"/>
  <c r="AY270" i="7"/>
  <c r="AY271" i="7"/>
  <c r="AY266" i="7"/>
  <c r="AY286" i="7"/>
  <c r="AY287" i="7"/>
  <c r="AY288" i="7"/>
  <c r="AY289" i="7"/>
  <c r="AY61" i="7"/>
  <c r="AY45" i="7"/>
  <c r="AY59" i="7"/>
  <c r="AY62" i="7"/>
  <c r="AY60" i="7"/>
  <c r="AY106" i="7"/>
  <c r="AY290" i="7"/>
  <c r="AY107" i="7"/>
  <c r="AY291" i="7"/>
  <c r="AY292" i="7"/>
  <c r="AY293" i="7"/>
  <c r="AY294" i="7"/>
  <c r="AY295" i="7"/>
  <c r="AY296" i="7"/>
  <c r="AY297" i="7"/>
  <c r="AY298" i="7"/>
  <c r="AY299" i="7"/>
  <c r="AY300" i="7"/>
  <c r="AY108" i="7"/>
  <c r="AY301" i="7"/>
  <c r="AY302" i="7"/>
  <c r="AY303" i="7"/>
  <c r="AY304" i="7"/>
  <c r="AY305" i="7"/>
  <c r="AY306" i="7"/>
  <c r="AY307" i="7"/>
  <c r="AY308" i="7"/>
  <c r="AY309" i="7"/>
  <c r="AY310" i="7"/>
  <c r="AY311" i="7"/>
  <c r="AY312" i="7"/>
  <c r="AY313" i="7"/>
  <c r="AY314" i="7"/>
  <c r="BT265" i="7"/>
  <c r="BT266" i="7"/>
  <c r="BT267" i="7"/>
  <c r="BT268" i="7"/>
  <c r="BT269" i="7"/>
  <c r="BT270" i="7"/>
  <c r="BT271" i="7"/>
  <c r="BT272" i="7"/>
  <c r="BT273" i="7"/>
  <c r="BT274" i="7"/>
  <c r="BT275" i="7"/>
  <c r="BT276" i="7"/>
  <c r="BT277" i="7"/>
  <c r="BT278" i="7"/>
  <c r="BT279" i="7"/>
  <c r="BT280" i="7"/>
  <c r="BT281" i="7"/>
  <c r="BT282" i="7"/>
  <c r="BT283" i="7"/>
  <c r="BT284" i="7"/>
  <c r="BT285" i="7"/>
  <c r="BT286" i="7"/>
  <c r="BT287" i="7"/>
  <c r="BT288" i="7"/>
  <c r="BT289" i="7"/>
  <c r="BT290" i="7"/>
  <c r="BT291" i="7"/>
  <c r="BT292" i="7"/>
  <c r="BT293" i="7"/>
  <c r="BT294" i="7"/>
  <c r="BT295" i="7"/>
  <c r="AW106" i="7"/>
  <c r="T107" i="7"/>
  <c r="T108" i="7" s="1"/>
  <c r="AW108" i="7" s="1"/>
  <c r="BM106" i="7"/>
  <c r="AJ107" i="7"/>
  <c r="AJ108" i="7" s="1"/>
  <c r="BM108" i="7" s="1"/>
  <c r="BC315" i="7"/>
  <c r="AY315" i="7"/>
  <c r="AC298" i="7"/>
  <c r="BF297" i="7"/>
  <c r="R318" i="7"/>
  <c r="AU317" i="7"/>
  <c r="AZ296" i="7"/>
  <c r="W297" i="7"/>
  <c r="BA296" i="7"/>
  <c r="X297" i="7"/>
  <c r="AL317" i="7"/>
  <c r="BO316" i="7"/>
  <c r="AK298" i="7"/>
  <c r="BN297" i="7"/>
  <c r="L373" i="7"/>
  <c r="A372" i="7"/>
  <c r="A298" i="7"/>
  <c r="BD297" i="7"/>
  <c r="AA298" i="7"/>
  <c r="AV297" i="7"/>
  <c r="S298" i="7"/>
  <c r="BT297" i="7"/>
  <c r="AQ298" i="7"/>
  <c r="AS296" i="7"/>
  <c r="P297" i="7"/>
  <c r="AW296" i="7"/>
  <c r="T297" i="7"/>
  <c r="BI296" i="7"/>
  <c r="AF297" i="7"/>
  <c r="BL296" i="7"/>
  <c r="AI297" i="7"/>
  <c r="AP317" i="7"/>
  <c r="BS316" i="7"/>
  <c r="BK316" i="7"/>
  <c r="AH317" i="7"/>
  <c r="BQ296" i="7"/>
  <c r="AN297" i="7"/>
  <c r="BH296" i="7"/>
  <c r="AE297" i="7"/>
  <c r="BP296" i="7"/>
  <c r="AM297" i="7"/>
  <c r="BE296" i="7"/>
  <c r="AB297" i="7"/>
  <c r="AO298" i="7"/>
  <c r="BR297" i="7"/>
  <c r="Q298" i="7"/>
  <c r="AT297" i="7"/>
  <c r="Y298" i="7"/>
  <c r="BB297" i="7"/>
  <c r="AD319" i="7"/>
  <c r="BG318" i="7"/>
  <c r="BM296" i="7"/>
  <c r="AJ297" i="7"/>
  <c r="Z317" i="7"/>
  <c r="BC316" i="7"/>
  <c r="AG298" i="7"/>
  <c r="BJ297" i="7"/>
  <c r="V317" i="7"/>
  <c r="AY316" i="7"/>
  <c r="U298" i="7"/>
  <c r="AX297" i="7"/>
  <c r="AO60" i="7"/>
  <c r="BR60" i="7" s="1"/>
  <c r="AO42" i="7"/>
  <c r="AO46" i="7"/>
  <c r="AO50" i="7"/>
  <c r="AO54" i="7"/>
  <c r="AO58" i="7"/>
  <c r="AO63" i="7"/>
  <c r="AO44" i="7"/>
  <c r="AO48" i="7"/>
  <c r="AO52" i="7"/>
  <c r="AO56" i="7"/>
  <c r="AO45" i="7"/>
  <c r="BR45" i="7" s="1"/>
  <c r="AO49" i="7"/>
  <c r="AO53" i="7"/>
  <c r="AO57" i="7"/>
  <c r="AO62" i="7"/>
  <c r="BR62" i="7" s="1"/>
  <c r="AO43" i="7"/>
  <c r="AO47" i="7"/>
  <c r="AO55" i="7"/>
  <c r="AO59" i="7"/>
  <c r="BR59" i="7" s="1"/>
  <c r="AO61" i="7"/>
  <c r="BR61" i="7" s="1"/>
  <c r="AO51" i="7"/>
  <c r="AR60" i="7"/>
  <c r="BU60" i="7" s="1"/>
  <c r="AR45" i="7"/>
  <c r="AR49" i="7"/>
  <c r="AR53" i="7"/>
  <c r="AR57" i="7"/>
  <c r="AR44" i="7"/>
  <c r="AR48" i="7"/>
  <c r="AR52" i="7"/>
  <c r="AR56" i="7"/>
  <c r="AR61" i="7"/>
  <c r="BU61" i="7" s="1"/>
  <c r="AR43" i="7"/>
  <c r="AR47" i="7"/>
  <c r="AR51" i="7"/>
  <c r="AR55" i="7"/>
  <c r="AR59" i="7"/>
  <c r="BU59" i="7" s="1"/>
  <c r="AR42" i="7"/>
  <c r="AR46" i="7"/>
  <c r="AR50" i="7"/>
  <c r="AR54" i="7"/>
  <c r="AR58" i="7"/>
  <c r="AR63" i="7"/>
  <c r="AR62" i="7"/>
  <c r="BU62" i="7" s="1"/>
  <c r="AQ43" i="7"/>
  <c r="AQ47" i="7"/>
  <c r="AQ51" i="7"/>
  <c r="AQ55" i="7"/>
  <c r="AQ59" i="7"/>
  <c r="BT59" i="7" s="1"/>
  <c r="AQ45" i="7"/>
  <c r="BT45" i="7" s="1"/>
  <c r="AQ53" i="7"/>
  <c r="AQ57" i="7"/>
  <c r="AQ42" i="7"/>
  <c r="AQ46" i="7"/>
  <c r="AQ50" i="7"/>
  <c r="AQ54" i="7"/>
  <c r="AQ58" i="7"/>
  <c r="AQ63" i="7"/>
  <c r="AQ49" i="7"/>
  <c r="AQ62" i="7"/>
  <c r="BT62" i="7" s="1"/>
  <c r="AQ60" i="7"/>
  <c r="BT60" i="7" s="1"/>
  <c r="AQ44" i="7"/>
  <c r="AQ48" i="7"/>
  <c r="AQ56" i="7"/>
  <c r="AQ52" i="7"/>
  <c r="AQ61" i="7"/>
  <c r="BT61" i="7" s="1"/>
  <c r="A62" i="7"/>
  <c r="A61" i="7"/>
  <c r="AT31" i="7"/>
  <c r="BQ31" i="7"/>
  <c r="AI141" i="7"/>
  <c r="BL140" i="7"/>
  <c r="AI97" i="7"/>
  <c r="BL96" i="7"/>
  <c r="BT17" i="7"/>
  <c r="BG252" i="7"/>
  <c r="BG248" i="7"/>
  <c r="BG247" i="7"/>
  <c r="BG246" i="7"/>
  <c r="BG245" i="7"/>
  <c r="BG244" i="7"/>
  <c r="BG243" i="7"/>
  <c r="BG242" i="7"/>
  <c r="BG241" i="7"/>
  <c r="BG240" i="7"/>
  <c r="BG239" i="7"/>
  <c r="BG238" i="7"/>
  <c r="BG237" i="7"/>
  <c r="BG236" i="7"/>
  <c r="BG235" i="7"/>
  <c r="BG234" i="7"/>
  <c r="BG233" i="7"/>
  <c r="BG232" i="7"/>
  <c r="BG231" i="7"/>
  <c r="BG230" i="7"/>
  <c r="BG229" i="7"/>
  <c r="BG228" i="7"/>
  <c r="BG227" i="7"/>
  <c r="BG226" i="7"/>
  <c r="BG225" i="7"/>
  <c r="BG224" i="7"/>
  <c r="BG223" i="7"/>
  <c r="BG222" i="7"/>
  <c r="BG221" i="7"/>
  <c r="BG220" i="7"/>
  <c r="BG219" i="7"/>
  <c r="BG218" i="7"/>
  <c r="BG217" i="7"/>
  <c r="BG216" i="7"/>
  <c r="BG215" i="7"/>
  <c r="BG250" i="7"/>
  <c r="BG253" i="7"/>
  <c r="BG255" i="7"/>
  <c r="BG214" i="7"/>
  <c r="BG210" i="7"/>
  <c r="BG251" i="7"/>
  <c r="BG254" i="7"/>
  <c r="BG213" i="7"/>
  <c r="BG211" i="7"/>
  <c r="BG205" i="7"/>
  <c r="BG201" i="7"/>
  <c r="BG197" i="7"/>
  <c r="BG193" i="7"/>
  <c r="BG189" i="7"/>
  <c r="BG185" i="7"/>
  <c r="BG181" i="7"/>
  <c r="BG177" i="7"/>
  <c r="BG173" i="7"/>
  <c r="BG169" i="7"/>
  <c r="BG165" i="7"/>
  <c r="BG161" i="7"/>
  <c r="BG199" i="7"/>
  <c r="BG184" i="7"/>
  <c r="BG182" i="7"/>
  <c r="BG195" i="7"/>
  <c r="BG180" i="7"/>
  <c r="BG178" i="7"/>
  <c r="BG249" i="7"/>
  <c r="BG200" i="7"/>
  <c r="BG198" i="7"/>
  <c r="BG183" i="7"/>
  <c r="BG168" i="7"/>
  <c r="BG166" i="7"/>
  <c r="BG208" i="7"/>
  <c r="BG207" i="7"/>
  <c r="BG179" i="7"/>
  <c r="BG196" i="7"/>
  <c r="BG176" i="7"/>
  <c r="BG170" i="7"/>
  <c r="BG167" i="7"/>
  <c r="BG164" i="7"/>
  <c r="BG192" i="7"/>
  <c r="BG175" i="7"/>
  <c r="BG174" i="7"/>
  <c r="BG171" i="7"/>
  <c r="BG162" i="7"/>
  <c r="BG155" i="7"/>
  <c r="BG153" i="7"/>
  <c r="BG140" i="7"/>
  <c r="BG138" i="7"/>
  <c r="BG186" i="7"/>
  <c r="BG157" i="7"/>
  <c r="BG147" i="7"/>
  <c r="BG145" i="7"/>
  <c r="BG209" i="7"/>
  <c r="BG194" i="7"/>
  <c r="BG163" i="7"/>
  <c r="BG159" i="7"/>
  <c r="BG146" i="7"/>
  <c r="BG124" i="7"/>
  <c r="BG122" i="7"/>
  <c r="BG95" i="7"/>
  <c r="BG93" i="7"/>
  <c r="BG80" i="7"/>
  <c r="BG78" i="7"/>
  <c r="BG50" i="7"/>
  <c r="BG48" i="7"/>
  <c r="BG203" i="7"/>
  <c r="BG172" i="7"/>
  <c r="BG160" i="7"/>
  <c r="BG151" i="7"/>
  <c r="BG137" i="7"/>
  <c r="BG131" i="7"/>
  <c r="BG129" i="7"/>
  <c r="BG104" i="7"/>
  <c r="BG102" i="7"/>
  <c r="BG87" i="7"/>
  <c r="BG85" i="7"/>
  <c r="BG190" i="7"/>
  <c r="BG152" i="7"/>
  <c r="BG133" i="7"/>
  <c r="BG120" i="7"/>
  <c r="BG101" i="7"/>
  <c r="BG94" i="7"/>
  <c r="BG88" i="7"/>
  <c r="BG74" i="7"/>
  <c r="BG25" i="7"/>
  <c r="BG21" i="7"/>
  <c r="BG17" i="7"/>
  <c r="BG126" i="7"/>
  <c r="BG125" i="7"/>
  <c r="BG100" i="7"/>
  <c r="BG73" i="7"/>
  <c r="BG47" i="7"/>
  <c r="BG44" i="7"/>
  <c r="BG119" i="7"/>
  <c r="BG206" i="7"/>
  <c r="BG191" i="7"/>
  <c r="BG156" i="7"/>
  <c r="BG150" i="7"/>
  <c r="BG143" i="7"/>
  <c r="BG142" i="7"/>
  <c r="BG141" i="7"/>
  <c r="BG139" i="7"/>
  <c r="BG136" i="7"/>
  <c r="BG97" i="7"/>
  <c r="BG90" i="7"/>
  <c r="BG84" i="7"/>
  <c r="BG83" i="7"/>
  <c r="BG46" i="7"/>
  <c r="BG43" i="7"/>
  <c r="BG99" i="7"/>
  <c r="BG92" i="7"/>
  <c r="BG42" i="7"/>
  <c r="BG41" i="7"/>
  <c r="BG96" i="7"/>
  <c r="BG89" i="7"/>
  <c r="BG24" i="7"/>
  <c r="BG204" i="7"/>
  <c r="BG144" i="7"/>
  <c r="BG86" i="7"/>
  <c r="BG82" i="7"/>
  <c r="BG79" i="7"/>
  <c r="BG75" i="7"/>
  <c r="BG23" i="7"/>
  <c r="BG22" i="7"/>
  <c r="BG212" i="7"/>
  <c r="BG188" i="7"/>
  <c r="BG130" i="7"/>
  <c r="BG123" i="7"/>
  <c r="BG127" i="7"/>
  <c r="BG76" i="7"/>
  <c r="BG148" i="7"/>
  <c r="BG103" i="7"/>
  <c r="BG187" i="7"/>
  <c r="BG149" i="7"/>
  <c r="BG134" i="7"/>
  <c r="BG105" i="7"/>
  <c r="BG98" i="7"/>
  <c r="BG19" i="7"/>
  <c r="BG18" i="7"/>
  <c r="BG202" i="7"/>
  <c r="BG154" i="7"/>
  <c r="BG135" i="7"/>
  <c r="BG121" i="7"/>
  <c r="BG91" i="7"/>
  <c r="BG77" i="7"/>
  <c r="BG158" i="7"/>
  <c r="BG132" i="7"/>
  <c r="BG128" i="7"/>
  <c r="BG118" i="7"/>
  <c r="BG81" i="7"/>
  <c r="BG31" i="7"/>
  <c r="BG30" i="7"/>
  <c r="BG29" i="7"/>
  <c r="BG28" i="7"/>
  <c r="BG27" i="7"/>
  <c r="BG26" i="7"/>
  <c r="BG49" i="7"/>
  <c r="BG20" i="7"/>
  <c r="BS140" i="7"/>
  <c r="BS139" i="7"/>
  <c r="BS138" i="7"/>
  <c r="BS137" i="7"/>
  <c r="BS136" i="7"/>
  <c r="BS135" i="7"/>
  <c r="BS134" i="7"/>
  <c r="BS133" i="7"/>
  <c r="BS132" i="7"/>
  <c r="BS131" i="7"/>
  <c r="BS130" i="7"/>
  <c r="BS129" i="7"/>
  <c r="BS128" i="7"/>
  <c r="BS127" i="7"/>
  <c r="BS126" i="7"/>
  <c r="BS125" i="7"/>
  <c r="BS124" i="7"/>
  <c r="BS123" i="7"/>
  <c r="BS122" i="7"/>
  <c r="BS121" i="7"/>
  <c r="BS120" i="7"/>
  <c r="BS119" i="7"/>
  <c r="BS118" i="7"/>
  <c r="BS104" i="7"/>
  <c r="BS103" i="7"/>
  <c r="BS102" i="7"/>
  <c r="BS101" i="7"/>
  <c r="BS100" i="7"/>
  <c r="BS99" i="7"/>
  <c r="BS98" i="7"/>
  <c r="BS97" i="7"/>
  <c r="BS96" i="7"/>
  <c r="BS95" i="7"/>
  <c r="BS94" i="7"/>
  <c r="BS93" i="7"/>
  <c r="BS92" i="7"/>
  <c r="BS91" i="7"/>
  <c r="BS90" i="7"/>
  <c r="BS89" i="7"/>
  <c r="BS88" i="7"/>
  <c r="BS87" i="7"/>
  <c r="BS86" i="7"/>
  <c r="BS85" i="7"/>
  <c r="BS84" i="7"/>
  <c r="BS83" i="7"/>
  <c r="BS82" i="7"/>
  <c r="BS81" i="7"/>
  <c r="BS80" i="7"/>
  <c r="BS79" i="7"/>
  <c r="BS78" i="7"/>
  <c r="BS77" i="7"/>
  <c r="BS76" i="7"/>
  <c r="BS75" i="7"/>
  <c r="BS74" i="7"/>
  <c r="BS73" i="7"/>
  <c r="BS63" i="7"/>
  <c r="BS58" i="7"/>
  <c r="BS57" i="7"/>
  <c r="BS56" i="7"/>
  <c r="BS55" i="7"/>
  <c r="BS54" i="7"/>
  <c r="BS53" i="7"/>
  <c r="BS52" i="7"/>
  <c r="BS51" i="7"/>
  <c r="BS50" i="7"/>
  <c r="BS49" i="7"/>
  <c r="BS48" i="7"/>
  <c r="BS47" i="7"/>
  <c r="BS46" i="7"/>
  <c r="BS44" i="7"/>
  <c r="BS43" i="7"/>
  <c r="BS42" i="7"/>
  <c r="BS41" i="7"/>
  <c r="BS31" i="7"/>
  <c r="BS30" i="7"/>
  <c r="BS29" i="7"/>
  <c r="BS28" i="7"/>
  <c r="BS27" i="7"/>
  <c r="BS26" i="7"/>
  <c r="BS22" i="7"/>
  <c r="BS18" i="7"/>
  <c r="BS17" i="7"/>
  <c r="BS24" i="7"/>
  <c r="BS25" i="7"/>
  <c r="BS23" i="7"/>
  <c r="BS21" i="7"/>
  <c r="BS20" i="7"/>
  <c r="BS19" i="7"/>
  <c r="BF253" i="7"/>
  <c r="BF249" i="7"/>
  <c r="BF247" i="7"/>
  <c r="BF243" i="7"/>
  <c r="BF239" i="7"/>
  <c r="BF235" i="7"/>
  <c r="BF231" i="7"/>
  <c r="BF227" i="7"/>
  <c r="BF223" i="7"/>
  <c r="BF219" i="7"/>
  <c r="BF215" i="7"/>
  <c r="BF245" i="7"/>
  <c r="BF241" i="7"/>
  <c r="BF237" i="7"/>
  <c r="BF250" i="7"/>
  <c r="BF242" i="7"/>
  <c r="BF229" i="7"/>
  <c r="BF252" i="7"/>
  <c r="BF236" i="7"/>
  <c r="BF248" i="7"/>
  <c r="BF228" i="7"/>
  <c r="BF225" i="7"/>
  <c r="BF246" i="7"/>
  <c r="BF233" i="7"/>
  <c r="BF230" i="7"/>
  <c r="BF224" i="7"/>
  <c r="BF221" i="7"/>
  <c r="BF255" i="7"/>
  <c r="BF251" i="7"/>
  <c r="BF203" i="7"/>
  <c r="BF201" i="7"/>
  <c r="BF188" i="7"/>
  <c r="BF186" i="7"/>
  <c r="BF232" i="7"/>
  <c r="BF214" i="7"/>
  <c r="BF211" i="7"/>
  <c r="BF199" i="7"/>
  <c r="BF197" i="7"/>
  <c r="BF184" i="7"/>
  <c r="BF182" i="7"/>
  <c r="BF234" i="7"/>
  <c r="BF222" i="7"/>
  <c r="BF217" i="7"/>
  <c r="BF213" i="7"/>
  <c r="BF210" i="7"/>
  <c r="BF204" i="7"/>
  <c r="BF202" i="7"/>
  <c r="BF187" i="7"/>
  <c r="BF185" i="7"/>
  <c r="BF172" i="7"/>
  <c r="BF170" i="7"/>
  <c r="BF156" i="7"/>
  <c r="BF152" i="7"/>
  <c r="BF148" i="7"/>
  <c r="BF144" i="7"/>
  <c r="BF140" i="7"/>
  <c r="BF136" i="7"/>
  <c r="BF132" i="7"/>
  <c r="BF128" i="7"/>
  <c r="BF124" i="7"/>
  <c r="BF120" i="7"/>
  <c r="BF104" i="7"/>
  <c r="BF100" i="7"/>
  <c r="BF96" i="7"/>
  <c r="BF92" i="7"/>
  <c r="BF88" i="7"/>
  <c r="BF84" i="7"/>
  <c r="BF80" i="7"/>
  <c r="BF76" i="7"/>
  <c r="BF63" i="7"/>
  <c r="BF55" i="7"/>
  <c r="BF51" i="7"/>
  <c r="BF47" i="7"/>
  <c r="BF42" i="7"/>
  <c r="BF218" i="7"/>
  <c r="BF206" i="7"/>
  <c r="BF205" i="7"/>
  <c r="BF183" i="7"/>
  <c r="BF180" i="7"/>
  <c r="BF163" i="7"/>
  <c r="BF160" i="7"/>
  <c r="BF238" i="7"/>
  <c r="BF226" i="7"/>
  <c r="BF216" i="7"/>
  <c r="BF195" i="7"/>
  <c r="BF194" i="7"/>
  <c r="BF192" i="7"/>
  <c r="BF173" i="7"/>
  <c r="BF254" i="7"/>
  <c r="BF212" i="7"/>
  <c r="BF142" i="7"/>
  <c r="BF207" i="7"/>
  <c r="BF200" i="7"/>
  <c r="BF193" i="7"/>
  <c r="BF177" i="7"/>
  <c r="BF159" i="7"/>
  <c r="BF158" i="7"/>
  <c r="BF151" i="7"/>
  <c r="BF149" i="7"/>
  <c r="BF196" i="7"/>
  <c r="BF175" i="7"/>
  <c r="BF171" i="7"/>
  <c r="BF167" i="7"/>
  <c r="BF153" i="7"/>
  <c r="BF141" i="7"/>
  <c r="BF138" i="7"/>
  <c r="BF126" i="7"/>
  <c r="BF99" i="7"/>
  <c r="BF97" i="7"/>
  <c r="BF82" i="7"/>
  <c r="BF54" i="7"/>
  <c r="BF52" i="7"/>
  <c r="BF190" i="7"/>
  <c r="BF179" i="7"/>
  <c r="BF176" i="7"/>
  <c r="BF168" i="7"/>
  <c r="BF164" i="7"/>
  <c r="BF135" i="7"/>
  <c r="BF133" i="7"/>
  <c r="BF118" i="7"/>
  <c r="BF91" i="7"/>
  <c r="BF89" i="7"/>
  <c r="BF74" i="7"/>
  <c r="BF169" i="7"/>
  <c r="BF162" i="7"/>
  <c r="BF145" i="7"/>
  <c r="BF134" i="7"/>
  <c r="BF127" i="7"/>
  <c r="BF95" i="7"/>
  <c r="BF81" i="7"/>
  <c r="BF75" i="7"/>
  <c r="BF94" i="7"/>
  <c r="BF50" i="7"/>
  <c r="BF17" i="7"/>
  <c r="BF240" i="7"/>
  <c r="BF178" i="7"/>
  <c r="BF101" i="7"/>
  <c r="BF87" i="7"/>
  <c r="BF56" i="7"/>
  <c r="BF53" i="7"/>
  <c r="BF137" i="7"/>
  <c r="BF130" i="7"/>
  <c r="BF129" i="7"/>
  <c r="BF123" i="7"/>
  <c r="BF77" i="7"/>
  <c r="BF58" i="7"/>
  <c r="BF150" i="7"/>
  <c r="BF85" i="7"/>
  <c r="BF78" i="7"/>
  <c r="BF44" i="7"/>
  <c r="BF43" i="7"/>
  <c r="BF41" i="7"/>
  <c r="BF208" i="7"/>
  <c r="BF174" i="7"/>
  <c r="BF139" i="7"/>
  <c r="BF119" i="7"/>
  <c r="BF103" i="7"/>
  <c r="BF93" i="7"/>
  <c r="BF46" i="7"/>
  <c r="BF165" i="7"/>
  <c r="BF157" i="7"/>
  <c r="BF155" i="7"/>
  <c r="BF86" i="7"/>
  <c r="BF79" i="7"/>
  <c r="BF48" i="7"/>
  <c r="BF90" i="7"/>
  <c r="BF209" i="7"/>
  <c r="BF189" i="7"/>
  <c r="BF181" i="7"/>
  <c r="BF166" i="7"/>
  <c r="BF146" i="7"/>
  <c r="BF122" i="7"/>
  <c r="BF244" i="7"/>
  <c r="BF83" i="7"/>
  <c r="BF191" i="7"/>
  <c r="BF147" i="7"/>
  <c r="BF131" i="7"/>
  <c r="BF73" i="7"/>
  <c r="BF49" i="7"/>
  <c r="BF220" i="7"/>
  <c r="BF143" i="7"/>
  <c r="BF105" i="7"/>
  <c r="BF98" i="7"/>
  <c r="BF198" i="7"/>
  <c r="BF161" i="7"/>
  <c r="BF154" i="7"/>
  <c r="BF125" i="7"/>
  <c r="BF121" i="7"/>
  <c r="BF102" i="7"/>
  <c r="BF57" i="7"/>
  <c r="BR17" i="7"/>
  <c r="AE92" i="7"/>
  <c r="BH91" i="7"/>
  <c r="BU17" i="7"/>
  <c r="BQ251" i="7"/>
  <c r="BQ250" i="7"/>
  <c r="BQ247" i="7"/>
  <c r="BQ243" i="7"/>
  <c r="BQ239" i="7"/>
  <c r="BQ235" i="7"/>
  <c r="BQ231" i="7"/>
  <c r="BQ227" i="7"/>
  <c r="BQ223" i="7"/>
  <c r="BQ219" i="7"/>
  <c r="BQ215" i="7"/>
  <c r="BQ253" i="7"/>
  <c r="BQ245" i="7"/>
  <c r="BQ241" i="7"/>
  <c r="BQ237" i="7"/>
  <c r="BQ233" i="7"/>
  <c r="BQ246" i="7"/>
  <c r="BQ218" i="7"/>
  <c r="BQ216" i="7"/>
  <c r="BQ210" i="7"/>
  <c r="BQ249" i="7"/>
  <c r="BQ238" i="7"/>
  <c r="BQ232" i="7"/>
  <c r="BQ229" i="7"/>
  <c r="BQ244" i="7"/>
  <c r="BQ226" i="7"/>
  <c r="BQ220" i="7"/>
  <c r="BQ248" i="7"/>
  <c r="BQ222" i="7"/>
  <c r="BQ205" i="7"/>
  <c r="BQ201" i="7"/>
  <c r="BQ197" i="7"/>
  <c r="BQ193" i="7"/>
  <c r="BQ189" i="7"/>
  <c r="BQ185" i="7"/>
  <c r="BQ181" i="7"/>
  <c r="BQ177" i="7"/>
  <c r="BQ173" i="7"/>
  <c r="BQ169" i="7"/>
  <c r="BQ165" i="7"/>
  <c r="BQ161" i="7"/>
  <c r="BQ228" i="7"/>
  <c r="BQ212" i="7"/>
  <c r="BQ209" i="7"/>
  <c r="BQ203" i="7"/>
  <c r="BQ188" i="7"/>
  <c r="BQ186" i="7"/>
  <c r="BQ234" i="7"/>
  <c r="BQ199" i="7"/>
  <c r="BQ184" i="7"/>
  <c r="BQ182" i="7"/>
  <c r="BQ255" i="7"/>
  <c r="BQ225" i="7"/>
  <c r="BQ204" i="7"/>
  <c r="BQ202" i="7"/>
  <c r="BQ187" i="7"/>
  <c r="BQ172" i="7"/>
  <c r="BQ170" i="7"/>
  <c r="BQ198" i="7"/>
  <c r="BQ196" i="7"/>
  <c r="BQ175" i="7"/>
  <c r="BQ166" i="7"/>
  <c r="BQ242" i="7"/>
  <c r="BQ240" i="7"/>
  <c r="BQ214" i="7"/>
  <c r="BQ208" i="7"/>
  <c r="BQ207" i="7"/>
  <c r="BQ178" i="7"/>
  <c r="BQ159" i="7"/>
  <c r="BQ236" i="7"/>
  <c r="BQ190" i="7"/>
  <c r="BQ183" i="7"/>
  <c r="BQ179" i="7"/>
  <c r="BQ144" i="7"/>
  <c r="BQ142" i="7"/>
  <c r="BQ230" i="7"/>
  <c r="BQ191" i="7"/>
  <c r="BQ151" i="7"/>
  <c r="BQ149" i="7"/>
  <c r="BQ155" i="7"/>
  <c r="BQ128" i="7"/>
  <c r="BQ126" i="7"/>
  <c r="BQ99" i="7"/>
  <c r="BQ97" i="7"/>
  <c r="BQ84" i="7"/>
  <c r="BQ82" i="7"/>
  <c r="BQ54" i="7"/>
  <c r="BQ52" i="7"/>
  <c r="BQ217" i="7"/>
  <c r="BQ206" i="7"/>
  <c r="BQ180" i="7"/>
  <c r="BQ174" i="7"/>
  <c r="BQ162" i="7"/>
  <c r="BQ158" i="7"/>
  <c r="BQ153" i="7"/>
  <c r="BQ135" i="7"/>
  <c r="BQ133" i="7"/>
  <c r="BQ120" i="7"/>
  <c r="BQ118" i="7"/>
  <c r="BQ91" i="7"/>
  <c r="BQ89" i="7"/>
  <c r="BQ76" i="7"/>
  <c r="BQ74" i="7"/>
  <c r="BQ252" i="7"/>
  <c r="BQ163" i="7"/>
  <c r="BQ148" i="7"/>
  <c r="BQ141" i="7"/>
  <c r="BQ140" i="7"/>
  <c r="BQ138" i="7"/>
  <c r="BQ137" i="7"/>
  <c r="BQ122" i="7"/>
  <c r="BQ90" i="7"/>
  <c r="BQ83" i="7"/>
  <c r="BQ51" i="7"/>
  <c r="BQ17" i="7"/>
  <c r="BQ139" i="7"/>
  <c r="BQ121" i="7"/>
  <c r="BQ102" i="7"/>
  <c r="BQ96" i="7"/>
  <c r="BQ192" i="7"/>
  <c r="BQ136" i="7"/>
  <c r="BQ103" i="7"/>
  <c r="BQ221" i="7"/>
  <c r="BQ146" i="7"/>
  <c r="BQ132" i="7"/>
  <c r="BQ131" i="7"/>
  <c r="BQ86" i="7"/>
  <c r="BQ85" i="7"/>
  <c r="BQ79" i="7"/>
  <c r="BQ63" i="7"/>
  <c r="BQ55" i="7"/>
  <c r="BQ49" i="7"/>
  <c r="BQ160" i="7"/>
  <c r="BQ134" i="7"/>
  <c r="BQ130" i="7"/>
  <c r="BQ127" i="7"/>
  <c r="BQ123" i="7"/>
  <c r="BQ19" i="7"/>
  <c r="BQ18" i="7"/>
  <c r="BQ101" i="7"/>
  <c r="BQ94" i="7"/>
  <c r="BQ56" i="7"/>
  <c r="BQ50" i="7"/>
  <c r="BQ224" i="7"/>
  <c r="BQ147" i="7"/>
  <c r="BQ145" i="7"/>
  <c r="BQ124" i="7"/>
  <c r="BQ98" i="7"/>
  <c r="BQ80" i="7"/>
  <c r="BQ195" i="7"/>
  <c r="BQ143" i="7"/>
  <c r="BQ95" i="7"/>
  <c r="BQ81" i="7"/>
  <c r="BQ88" i="7"/>
  <c r="BQ213" i="7"/>
  <c r="BQ200" i="7"/>
  <c r="BQ171" i="7"/>
  <c r="BQ168" i="7"/>
  <c r="BQ157" i="7"/>
  <c r="BQ87" i="7"/>
  <c r="BQ73" i="7"/>
  <c r="BQ77" i="7"/>
  <c r="BQ57" i="7"/>
  <c r="BQ211" i="7"/>
  <c r="BQ176" i="7"/>
  <c r="BQ167" i="7"/>
  <c r="BQ156" i="7"/>
  <c r="BQ154" i="7"/>
  <c r="BQ125" i="7"/>
  <c r="BQ254" i="7"/>
  <c r="BQ194" i="7"/>
  <c r="BQ164" i="7"/>
  <c r="BQ152" i="7"/>
  <c r="BQ150" i="7"/>
  <c r="BQ129" i="7"/>
  <c r="BQ92" i="7"/>
  <c r="BQ78" i="7"/>
  <c r="BQ53" i="7"/>
  <c r="BQ46" i="7"/>
  <c r="BQ75" i="7"/>
  <c r="BQ58" i="7"/>
  <c r="BQ47" i="7"/>
  <c r="BQ119" i="7"/>
  <c r="BQ100" i="7"/>
  <c r="BQ93" i="7"/>
  <c r="BQ48" i="7"/>
  <c r="BQ42" i="7"/>
  <c r="BQ44" i="7"/>
  <c r="BQ41" i="7"/>
  <c r="BQ43" i="7"/>
  <c r="BO253" i="7"/>
  <c r="BO255" i="7"/>
  <c r="BO252" i="7"/>
  <c r="BO251" i="7"/>
  <c r="BO243" i="7"/>
  <c r="BO240" i="7"/>
  <c r="BO222" i="7"/>
  <c r="BO220" i="7"/>
  <c r="BO213" i="7"/>
  <c r="BO209" i="7"/>
  <c r="BO245" i="7"/>
  <c r="BO254" i="7"/>
  <c r="BO249" i="7"/>
  <c r="BO238" i="7"/>
  <c r="BO232" i="7"/>
  <c r="BO229" i="7"/>
  <c r="BO223" i="7"/>
  <c r="BO242" i="7"/>
  <c r="BO235" i="7"/>
  <c r="BO228" i="7"/>
  <c r="BO225" i="7"/>
  <c r="BO219" i="7"/>
  <c r="BO216" i="7"/>
  <c r="BO208" i="7"/>
  <c r="BO204" i="7"/>
  <c r="BO200" i="7"/>
  <c r="BO196" i="7"/>
  <c r="BO192" i="7"/>
  <c r="BO188" i="7"/>
  <c r="BO184" i="7"/>
  <c r="BO180" i="7"/>
  <c r="BO176" i="7"/>
  <c r="BO172" i="7"/>
  <c r="BO168" i="7"/>
  <c r="BO164" i="7"/>
  <c r="BO160" i="7"/>
  <c r="BO244" i="7"/>
  <c r="BO237" i="7"/>
  <c r="BO221" i="7"/>
  <c r="BO217" i="7"/>
  <c r="BO194" i="7"/>
  <c r="BO248" i="7"/>
  <c r="BO241" i="7"/>
  <c r="BO207" i="7"/>
  <c r="BO205" i="7"/>
  <c r="BO190" i="7"/>
  <c r="BO250" i="7"/>
  <c r="BO231" i="7"/>
  <c r="BO230" i="7"/>
  <c r="BO224" i="7"/>
  <c r="BO214" i="7"/>
  <c r="BO211" i="7"/>
  <c r="BO195" i="7"/>
  <c r="BO193" i="7"/>
  <c r="BO178" i="7"/>
  <c r="BO163" i="7"/>
  <c r="BO161" i="7"/>
  <c r="BO210" i="7"/>
  <c r="BO167" i="7"/>
  <c r="BO158" i="7"/>
  <c r="BO156" i="7"/>
  <c r="BO206" i="7"/>
  <c r="BO182" i="7"/>
  <c r="BO181" i="7"/>
  <c r="BO174" i="7"/>
  <c r="BO157" i="7"/>
  <c r="BO197" i="7"/>
  <c r="BO150" i="7"/>
  <c r="BO148" i="7"/>
  <c r="BO187" i="7"/>
  <c r="BO142" i="7"/>
  <c r="BO246" i="7"/>
  <c r="BO234" i="7"/>
  <c r="BO227" i="7"/>
  <c r="BO215" i="7"/>
  <c r="BO203" i="7"/>
  <c r="BO201" i="7"/>
  <c r="BO179" i="7"/>
  <c r="BO149" i="7"/>
  <c r="BO143" i="7"/>
  <c r="BO136" i="7"/>
  <c r="BO134" i="7"/>
  <c r="BO132" i="7"/>
  <c r="BO119" i="7"/>
  <c r="BO90" i="7"/>
  <c r="BO88" i="7"/>
  <c r="BO75" i="7"/>
  <c r="BO73" i="7"/>
  <c r="BO233" i="7"/>
  <c r="BO126" i="7"/>
  <c r="BO124" i="7"/>
  <c r="BO99" i="7"/>
  <c r="BO97" i="7"/>
  <c r="BO82" i="7"/>
  <c r="BO80" i="7"/>
  <c r="BO247" i="7"/>
  <c r="BO202" i="7"/>
  <c r="BO165" i="7"/>
  <c r="BO155" i="7"/>
  <c r="BO130" i="7"/>
  <c r="BO98" i="7"/>
  <c r="BO91" i="7"/>
  <c r="BO84" i="7"/>
  <c r="BO58" i="7"/>
  <c r="BO46" i="7"/>
  <c r="BO43" i="7"/>
  <c r="BO24" i="7"/>
  <c r="BO20" i="7"/>
  <c r="BO141" i="7"/>
  <c r="BO138" i="7"/>
  <c r="BO129" i="7"/>
  <c r="BO123" i="7"/>
  <c r="BO77" i="7"/>
  <c r="BO57" i="7"/>
  <c r="BO54" i="7"/>
  <c r="BO51" i="7"/>
  <c r="BO48" i="7"/>
  <c r="BO41" i="7"/>
  <c r="BO212" i="7"/>
  <c r="BO170" i="7"/>
  <c r="BO140" i="7"/>
  <c r="BO122" i="7"/>
  <c r="BO76" i="7"/>
  <c r="BO30" i="7"/>
  <c r="BO236" i="7"/>
  <c r="BO198" i="7"/>
  <c r="BO171" i="7"/>
  <c r="BO162" i="7"/>
  <c r="BO153" i="7"/>
  <c r="BO152" i="7"/>
  <c r="BO145" i="7"/>
  <c r="BO100" i="7"/>
  <c r="BO94" i="7"/>
  <c r="BO93" i="7"/>
  <c r="BO87" i="7"/>
  <c r="BO31" i="7"/>
  <c r="BO29" i="7"/>
  <c r="BO218" i="7"/>
  <c r="BO185" i="7"/>
  <c r="BO144" i="7"/>
  <c r="BO86" i="7"/>
  <c r="BO63" i="7"/>
  <c r="BO120" i="7"/>
  <c r="BO83" i="7"/>
  <c r="BO79" i="7"/>
  <c r="BO55" i="7"/>
  <c r="BO19" i="7"/>
  <c r="BO151" i="7"/>
  <c r="BO127" i="7"/>
  <c r="BO101" i="7"/>
  <c r="BO56" i="7"/>
  <c r="BO49" i="7"/>
  <c r="BO17" i="7"/>
  <c r="BO199" i="7"/>
  <c r="BO191" i="7"/>
  <c r="BO159" i="7"/>
  <c r="BO147" i="7"/>
  <c r="BO135" i="7"/>
  <c r="BO128" i="7"/>
  <c r="BO50" i="7"/>
  <c r="BO27" i="7"/>
  <c r="BO102" i="7"/>
  <c r="BO177" i="7"/>
  <c r="BO137" i="7"/>
  <c r="BO18" i="7"/>
  <c r="BO131" i="7"/>
  <c r="BO28" i="7"/>
  <c r="BO183" i="7"/>
  <c r="BO173" i="7"/>
  <c r="BO121" i="7"/>
  <c r="BO95" i="7"/>
  <c r="BO154" i="7"/>
  <c r="BO125" i="7"/>
  <c r="BO118" i="7"/>
  <c r="BO81" i="7"/>
  <c r="BO74" i="7"/>
  <c r="BO52" i="7"/>
  <c r="BO42" i="7"/>
  <c r="BO239" i="7"/>
  <c r="BO186" i="7"/>
  <c r="BO175" i="7"/>
  <c r="BO96" i="7"/>
  <c r="BO92" i="7"/>
  <c r="BO89" i="7"/>
  <c r="BO85" i="7"/>
  <c r="BO78" i="7"/>
  <c r="BO44" i="7"/>
  <c r="BO23" i="7"/>
  <c r="BO226" i="7"/>
  <c r="BO189" i="7"/>
  <c r="BO169" i="7"/>
  <c r="BO166" i="7"/>
  <c r="BO146" i="7"/>
  <c r="BO139" i="7"/>
  <c r="BO133" i="7"/>
  <c r="BO53" i="7"/>
  <c r="BO47" i="7"/>
  <c r="BO22" i="7"/>
  <c r="BO21" i="7"/>
  <c r="BO26" i="7"/>
  <c r="BO25" i="7"/>
  <c r="L139" i="7"/>
  <c r="A138" i="7"/>
  <c r="BP252" i="7"/>
  <c r="BP248" i="7"/>
  <c r="BP247" i="7"/>
  <c r="BP246" i="7"/>
  <c r="BP245" i="7"/>
  <c r="BP244" i="7"/>
  <c r="BP243" i="7"/>
  <c r="BP242" i="7"/>
  <c r="BP241" i="7"/>
  <c r="BP240" i="7"/>
  <c r="BP239" i="7"/>
  <c r="BP238" i="7"/>
  <c r="BP237" i="7"/>
  <c r="BP236" i="7"/>
  <c r="BP235" i="7"/>
  <c r="BP234" i="7"/>
  <c r="BP233" i="7"/>
  <c r="BP232" i="7"/>
  <c r="BP231" i="7"/>
  <c r="BP230" i="7"/>
  <c r="BP229" i="7"/>
  <c r="BP228" i="7"/>
  <c r="BP227" i="7"/>
  <c r="BP226" i="7"/>
  <c r="BP225" i="7"/>
  <c r="BP224" i="7"/>
  <c r="BP223" i="7"/>
  <c r="BP222" i="7"/>
  <c r="BP221" i="7"/>
  <c r="BP220" i="7"/>
  <c r="BP219" i="7"/>
  <c r="BP218" i="7"/>
  <c r="BP217" i="7"/>
  <c r="BP216" i="7"/>
  <c r="BP215" i="7"/>
  <c r="BP214" i="7"/>
  <c r="BP249" i="7"/>
  <c r="BP254" i="7"/>
  <c r="BP253" i="7"/>
  <c r="BP207" i="7"/>
  <c r="BP205" i="7"/>
  <c r="BP192" i="7"/>
  <c r="BP190" i="7"/>
  <c r="BP212" i="7"/>
  <c r="BP209" i="7"/>
  <c r="BP203" i="7"/>
  <c r="BP201" i="7"/>
  <c r="BP188" i="7"/>
  <c r="BP186" i="7"/>
  <c r="BP208" i="7"/>
  <c r="BP206" i="7"/>
  <c r="BP191" i="7"/>
  <c r="BP189" i="7"/>
  <c r="BP176" i="7"/>
  <c r="BP174" i="7"/>
  <c r="BP159" i="7"/>
  <c r="BP156" i="7"/>
  <c r="BP152" i="7"/>
  <c r="BP148" i="7"/>
  <c r="BP144" i="7"/>
  <c r="BP140" i="7"/>
  <c r="BP136" i="7"/>
  <c r="BP132" i="7"/>
  <c r="BP128" i="7"/>
  <c r="BP124" i="7"/>
  <c r="BP120" i="7"/>
  <c r="BP104" i="7"/>
  <c r="BP100" i="7"/>
  <c r="BP96" i="7"/>
  <c r="BP92" i="7"/>
  <c r="BP88" i="7"/>
  <c r="BP84" i="7"/>
  <c r="BP80" i="7"/>
  <c r="BP76" i="7"/>
  <c r="BP63" i="7"/>
  <c r="BP55" i="7"/>
  <c r="BP51" i="7"/>
  <c r="BP47" i="7"/>
  <c r="BP42" i="7"/>
  <c r="BP29" i="7"/>
  <c r="BP211" i="7"/>
  <c r="BP197" i="7"/>
  <c r="BP195" i="7"/>
  <c r="BP194" i="7"/>
  <c r="BP185" i="7"/>
  <c r="BP184" i="7"/>
  <c r="BP183" i="7"/>
  <c r="BP179" i="7"/>
  <c r="BP171" i="7"/>
  <c r="BP168" i="7"/>
  <c r="BP165" i="7"/>
  <c r="BP162" i="7"/>
  <c r="BP213" i="7"/>
  <c r="BP204" i="7"/>
  <c r="BP146" i="7"/>
  <c r="BP250" i="7"/>
  <c r="BP198" i="7"/>
  <c r="BP180" i="7"/>
  <c r="BP155" i="7"/>
  <c r="BP153" i="7"/>
  <c r="BP199" i="7"/>
  <c r="BP173" i="7"/>
  <c r="BP169" i="7"/>
  <c r="BP142" i="7"/>
  <c r="BP139" i="7"/>
  <c r="BP130" i="7"/>
  <c r="BP103" i="7"/>
  <c r="BP101" i="7"/>
  <c r="BP86" i="7"/>
  <c r="BP58" i="7"/>
  <c r="BP56" i="7"/>
  <c r="BP182" i="7"/>
  <c r="BP177" i="7"/>
  <c r="BP170" i="7"/>
  <c r="BP166" i="7"/>
  <c r="BP157" i="7"/>
  <c r="BP154" i="7"/>
  <c r="BP147" i="7"/>
  <c r="BP141" i="7"/>
  <c r="BP138" i="7"/>
  <c r="BP122" i="7"/>
  <c r="BP95" i="7"/>
  <c r="BP93" i="7"/>
  <c r="BP78" i="7"/>
  <c r="BP187" i="7"/>
  <c r="BP172" i="7"/>
  <c r="BP129" i="7"/>
  <c r="BP123" i="7"/>
  <c r="BP97" i="7"/>
  <c r="BP77" i="7"/>
  <c r="BP57" i="7"/>
  <c r="BP54" i="7"/>
  <c r="BP48" i="7"/>
  <c r="BP41" i="7"/>
  <c r="BP30" i="7"/>
  <c r="BP137" i="7"/>
  <c r="BP135" i="7"/>
  <c r="BP89" i="7"/>
  <c r="BP25" i="7"/>
  <c r="BP21" i="7"/>
  <c r="BP17" i="7"/>
  <c r="BP163" i="7"/>
  <c r="BP149" i="7"/>
  <c r="BP90" i="7"/>
  <c r="BP83" i="7"/>
  <c r="BP28" i="7"/>
  <c r="BP193" i="7"/>
  <c r="BP164" i="7"/>
  <c r="BP125" i="7"/>
  <c r="BP119" i="7"/>
  <c r="BP118" i="7"/>
  <c r="BP73" i="7"/>
  <c r="BP52" i="7"/>
  <c r="BP27" i="7"/>
  <c r="BP23" i="7"/>
  <c r="BP19" i="7"/>
  <c r="BP181" i="7"/>
  <c r="BP79" i="7"/>
  <c r="BP20" i="7"/>
  <c r="BP49" i="7"/>
  <c r="BP18" i="7"/>
  <c r="BP200" i="7"/>
  <c r="BP196" i="7"/>
  <c r="BP131" i="7"/>
  <c r="BP94" i="7"/>
  <c r="BP87" i="7"/>
  <c r="BP50" i="7"/>
  <c r="BP145" i="7"/>
  <c r="BP121" i="7"/>
  <c r="BP105" i="7"/>
  <c r="BP102" i="7"/>
  <c r="BP98" i="7"/>
  <c r="BP91" i="7"/>
  <c r="BP26" i="7"/>
  <c r="BP81" i="7"/>
  <c r="BP74" i="7"/>
  <c r="BP160" i="7"/>
  <c r="BP151" i="7"/>
  <c r="BP134" i="7"/>
  <c r="BP127" i="7"/>
  <c r="BP255" i="7"/>
  <c r="BP143" i="7"/>
  <c r="BP202" i="7"/>
  <c r="BP175" i="7"/>
  <c r="BP167" i="7"/>
  <c r="BP161" i="7"/>
  <c r="BP99" i="7"/>
  <c r="BP85" i="7"/>
  <c r="BP44" i="7"/>
  <c r="BP43" i="7"/>
  <c r="BP24" i="7"/>
  <c r="BP251" i="7"/>
  <c r="BP210" i="7"/>
  <c r="BP158" i="7"/>
  <c r="BP150" i="7"/>
  <c r="BP133" i="7"/>
  <c r="BP82" i="7"/>
  <c r="BP53" i="7"/>
  <c r="BP46" i="7"/>
  <c r="BP22" i="7"/>
  <c r="BP178" i="7"/>
  <c r="BP126" i="7"/>
  <c r="BP75" i="7"/>
  <c r="BP31" i="7"/>
  <c r="BM255" i="7"/>
  <c r="BM254" i="7"/>
  <c r="BM250" i="7"/>
  <c r="BM249" i="7"/>
  <c r="BM247" i="7"/>
  <c r="BM234" i="7"/>
  <c r="BM228" i="7"/>
  <c r="BM226" i="7"/>
  <c r="BM208" i="7"/>
  <c r="BM207" i="7"/>
  <c r="BM206" i="7"/>
  <c r="BM205" i="7"/>
  <c r="BM204" i="7"/>
  <c r="BM203" i="7"/>
  <c r="BM202" i="7"/>
  <c r="BM201" i="7"/>
  <c r="BM200" i="7"/>
  <c r="BM199" i="7"/>
  <c r="BM198" i="7"/>
  <c r="BM197" i="7"/>
  <c r="BM196" i="7"/>
  <c r="BM195" i="7"/>
  <c r="BM194" i="7"/>
  <c r="BM193" i="7"/>
  <c r="BM192" i="7"/>
  <c r="BM191" i="7"/>
  <c r="BM190" i="7"/>
  <c r="BM189" i="7"/>
  <c r="BM188" i="7"/>
  <c r="BM187" i="7"/>
  <c r="BM186" i="7"/>
  <c r="BM185" i="7"/>
  <c r="BM184" i="7"/>
  <c r="BM183" i="7"/>
  <c r="BM182" i="7"/>
  <c r="BM181" i="7"/>
  <c r="BM180" i="7"/>
  <c r="BM179" i="7"/>
  <c r="BM178" i="7"/>
  <c r="BM177" i="7"/>
  <c r="BM176" i="7"/>
  <c r="BM175" i="7"/>
  <c r="BM174" i="7"/>
  <c r="BM173" i="7"/>
  <c r="BM172" i="7"/>
  <c r="BM171" i="7"/>
  <c r="BM170" i="7"/>
  <c r="BM169" i="7"/>
  <c r="BM168" i="7"/>
  <c r="BM167" i="7"/>
  <c r="BM166" i="7"/>
  <c r="BM165" i="7"/>
  <c r="BM164" i="7"/>
  <c r="BM163" i="7"/>
  <c r="BM162" i="7"/>
  <c r="BM161" i="7"/>
  <c r="BM160" i="7"/>
  <c r="BM159" i="7"/>
  <c r="BM246" i="7"/>
  <c r="BM233" i="7"/>
  <c r="BM230" i="7"/>
  <c r="BM227" i="7"/>
  <c r="BM224" i="7"/>
  <c r="BM239" i="7"/>
  <c r="BM221" i="7"/>
  <c r="BM243" i="7"/>
  <c r="BM236" i="7"/>
  <c r="BM217" i="7"/>
  <c r="BM212" i="7"/>
  <c r="BM210" i="7"/>
  <c r="BM252" i="7"/>
  <c r="BM240" i="7"/>
  <c r="BM244" i="7"/>
  <c r="BM237" i="7"/>
  <c r="BM222" i="7"/>
  <c r="BM242" i="7"/>
  <c r="BM215" i="7"/>
  <c r="BM220" i="7"/>
  <c r="BM213" i="7"/>
  <c r="BM251" i="7"/>
  <c r="BM157" i="7"/>
  <c r="BM141" i="7"/>
  <c r="BM139" i="7"/>
  <c r="BM253" i="7"/>
  <c r="BM218" i="7"/>
  <c r="BM216" i="7"/>
  <c r="BM211" i="7"/>
  <c r="BM150" i="7"/>
  <c r="BM148" i="7"/>
  <c r="BM238" i="7"/>
  <c r="BM125" i="7"/>
  <c r="BM123" i="7"/>
  <c r="BM98" i="7"/>
  <c r="BM96" i="7"/>
  <c r="BM81" i="7"/>
  <c r="BM79" i="7"/>
  <c r="BM53" i="7"/>
  <c r="BM51" i="7"/>
  <c r="BM245" i="7"/>
  <c r="BM241" i="7"/>
  <c r="BM223" i="7"/>
  <c r="BM156" i="7"/>
  <c r="BM155" i="7"/>
  <c r="BM149" i="7"/>
  <c r="BM142" i="7"/>
  <c r="BM136" i="7"/>
  <c r="BM134" i="7"/>
  <c r="BM132" i="7"/>
  <c r="BM105" i="7"/>
  <c r="BM103" i="7"/>
  <c r="BM90" i="7"/>
  <c r="BM88" i="7"/>
  <c r="BM73" i="7"/>
  <c r="BM58" i="7"/>
  <c r="BM219" i="7"/>
  <c r="BM154" i="7"/>
  <c r="BM147" i="7"/>
  <c r="BM131" i="7"/>
  <c r="BM124" i="7"/>
  <c r="BM118" i="7"/>
  <c r="BM92" i="7"/>
  <c r="BM63" i="7"/>
  <c r="BM55" i="7"/>
  <c r="BM52" i="7"/>
  <c r="BM49" i="7"/>
  <c r="BM130" i="7"/>
  <c r="BM91" i="7"/>
  <c r="BM85" i="7"/>
  <c r="BM84" i="7"/>
  <c r="BM78" i="7"/>
  <c r="BM46" i="7"/>
  <c r="BM158" i="7"/>
  <c r="BM231" i="7"/>
  <c r="BM225" i="7"/>
  <c r="BM151" i="7"/>
  <c r="BM144" i="7"/>
  <c r="BM127" i="7"/>
  <c r="BM120" i="7"/>
  <c r="BM102" i="7"/>
  <c r="BM101" i="7"/>
  <c r="BM56" i="7"/>
  <c r="BM50" i="7"/>
  <c r="BM47" i="7"/>
  <c r="BM248" i="7"/>
  <c r="BM146" i="7"/>
  <c r="BM133" i="7"/>
  <c r="BM126" i="7"/>
  <c r="BM119" i="7"/>
  <c r="BM89" i="7"/>
  <c r="BM82" i="7"/>
  <c r="BM75" i="7"/>
  <c r="BM54" i="7"/>
  <c r="BM104" i="7"/>
  <c r="BM100" i="7"/>
  <c r="BM97" i="7"/>
  <c r="BM86" i="7"/>
  <c r="BM48" i="7"/>
  <c r="BM153" i="7"/>
  <c r="BM137" i="7"/>
  <c r="BM83" i="7"/>
  <c r="BM76" i="7"/>
  <c r="BM232" i="7"/>
  <c r="BM140" i="7"/>
  <c r="BM94" i="7"/>
  <c r="BM87" i="7"/>
  <c r="BM80" i="7"/>
  <c r="BM77" i="7"/>
  <c r="BM235" i="7"/>
  <c r="BM93" i="7"/>
  <c r="BM135" i="7"/>
  <c r="BM128" i="7"/>
  <c r="BM229" i="7"/>
  <c r="BM145" i="7"/>
  <c r="BM143" i="7"/>
  <c r="BM138" i="7"/>
  <c r="BM121" i="7"/>
  <c r="BM95" i="7"/>
  <c r="BM57" i="7"/>
  <c r="BM41" i="7"/>
  <c r="BM214" i="7"/>
  <c r="BM152" i="7"/>
  <c r="BM99" i="7"/>
  <c r="BM74" i="7"/>
  <c r="BM43" i="7"/>
  <c r="BM42" i="7"/>
  <c r="BM209" i="7"/>
  <c r="BM129" i="7"/>
  <c r="BM122" i="7"/>
  <c r="BM44" i="7"/>
  <c r="BM17" i="7"/>
  <c r="BN254" i="7"/>
  <c r="BN246" i="7"/>
  <c r="BN242" i="7"/>
  <c r="BN238" i="7"/>
  <c r="BN234" i="7"/>
  <c r="BN230" i="7"/>
  <c r="BN226" i="7"/>
  <c r="BN222" i="7"/>
  <c r="BN218" i="7"/>
  <c r="BN214" i="7"/>
  <c r="BN213" i="7"/>
  <c r="BN212" i="7"/>
  <c r="BN211" i="7"/>
  <c r="BN210" i="7"/>
  <c r="BN209" i="7"/>
  <c r="BN251" i="7"/>
  <c r="BN248" i="7"/>
  <c r="BN244" i="7"/>
  <c r="BN240" i="7"/>
  <c r="BN236" i="7"/>
  <c r="BN237" i="7"/>
  <c r="BN224" i="7"/>
  <c r="BN250" i="7"/>
  <c r="BN239" i="7"/>
  <c r="BN221" i="7"/>
  <c r="BN245" i="7"/>
  <c r="BN252" i="7"/>
  <c r="BN231" i="7"/>
  <c r="BN247" i="7"/>
  <c r="BN233" i="7"/>
  <c r="BN227" i="7"/>
  <c r="BN198" i="7"/>
  <c r="BN196" i="7"/>
  <c r="BN183" i="7"/>
  <c r="BN181" i="7"/>
  <c r="BN253" i="7"/>
  <c r="BN228" i="7"/>
  <c r="BN217" i="7"/>
  <c r="BN216" i="7"/>
  <c r="BN194" i="7"/>
  <c r="BN192" i="7"/>
  <c r="BN179" i="7"/>
  <c r="BN177" i="7"/>
  <c r="BN235" i="7"/>
  <c r="BN199" i="7"/>
  <c r="BN197" i="7"/>
  <c r="BN182" i="7"/>
  <c r="BN180" i="7"/>
  <c r="BN167" i="7"/>
  <c r="BN165" i="7"/>
  <c r="BN155" i="7"/>
  <c r="BN151" i="7"/>
  <c r="BN147" i="7"/>
  <c r="BN143" i="7"/>
  <c r="BN139" i="7"/>
  <c r="BN135" i="7"/>
  <c r="BN131" i="7"/>
  <c r="BN127" i="7"/>
  <c r="BN123" i="7"/>
  <c r="BN119" i="7"/>
  <c r="BN103" i="7"/>
  <c r="BN99" i="7"/>
  <c r="BN95" i="7"/>
  <c r="BN91" i="7"/>
  <c r="BN87" i="7"/>
  <c r="BN83" i="7"/>
  <c r="BN79" i="7"/>
  <c r="BN75" i="7"/>
  <c r="BN58" i="7"/>
  <c r="BN54" i="7"/>
  <c r="BN50" i="7"/>
  <c r="BN46" i="7"/>
  <c r="BN41" i="7"/>
  <c r="BN28" i="7"/>
  <c r="BN241" i="7"/>
  <c r="BN219" i="7"/>
  <c r="BN193" i="7"/>
  <c r="BN191" i="7"/>
  <c r="BN176" i="7"/>
  <c r="BN173" i="7"/>
  <c r="BN170" i="7"/>
  <c r="BN164" i="7"/>
  <c r="BN161" i="7"/>
  <c r="BN255" i="7"/>
  <c r="BN205" i="7"/>
  <c r="BN204" i="7"/>
  <c r="BN203" i="7"/>
  <c r="BN202" i="7"/>
  <c r="BN223" i="7"/>
  <c r="BN200" i="7"/>
  <c r="BN186" i="7"/>
  <c r="BN178" i="7"/>
  <c r="BN156" i="7"/>
  <c r="BN154" i="7"/>
  <c r="BN152" i="7"/>
  <c r="BN137" i="7"/>
  <c r="BN225" i="7"/>
  <c r="BN220" i="7"/>
  <c r="BN201" i="7"/>
  <c r="BN146" i="7"/>
  <c r="BN144" i="7"/>
  <c r="BN190" i="7"/>
  <c r="BN188" i="7"/>
  <c r="BN160" i="7"/>
  <c r="BN150" i="7"/>
  <c r="BN121" i="7"/>
  <c r="BN94" i="7"/>
  <c r="BN92" i="7"/>
  <c r="BN77" i="7"/>
  <c r="BN49" i="7"/>
  <c r="BN47" i="7"/>
  <c r="BN249" i="7"/>
  <c r="BN208" i="7"/>
  <c r="BN195" i="7"/>
  <c r="BN169" i="7"/>
  <c r="BN148" i="7"/>
  <c r="BN130" i="7"/>
  <c r="BN128" i="7"/>
  <c r="BN101" i="7"/>
  <c r="BN86" i="7"/>
  <c r="BN84" i="7"/>
  <c r="BN185" i="7"/>
  <c r="BN158" i="7"/>
  <c r="BN85" i="7"/>
  <c r="BN78" i="7"/>
  <c r="BN187" i="7"/>
  <c r="BN97" i="7"/>
  <c r="BN43" i="7"/>
  <c r="BN24" i="7"/>
  <c r="BN20" i="7"/>
  <c r="BN207" i="7"/>
  <c r="BN172" i="7"/>
  <c r="BN98" i="7"/>
  <c r="BN243" i="7"/>
  <c r="BN157" i="7"/>
  <c r="BN133" i="7"/>
  <c r="BN126" i="7"/>
  <c r="BN81" i="7"/>
  <c r="BN80" i="7"/>
  <c r="BN74" i="7"/>
  <c r="BN53" i="7"/>
  <c r="BN44" i="7"/>
  <c r="BN42" i="7"/>
  <c r="BN26" i="7"/>
  <c r="BN22" i="7"/>
  <c r="BN18" i="7"/>
  <c r="BN229" i="7"/>
  <c r="BN189" i="7"/>
  <c r="BN166" i="7"/>
  <c r="BN163" i="7"/>
  <c r="BN142" i="7"/>
  <c r="BN100" i="7"/>
  <c r="BN93" i="7"/>
  <c r="BN48" i="7"/>
  <c r="BN21" i="7"/>
  <c r="BN90" i="7"/>
  <c r="BN76" i="7"/>
  <c r="BN63" i="7"/>
  <c r="BN232" i="7"/>
  <c r="BN171" i="7"/>
  <c r="BN168" i="7"/>
  <c r="BN149" i="7"/>
  <c r="BN134" i="7"/>
  <c r="BN120" i="7"/>
  <c r="BN55" i="7"/>
  <c r="BN19" i="7"/>
  <c r="BN124" i="7"/>
  <c r="BN73" i="7"/>
  <c r="BN56" i="7"/>
  <c r="BN17" i="7"/>
  <c r="BN159" i="7"/>
  <c r="BN57" i="7"/>
  <c r="BN51" i="7"/>
  <c r="BN184" i="7"/>
  <c r="BN174" i="7"/>
  <c r="BN153" i="7"/>
  <c r="BN140" i="7"/>
  <c r="BN162" i="7"/>
  <c r="BN145" i="7"/>
  <c r="BN138" i="7"/>
  <c r="BN215" i="7"/>
  <c r="BN206" i="7"/>
  <c r="BN141" i="7"/>
  <c r="BN132" i="7"/>
  <c r="BN102" i="7"/>
  <c r="BN88" i="7"/>
  <c r="BN31" i="7"/>
  <c r="BN25" i="7"/>
  <c r="BN136" i="7"/>
  <c r="BN129" i="7"/>
  <c r="BN125" i="7"/>
  <c r="BN122" i="7"/>
  <c r="BN118" i="7"/>
  <c r="BN52" i="7"/>
  <c r="BN175" i="7"/>
  <c r="BN96" i="7"/>
  <c r="BN89" i="7"/>
  <c r="BN82" i="7"/>
  <c r="BN23" i="7"/>
  <c r="BN27" i="7"/>
  <c r="BN30" i="7"/>
  <c r="BN29" i="7"/>
  <c r="AE136" i="7"/>
  <c r="BH135" i="7"/>
  <c r="BI16" i="7"/>
  <c r="BJ16" i="7" s="1"/>
  <c r="BK16" i="7" s="1"/>
  <c r="BL16" i="7" s="1"/>
  <c r="BM16" i="7" s="1"/>
  <c r="BN16" i="7" s="1"/>
  <c r="BO16" i="7" s="1"/>
  <c r="BP16" i="7" s="1"/>
  <c r="BQ16" i="7" s="1"/>
  <c r="BR16" i="7" s="1"/>
  <c r="BS16" i="7" s="1"/>
  <c r="BT16" i="7" s="1"/>
  <c r="BU16" i="7" s="1"/>
  <c r="AO118" i="7"/>
  <c r="AO119" i="7" s="1"/>
  <c r="AO120" i="7" s="1"/>
  <c r="AO121" i="7" s="1"/>
  <c r="AO73" i="7"/>
  <c r="AO74" i="7" s="1"/>
  <c r="AO75" i="7" s="1"/>
  <c r="AO76" i="7" s="1"/>
  <c r="AO41" i="7"/>
  <c r="BR41" i="7" s="1"/>
  <c r="AR118" i="7"/>
  <c r="AR119" i="7" s="1"/>
  <c r="AR73" i="7"/>
  <c r="AR74" i="7" s="1"/>
  <c r="AR75" i="7" s="1"/>
  <c r="AR41" i="7"/>
  <c r="AQ118" i="7"/>
  <c r="BT118" i="7" s="1"/>
  <c r="AQ73" i="7"/>
  <c r="BT73" i="7" s="1"/>
  <c r="AQ41" i="7"/>
  <c r="BT41" i="7" s="1"/>
  <c r="AF12" i="7"/>
  <c r="AG12" i="7" s="1"/>
  <c r="AH12" i="7" s="1"/>
  <c r="AZ120" i="7"/>
  <c r="W121" i="7"/>
  <c r="AU120" i="7"/>
  <c r="R121" i="7"/>
  <c r="BC120" i="7"/>
  <c r="Z121" i="7"/>
  <c r="S121" i="7"/>
  <c r="AV120" i="7"/>
  <c r="BB120" i="7"/>
  <c r="Y121" i="7"/>
  <c r="BD120" i="7"/>
  <c r="AA121" i="7"/>
  <c r="T121" i="7"/>
  <c r="AW120" i="7"/>
  <c r="BA120" i="7"/>
  <c r="X121" i="7"/>
  <c r="AY120" i="7"/>
  <c r="V121" i="7"/>
  <c r="U121" i="7"/>
  <c r="AX120" i="7"/>
  <c r="AS120" i="7"/>
  <c r="P121" i="7"/>
  <c r="AT120" i="7"/>
  <c r="Q121" i="7"/>
  <c r="AP141" i="7"/>
  <c r="BS141" i="7" s="1"/>
  <c r="AU105" i="7"/>
  <c r="BB51" i="7"/>
  <c r="AX46" i="7"/>
  <c r="BB48" i="7"/>
  <c r="AW105" i="7"/>
  <c r="AX105" i="7"/>
  <c r="BC103" i="7"/>
  <c r="Z104" i="7"/>
  <c r="Z105" i="7" s="1"/>
  <c r="Z106" i="7" s="1"/>
  <c r="BC50" i="7"/>
  <c r="BC102" i="7"/>
  <c r="AV105" i="7"/>
  <c r="AT50" i="7"/>
  <c r="AT102" i="7"/>
  <c r="BB58" i="7"/>
  <c r="AS50" i="7"/>
  <c r="AS102" i="7"/>
  <c r="AS103" i="7"/>
  <c r="AS104" i="7"/>
  <c r="AY50" i="7"/>
  <c r="AY103" i="7"/>
  <c r="AY102" i="7"/>
  <c r="AY105" i="7"/>
  <c r="AY104" i="7"/>
  <c r="AZ103" i="7"/>
  <c r="W104" i="7"/>
  <c r="W105" i="7" s="1"/>
  <c r="W106" i="7" s="1"/>
  <c r="W107" i="7" s="1"/>
  <c r="W108" i="7" s="1"/>
  <c r="AZ108" i="7" s="1"/>
  <c r="AK104" i="7"/>
  <c r="AK105" i="7" s="1"/>
  <c r="AK106" i="7" s="1"/>
  <c r="AK107" i="7" s="1"/>
  <c r="AK108" i="7" s="1"/>
  <c r="BN108" i="7" s="1"/>
  <c r="AV58" i="7"/>
  <c r="BD105" i="7"/>
  <c r="BB50" i="7"/>
  <c r="BB102" i="7"/>
  <c r="BB103" i="7"/>
  <c r="BB104" i="7"/>
  <c r="AZ50" i="7"/>
  <c r="AZ102" i="7"/>
  <c r="AX50" i="7"/>
  <c r="AX102" i="7"/>
  <c r="AX103" i="7"/>
  <c r="AX104" i="7"/>
  <c r="AS105" i="7"/>
  <c r="BA102" i="7"/>
  <c r="X103" i="7"/>
  <c r="X104" i="7" s="1"/>
  <c r="X105" i="7" s="1"/>
  <c r="X106" i="7" s="1"/>
  <c r="X107" i="7" s="1"/>
  <c r="X108" i="7" s="1"/>
  <c r="BA108" i="7" s="1"/>
  <c r="AL103" i="7"/>
  <c r="AL104" i="7" s="1"/>
  <c r="AL105" i="7" s="1"/>
  <c r="AL106" i="7" s="1"/>
  <c r="AL107" i="7" s="1"/>
  <c r="AL108" i="7" s="1"/>
  <c r="BO108" i="7" s="1"/>
  <c r="BD103" i="7"/>
  <c r="BD102" i="7"/>
  <c r="BD104" i="7"/>
  <c r="AV103" i="7"/>
  <c r="AV102" i="7"/>
  <c r="AV104" i="7"/>
  <c r="AN104" i="7"/>
  <c r="AN105" i="7" s="1"/>
  <c r="AN106" i="7" s="1"/>
  <c r="AN107" i="7" s="1"/>
  <c r="AN108" i="7" s="1"/>
  <c r="BQ108" i="7" s="1"/>
  <c r="AU50" i="7"/>
  <c r="AU102" i="7"/>
  <c r="AU104" i="7"/>
  <c r="AU103" i="7"/>
  <c r="AP105" i="7"/>
  <c r="AP106" i="7" s="1"/>
  <c r="AU57" i="7"/>
  <c r="AW50" i="7"/>
  <c r="AW103" i="7"/>
  <c r="AW102" i="7"/>
  <c r="AW104" i="7"/>
  <c r="AT103" i="7"/>
  <c r="Q104" i="7"/>
  <c r="Q105" i="7" s="1"/>
  <c r="Q106" i="7" s="1"/>
  <c r="Q107" i="7" s="1"/>
  <c r="Q108" i="7" s="1"/>
  <c r="AT108" i="7" s="1"/>
  <c r="BB105" i="7"/>
  <c r="A103" i="7"/>
  <c r="L104" i="7"/>
  <c r="L105" i="7" s="1"/>
  <c r="L106" i="7" s="1"/>
  <c r="AS46" i="7"/>
  <c r="BD47" i="7"/>
  <c r="BD50" i="7"/>
  <c r="BC47" i="7"/>
  <c r="A58" i="7"/>
  <c r="A57" i="7"/>
  <c r="AV44" i="7"/>
  <c r="AV50" i="7"/>
  <c r="BA58" i="7"/>
  <c r="BA50" i="7"/>
  <c r="AQ18" i="7"/>
  <c r="AQ19" i="7" s="1"/>
  <c r="AQ20" i="7" s="1"/>
  <c r="AQ21" i="7" s="1"/>
  <c r="AQ22" i="7" s="1"/>
  <c r="AQ23" i="7" s="1"/>
  <c r="AQ24" i="7" s="1"/>
  <c r="AQ25" i="7" s="1"/>
  <c r="AQ26" i="7" s="1"/>
  <c r="AQ27" i="7" s="1"/>
  <c r="AQ28" i="7" s="1"/>
  <c r="AQ29" i="7" s="1"/>
  <c r="AQ30" i="7" s="1"/>
  <c r="AQ31" i="7" s="1"/>
  <c r="AW42" i="7"/>
  <c r="AW41" i="7"/>
  <c r="AW43" i="7"/>
  <c r="AW56" i="7"/>
  <c r="AW44" i="7"/>
  <c r="BC41" i="7"/>
  <c r="BC42" i="7"/>
  <c r="BC43" i="7"/>
  <c r="BC44" i="7"/>
  <c r="BC56" i="7"/>
  <c r="BC57" i="7"/>
  <c r="BC46" i="7"/>
  <c r="AU41" i="7"/>
  <c r="AU42" i="7"/>
  <c r="AU56" i="7"/>
  <c r="AU43" i="7"/>
  <c r="AU58" i="7"/>
  <c r="BD58" i="7"/>
  <c r="BB44" i="7"/>
  <c r="BB41" i="7"/>
  <c r="BB42" i="7"/>
  <c r="BB43" i="7"/>
  <c r="BB46" i="7"/>
  <c r="BB56" i="7"/>
  <c r="BB47" i="7"/>
  <c r="BB57" i="7"/>
  <c r="AT41" i="7"/>
  <c r="AT42" i="7"/>
  <c r="AT56" i="7"/>
  <c r="AT43" i="7"/>
  <c r="AT44" i="7"/>
  <c r="AT57" i="7"/>
  <c r="AU44" i="7"/>
  <c r="AZ42" i="7"/>
  <c r="AZ41" i="7"/>
  <c r="AZ57" i="7"/>
  <c r="AZ56" i="7"/>
  <c r="AZ43" i="7"/>
  <c r="AZ58" i="7"/>
  <c r="AZ44" i="7"/>
  <c r="AZ46" i="7"/>
  <c r="AW57" i="7"/>
  <c r="BC58" i="7"/>
  <c r="AT58" i="7"/>
  <c r="AS41" i="7"/>
  <c r="AS42" i="7"/>
  <c r="AS43" i="7"/>
  <c r="AS56" i="7"/>
  <c r="AS44" i="7"/>
  <c r="AS57" i="7"/>
  <c r="AY23" i="7"/>
  <c r="AY46" i="7"/>
  <c r="AY47" i="7"/>
  <c r="AY41" i="7"/>
  <c r="AY43" i="7"/>
  <c r="AY44" i="7"/>
  <c r="AY42" i="7"/>
  <c r="AY48" i="7"/>
  <c r="AY49" i="7"/>
  <c r="AT46" i="7"/>
  <c r="AW46" i="7"/>
  <c r="AW58" i="7"/>
  <c r="AS58" i="7"/>
  <c r="AO18" i="7"/>
  <c r="AO19" i="7" s="1"/>
  <c r="AO20" i="7" s="1"/>
  <c r="AO21" i="7" s="1"/>
  <c r="AO22" i="7" s="1"/>
  <c r="AO23" i="7" s="1"/>
  <c r="AO24" i="7" s="1"/>
  <c r="AO25" i="7" s="1"/>
  <c r="AO26" i="7" s="1"/>
  <c r="AO27" i="7" s="1"/>
  <c r="AO28" i="7" s="1"/>
  <c r="AO29" i="7" s="1"/>
  <c r="AO30" i="7" s="1"/>
  <c r="AO31" i="7" s="1"/>
  <c r="BD41" i="7"/>
  <c r="BD43" i="7"/>
  <c r="BD42" i="7"/>
  <c r="BD56" i="7"/>
  <c r="BD44" i="7"/>
  <c r="BD46" i="7"/>
  <c r="BD57" i="7"/>
  <c r="AV41" i="7"/>
  <c r="AV42" i="7"/>
  <c r="AV56" i="7"/>
  <c r="AV43" i="7"/>
  <c r="BA41" i="7"/>
  <c r="BA42" i="7"/>
  <c r="BA56" i="7"/>
  <c r="BA43" i="7"/>
  <c r="BA44" i="7"/>
  <c r="BA57" i="7"/>
  <c r="AR18" i="7"/>
  <c r="AR19" i="7" s="1"/>
  <c r="AR20" i="7" s="1"/>
  <c r="AR21" i="7" s="1"/>
  <c r="AR22" i="7" s="1"/>
  <c r="AR23" i="7" s="1"/>
  <c r="AR24" i="7" s="1"/>
  <c r="AR25" i="7" s="1"/>
  <c r="AR26" i="7" s="1"/>
  <c r="AR27" i="7" s="1"/>
  <c r="AR28" i="7" s="1"/>
  <c r="AR29" i="7" s="1"/>
  <c r="AR30" i="7" s="1"/>
  <c r="AR31" i="7" s="1"/>
  <c r="AX41" i="7"/>
  <c r="AX42" i="7"/>
  <c r="AX56" i="7"/>
  <c r="AX43" i="7"/>
  <c r="AX57" i="7"/>
  <c r="AX44" i="7"/>
  <c r="BA46" i="7"/>
  <c r="AV57" i="7"/>
  <c r="AX58" i="7"/>
  <c r="AY51" i="7"/>
  <c r="BB55" i="7"/>
  <c r="BB54" i="7"/>
  <c r="BD51" i="7"/>
  <c r="BC51" i="7"/>
  <c r="AW47" i="7"/>
  <c r="AV46" i="7"/>
  <c r="AU46" i="7"/>
  <c r="BC48" i="7"/>
  <c r="BB49" i="7"/>
  <c r="BB53" i="7"/>
  <c r="BA47" i="7"/>
  <c r="BD48" i="7"/>
  <c r="AS47" i="7"/>
  <c r="AT47" i="7"/>
  <c r="A47" i="7"/>
  <c r="AZ47" i="7"/>
  <c r="AX47" i="7"/>
  <c r="AY28" i="7"/>
  <c r="AT118" i="7"/>
  <c r="AU18" i="7"/>
  <c r="AS30" i="7"/>
  <c r="AW118" i="7"/>
  <c r="AY17" i="7"/>
  <c r="AV74" i="7"/>
  <c r="BD17" i="7"/>
  <c r="BD118" i="7"/>
  <c r="AW22" i="7"/>
  <c r="AT119" i="7"/>
  <c r="AY31" i="7"/>
  <c r="BD119" i="7"/>
  <c r="BD75" i="7"/>
  <c r="AV119" i="7"/>
  <c r="AS31" i="7"/>
  <c r="AZ29" i="7"/>
  <c r="AV17" i="7"/>
  <c r="AV118" i="7"/>
  <c r="AV20" i="7"/>
  <c r="BD76" i="7"/>
  <c r="AW79" i="7"/>
  <c r="AW89" i="7"/>
  <c r="AS78" i="7"/>
  <c r="AS77" i="7"/>
  <c r="AU118" i="7"/>
  <c r="BB119" i="7"/>
  <c r="AT18" i="7"/>
  <c r="BA17" i="7"/>
  <c r="AW19" i="7"/>
  <c r="AT73" i="7"/>
  <c r="BC118" i="7"/>
  <c r="BC119" i="7"/>
  <c r="AS18" i="7"/>
  <c r="AY26" i="7"/>
  <c r="AU73" i="7"/>
  <c r="BA74" i="7"/>
  <c r="AW24" i="7"/>
  <c r="AT75" i="7"/>
  <c r="AT77" i="7"/>
  <c r="BC73" i="7"/>
  <c r="BB74" i="7"/>
  <c r="AS21" i="7"/>
  <c r="AW27" i="7"/>
  <c r="BC74" i="7"/>
  <c r="BC76" i="7"/>
  <c r="BB81" i="7"/>
  <c r="AX89" i="7"/>
  <c r="BA78" i="7"/>
  <c r="AT84" i="7"/>
  <c r="AZ89" i="7"/>
  <c r="BA76" i="7"/>
  <c r="AX17" i="7"/>
  <c r="AZ74" i="7"/>
  <c r="AX76" i="7"/>
  <c r="AW31" i="7"/>
  <c r="AW76" i="7"/>
  <c r="AW74" i="7"/>
  <c r="AW30" i="7"/>
  <c r="AW78" i="7"/>
  <c r="AW73" i="7"/>
  <c r="AW18" i="7"/>
  <c r="AW119" i="7"/>
  <c r="AW75" i="7"/>
  <c r="AW29" i="7"/>
  <c r="AZ30" i="7"/>
  <c r="AZ23" i="7"/>
  <c r="AW77" i="7"/>
  <c r="AZ17" i="7"/>
  <c r="AW20" i="7"/>
  <c r="AZ31" i="7"/>
  <c r="AY73" i="7"/>
  <c r="AX86" i="7"/>
  <c r="AS118" i="7"/>
  <c r="AY29" i="7"/>
  <c r="AW21" i="7"/>
  <c r="AZ83" i="7"/>
  <c r="BB118" i="7"/>
  <c r="BB17" i="7"/>
  <c r="AT80" i="7"/>
  <c r="AT82" i="7"/>
  <c r="AT23" i="7"/>
  <c r="AT81" i="7"/>
  <c r="AT76" i="7"/>
  <c r="AT19" i="7"/>
  <c r="AT17" i="7"/>
  <c r="AT83" i="7"/>
  <c r="AT74" i="7"/>
  <c r="AT78" i="7"/>
  <c r="AZ18" i="7"/>
  <c r="AS19" i="7"/>
  <c r="AY21" i="7"/>
  <c r="BA73" i="7"/>
  <c r="AT79" i="7"/>
  <c r="AX81" i="7"/>
  <c r="AZ118" i="7"/>
  <c r="AZ84" i="7"/>
  <c r="AZ76" i="7"/>
  <c r="AZ86" i="7"/>
  <c r="AZ78" i="7"/>
  <c r="AZ20" i="7"/>
  <c r="AZ119" i="7"/>
  <c r="AZ85" i="7"/>
  <c r="AZ80" i="7"/>
  <c r="AZ27" i="7"/>
  <c r="AZ22" i="7"/>
  <c r="AZ87" i="7"/>
  <c r="AZ75" i="7"/>
  <c r="AZ82" i="7"/>
  <c r="AZ77" i="7"/>
  <c r="AX83" i="7"/>
  <c r="AX75" i="7"/>
  <c r="AX73" i="7"/>
  <c r="AX118" i="7"/>
  <c r="AX85" i="7"/>
  <c r="AX77" i="7"/>
  <c r="AX87" i="7"/>
  <c r="AX119" i="7"/>
  <c r="AX80" i="7"/>
  <c r="AZ19" i="7"/>
  <c r="AZ79" i="7"/>
  <c r="AX88" i="7"/>
  <c r="AZ88" i="7"/>
  <c r="AY18" i="7"/>
  <c r="AY20" i="7"/>
  <c r="AZ73" i="7"/>
  <c r="AX84" i="7"/>
  <c r="BA119" i="7"/>
  <c r="BA77" i="7"/>
  <c r="BA75" i="7"/>
  <c r="BA118" i="7"/>
  <c r="AS17" i="7"/>
  <c r="AV19" i="7"/>
  <c r="AZ21" i="7"/>
  <c r="AS24" i="7"/>
  <c r="AS25" i="7"/>
  <c r="BB73" i="7"/>
  <c r="AS74" i="7"/>
  <c r="AZ81" i="7"/>
  <c r="AX82" i="7"/>
  <c r="AT25" i="7"/>
  <c r="AS119" i="7"/>
  <c r="AS27" i="7"/>
  <c r="AS22" i="7"/>
  <c r="AS26" i="7"/>
  <c r="AS23" i="7"/>
  <c r="AS20" i="7"/>
  <c r="AS76" i="7"/>
  <c r="AS28" i="7"/>
  <c r="AY24" i="7"/>
  <c r="AY25" i="7"/>
  <c r="AY30" i="7"/>
  <c r="AY27" i="7"/>
  <c r="AY22" i="7"/>
  <c r="AY118" i="7"/>
  <c r="AW17" i="7"/>
  <c r="AS29" i="7"/>
  <c r="AY19" i="7"/>
  <c r="AT30" i="7"/>
  <c r="AT20" i="7"/>
  <c r="AW23" i="7"/>
  <c r="AW25" i="7"/>
  <c r="AW26" i="7"/>
  <c r="AW28" i="7"/>
  <c r="AS73" i="7"/>
  <c r="AX74" i="7"/>
  <c r="AS75" i="7"/>
  <c r="AX78" i="7"/>
  <c r="AX79" i="7"/>
  <c r="BD73" i="7"/>
  <c r="BD74" i="7"/>
  <c r="AV73" i="7"/>
  <c r="AV18" i="7"/>
  <c r="AU17" i="7"/>
  <c r="BC17" i="7"/>
  <c r="M10" i="7"/>
  <c r="M260" i="7" s="1"/>
  <c r="BQ106" i="7" l="1"/>
  <c r="AU107" i="7"/>
  <c r="AZ106" i="7"/>
  <c r="BN107" i="7"/>
  <c r="A106" i="7"/>
  <c r="L107" i="7"/>
  <c r="A107" i="7" s="1"/>
  <c r="BU280" i="7"/>
  <c r="J280" i="7" s="1"/>
  <c r="J60" i="7"/>
  <c r="J265" i="7"/>
  <c r="BU287" i="7"/>
  <c r="J287" i="7" s="1"/>
  <c r="BU279" i="7"/>
  <c r="BN106" i="7"/>
  <c r="AV107" i="7"/>
  <c r="J45" i="7"/>
  <c r="BU272" i="7"/>
  <c r="J272" i="7" s="1"/>
  <c r="J289" i="7"/>
  <c r="J281" i="7"/>
  <c r="J273" i="7"/>
  <c r="BU294" i="7"/>
  <c r="BU286" i="7"/>
  <c r="J286" i="7" s="1"/>
  <c r="BU278" i="7"/>
  <c r="J278" i="7" s="1"/>
  <c r="BU271" i="7"/>
  <c r="J271" i="7" s="1"/>
  <c r="BU268" i="7"/>
  <c r="J268" i="7" s="1"/>
  <c r="BA107" i="7"/>
  <c r="AW107" i="7"/>
  <c r="BU288" i="7"/>
  <c r="J288" i="7" s="1"/>
  <c r="J61" i="7"/>
  <c r="BU293" i="7"/>
  <c r="J293" i="7" s="1"/>
  <c r="BU285" i="7"/>
  <c r="J285" i="7" s="1"/>
  <c r="BU277" i="7"/>
  <c r="J277" i="7" s="1"/>
  <c r="BU270" i="7"/>
  <c r="J270" i="7" s="1"/>
  <c r="BU267" i="7"/>
  <c r="J267" i="7" s="1"/>
  <c r="BO107" i="7"/>
  <c r="AR296" i="7"/>
  <c r="BU295" i="7"/>
  <c r="J295" i="7" s="1"/>
  <c r="BC106" i="7"/>
  <c r="Z107" i="7"/>
  <c r="J279" i="7"/>
  <c r="J62" i="7"/>
  <c r="BU292" i="7"/>
  <c r="BU284" i="7"/>
  <c r="J284" i="7" s="1"/>
  <c r="BU276" i="7"/>
  <c r="BU266" i="7"/>
  <c r="J266" i="7" s="1"/>
  <c r="AZ107" i="7"/>
  <c r="BM107" i="7"/>
  <c r="BA106" i="7"/>
  <c r="AT106" i="7"/>
  <c r="J292" i="7"/>
  <c r="BU269" i="7"/>
  <c r="J269" i="7" s="1"/>
  <c r="J294" i="7"/>
  <c r="J59" i="7"/>
  <c r="BU291" i="7"/>
  <c r="J291" i="7" s="1"/>
  <c r="BU283" i="7"/>
  <c r="J283" i="7" s="1"/>
  <c r="BU275" i="7"/>
  <c r="J275" i="7" s="1"/>
  <c r="AT107" i="7"/>
  <c r="J276" i="7"/>
  <c r="BS106" i="7"/>
  <c r="AP107" i="7"/>
  <c r="BU290" i="7"/>
  <c r="J290" i="7" s="1"/>
  <c r="BU282" i="7"/>
  <c r="J282" i="7" s="1"/>
  <c r="BU274" i="7"/>
  <c r="J274" i="7" s="1"/>
  <c r="BO106" i="7"/>
  <c r="BQ107" i="7"/>
  <c r="BD107" i="7"/>
  <c r="V318" i="7"/>
  <c r="AY317" i="7"/>
  <c r="Z318" i="7"/>
  <c r="BC317" i="7"/>
  <c r="BE297" i="7"/>
  <c r="AB298" i="7"/>
  <c r="BH297" i="7"/>
  <c r="AE298" i="7"/>
  <c r="AH318" i="7"/>
  <c r="BK317" i="7"/>
  <c r="BL297" i="7"/>
  <c r="AI298" i="7"/>
  <c r="AS297" i="7"/>
  <c r="P298" i="7"/>
  <c r="AV298" i="7"/>
  <c r="S299" i="7"/>
  <c r="R319" i="7"/>
  <c r="AU318" i="7"/>
  <c r="U299" i="7"/>
  <c r="AX298" i="7"/>
  <c r="AG299" i="7"/>
  <c r="BJ298" i="7"/>
  <c r="BM297" i="7"/>
  <c r="AJ298" i="7"/>
  <c r="BP297" i="7"/>
  <c r="AM298" i="7"/>
  <c r="BQ297" i="7"/>
  <c r="AN298" i="7"/>
  <c r="BI297" i="7"/>
  <c r="AF298" i="7"/>
  <c r="AW297" i="7"/>
  <c r="T298" i="7"/>
  <c r="BT298" i="7"/>
  <c r="AQ299" i="7"/>
  <c r="BD298" i="7"/>
  <c r="AA299" i="7"/>
  <c r="AZ297" i="7"/>
  <c r="W298" i="7"/>
  <c r="BA297" i="7"/>
  <c r="X298" i="7"/>
  <c r="AD320" i="7"/>
  <c r="BG319" i="7"/>
  <c r="Q299" i="7"/>
  <c r="AT298" i="7"/>
  <c r="A299" i="7"/>
  <c r="AK299" i="7"/>
  <c r="BN298" i="7"/>
  <c r="Y299" i="7"/>
  <c r="BB298" i="7"/>
  <c r="AO299" i="7"/>
  <c r="BR298" i="7"/>
  <c r="AP318" i="7"/>
  <c r="BS317" i="7"/>
  <c r="L374" i="7"/>
  <c r="A373" i="7"/>
  <c r="AL318" i="7"/>
  <c r="BO317" i="7"/>
  <c r="AC299" i="7"/>
  <c r="BF298" i="7"/>
  <c r="BA105" i="7"/>
  <c r="BC105" i="7"/>
  <c r="BS105" i="7"/>
  <c r="BQ105" i="7"/>
  <c r="AT105" i="7"/>
  <c r="BO105" i="7"/>
  <c r="BN105" i="7"/>
  <c r="AZ105" i="7"/>
  <c r="AT29" i="7"/>
  <c r="BQ22" i="7"/>
  <c r="AZ28" i="7"/>
  <c r="BQ23" i="7"/>
  <c r="BQ25" i="7"/>
  <c r="AV30" i="7"/>
  <c r="AT24" i="7"/>
  <c r="AT22" i="7"/>
  <c r="AT28" i="7"/>
  <c r="BQ20" i="7"/>
  <c r="BQ21" i="7"/>
  <c r="AV29" i="7"/>
  <c r="AT26" i="7"/>
  <c r="AZ26" i="7"/>
  <c r="AU29" i="7"/>
  <c r="BQ28" i="7"/>
  <c r="BQ26" i="7"/>
  <c r="BQ24" i="7"/>
  <c r="BQ27" i="7"/>
  <c r="AT21" i="7"/>
  <c r="BQ29" i="7"/>
  <c r="AT27" i="7"/>
  <c r="AZ25" i="7"/>
  <c r="AZ24" i="7"/>
  <c r="BR31" i="7"/>
  <c r="BT31" i="7"/>
  <c r="BQ30" i="7"/>
  <c r="BR118" i="7"/>
  <c r="J17" i="7"/>
  <c r="BR18" i="7"/>
  <c r="AI98" i="7"/>
  <c r="BL97" i="7"/>
  <c r="AI142" i="7"/>
  <c r="BL141" i="7"/>
  <c r="BR19" i="7"/>
  <c r="BR25" i="7"/>
  <c r="BN104" i="7"/>
  <c r="BT20" i="7"/>
  <c r="BR30" i="7"/>
  <c r="BR29" i="7"/>
  <c r="BR20" i="7"/>
  <c r="BT21" i="7"/>
  <c r="AI12" i="7"/>
  <c r="AJ12" i="7" s="1"/>
  <c r="AK12" i="7" s="1"/>
  <c r="AL12" i="7" s="1"/>
  <c r="AM12" i="7" s="1"/>
  <c r="AN12" i="7" s="1"/>
  <c r="AO12" i="7" s="1"/>
  <c r="AP12" i="7" s="1"/>
  <c r="AQ12" i="7" s="1"/>
  <c r="AR12" i="7" s="1"/>
  <c r="BT19" i="7"/>
  <c r="BR23" i="7"/>
  <c r="BT22" i="7"/>
  <c r="AO122" i="7"/>
  <c r="BR121" i="7"/>
  <c r="BO104" i="7"/>
  <c r="AQ74" i="7"/>
  <c r="AQ75" i="7" s="1"/>
  <c r="BU74" i="7"/>
  <c r="BR74" i="7"/>
  <c r="BR75" i="7"/>
  <c r="BR73" i="7"/>
  <c r="AQ119" i="7"/>
  <c r="AR120" i="7"/>
  <c r="BU119" i="7"/>
  <c r="BU18" i="7"/>
  <c r="AO77" i="7"/>
  <c r="BR76" i="7"/>
  <c r="BQ104" i="7"/>
  <c r="BU44" i="7"/>
  <c r="BU43" i="7"/>
  <c r="AE137" i="7"/>
  <c r="BH136" i="7"/>
  <c r="BU118" i="7"/>
  <c r="AR76" i="7"/>
  <c r="BU75" i="7"/>
  <c r="BU41" i="7"/>
  <c r="J41" i="7" s="1"/>
  <c r="BU73" i="7"/>
  <c r="BU42" i="7"/>
  <c r="BT28" i="7"/>
  <c r="BT23" i="7"/>
  <c r="BR119" i="7"/>
  <c r="BR120" i="7"/>
  <c r="BR24" i="7"/>
  <c r="BR22" i="7"/>
  <c r="BT29" i="7"/>
  <c r="BT24" i="7"/>
  <c r="L140" i="7"/>
  <c r="A139" i="7"/>
  <c r="BR28" i="7"/>
  <c r="BR26" i="7"/>
  <c r="BT30" i="7"/>
  <c r="BT27" i="7"/>
  <c r="BT25" i="7"/>
  <c r="BO103" i="7"/>
  <c r="AE93" i="7"/>
  <c r="BH92" i="7"/>
  <c r="BR27" i="7"/>
  <c r="BT18" i="7"/>
  <c r="BT26" i="7"/>
  <c r="BA121" i="7"/>
  <c r="X122" i="7"/>
  <c r="S122" i="7"/>
  <c r="AV121" i="7"/>
  <c r="BC121" i="7"/>
  <c r="Z122" i="7"/>
  <c r="BD121" i="7"/>
  <c r="AA122" i="7"/>
  <c r="AU121" i="7"/>
  <c r="R122" i="7"/>
  <c r="AW121" i="7"/>
  <c r="T122" i="7"/>
  <c r="Y122" i="7"/>
  <c r="BB121" i="7"/>
  <c r="AZ121" i="7"/>
  <c r="W122" i="7"/>
  <c r="AY121" i="7"/>
  <c r="V122" i="7"/>
  <c r="U122" i="7"/>
  <c r="AX121" i="7"/>
  <c r="P122" i="7"/>
  <c r="AS121" i="7"/>
  <c r="AT121" i="7"/>
  <c r="Q122" i="7"/>
  <c r="AP142" i="7"/>
  <c r="BS142" i="7" s="1"/>
  <c r="BC104" i="7"/>
  <c r="B9" i="7"/>
  <c r="M113" i="7"/>
  <c r="M36" i="7"/>
  <c r="M68" i="7"/>
  <c r="BA103" i="7"/>
  <c r="AZ104" i="7"/>
  <c r="A104" i="7"/>
  <c r="A105" i="7"/>
  <c r="BA104" i="7"/>
  <c r="AT104" i="7"/>
  <c r="AY52" i="7"/>
  <c r="BG51" i="7"/>
  <c r="AT51" i="7"/>
  <c r="AZ51" i="7"/>
  <c r="AW51" i="7"/>
  <c r="AS51" i="7"/>
  <c r="BA51" i="7"/>
  <c r="A51" i="7"/>
  <c r="BC54" i="7"/>
  <c r="BC55" i="7"/>
  <c r="BD54" i="7"/>
  <c r="BD55" i="7"/>
  <c r="AX51" i="7"/>
  <c r="AV47" i="7"/>
  <c r="AU47" i="7"/>
  <c r="AW48" i="7"/>
  <c r="AS48" i="7"/>
  <c r="A48" i="7"/>
  <c r="BA48" i="7"/>
  <c r="AX48" i="7"/>
  <c r="AZ48" i="7"/>
  <c r="AT48" i="7"/>
  <c r="BB52" i="7"/>
  <c r="BB63" i="7"/>
  <c r="BD49" i="7"/>
  <c r="BD53" i="7"/>
  <c r="BC49" i="7"/>
  <c r="BC53" i="7"/>
  <c r="BB85" i="7"/>
  <c r="AU19" i="7"/>
  <c r="BB80" i="7"/>
  <c r="BB79" i="7"/>
  <c r="BB78" i="7"/>
  <c r="AV22" i="7"/>
  <c r="BB77" i="7"/>
  <c r="AV21" i="7"/>
  <c r="BC78" i="7"/>
  <c r="AW87" i="7"/>
  <c r="BB76" i="7"/>
  <c r="AW86" i="7"/>
  <c r="AW83" i="7"/>
  <c r="AW82" i="7"/>
  <c r="AW88" i="7"/>
  <c r="AW80" i="7"/>
  <c r="BB75" i="7"/>
  <c r="AV76" i="7"/>
  <c r="AW85" i="7"/>
  <c r="BC75" i="7"/>
  <c r="BD77" i="7"/>
  <c r="AV75" i="7"/>
  <c r="AW81" i="7"/>
  <c r="AW84" i="7"/>
  <c r="AV23" i="7"/>
  <c r="BB84" i="7"/>
  <c r="BA80" i="7"/>
  <c r="BB82" i="7"/>
  <c r="AT85" i="7"/>
  <c r="AX90" i="7"/>
  <c r="BA79" i="7"/>
  <c r="AZ90" i="7"/>
  <c r="AU30" i="7"/>
  <c r="N65" i="7" l="1"/>
  <c r="AP108" i="7"/>
  <c r="BS108" i="7" s="1"/>
  <c r="BS107" i="7"/>
  <c r="BU296" i="7"/>
  <c r="J296" i="7" s="1"/>
  <c r="AR297" i="7"/>
  <c r="Z108" i="7"/>
  <c r="BC108" i="7" s="1"/>
  <c r="BC107" i="7"/>
  <c r="AP319" i="7"/>
  <c r="BS318" i="7"/>
  <c r="A300" i="7"/>
  <c r="AD321" i="7"/>
  <c r="BG320" i="7"/>
  <c r="AG300" i="7"/>
  <c r="BJ299" i="7"/>
  <c r="R320" i="7"/>
  <c r="AU319" i="7"/>
  <c r="AS298" i="7"/>
  <c r="P299" i="7"/>
  <c r="BL298" i="7"/>
  <c r="AI299" i="7"/>
  <c r="BH298" i="7"/>
  <c r="AE299" i="7"/>
  <c r="BD299" i="7"/>
  <c r="AA300" i="7"/>
  <c r="BQ298" i="7"/>
  <c r="AN299" i="7"/>
  <c r="BM298" i="7"/>
  <c r="AJ299" i="7"/>
  <c r="Z319" i="7"/>
  <c r="BC318" i="7"/>
  <c r="AC300" i="7"/>
  <c r="BF299" i="7"/>
  <c r="L375" i="7"/>
  <c r="A374" i="7"/>
  <c r="AO300" i="7"/>
  <c r="BR299" i="7"/>
  <c r="AK300" i="7"/>
  <c r="BN299" i="7"/>
  <c r="Q300" i="7"/>
  <c r="AT299" i="7"/>
  <c r="U300" i="7"/>
  <c r="AX299" i="7"/>
  <c r="AV299" i="7"/>
  <c r="S300" i="7"/>
  <c r="BE298" i="7"/>
  <c r="AB299" i="7"/>
  <c r="AL319" i="7"/>
  <c r="BO318" i="7"/>
  <c r="Y300" i="7"/>
  <c r="BB299" i="7"/>
  <c r="BA298" i="7"/>
  <c r="X299" i="7"/>
  <c r="AW298" i="7"/>
  <c r="T299" i="7"/>
  <c r="AZ298" i="7"/>
  <c r="W299" i="7"/>
  <c r="BT299" i="7"/>
  <c r="AQ300" i="7"/>
  <c r="BI298" i="7"/>
  <c r="AF299" i="7"/>
  <c r="BP298" i="7"/>
  <c r="AM299" i="7"/>
  <c r="AH319" i="7"/>
  <c r="BK318" i="7"/>
  <c r="V319" i="7"/>
  <c r="AY318" i="7"/>
  <c r="J118" i="7"/>
  <c r="J73" i="7"/>
  <c r="BR42" i="7"/>
  <c r="BR21" i="7"/>
  <c r="BR43" i="7"/>
  <c r="BU46" i="7"/>
  <c r="AI99" i="7"/>
  <c r="BL98" i="7"/>
  <c r="AI143" i="7"/>
  <c r="BL142" i="7"/>
  <c r="BR46" i="7"/>
  <c r="BR44" i="7"/>
  <c r="BT74" i="7"/>
  <c r="BT42" i="7"/>
  <c r="BR47" i="7"/>
  <c r="AO123" i="7"/>
  <c r="BR122" i="7"/>
  <c r="BU19" i="7"/>
  <c r="AQ120" i="7"/>
  <c r="BT119" i="7"/>
  <c r="AE94" i="7"/>
  <c r="BH93" i="7"/>
  <c r="AE138" i="7"/>
  <c r="BH137" i="7"/>
  <c r="AQ76" i="7"/>
  <c r="BT75" i="7"/>
  <c r="AO78" i="7"/>
  <c r="BR77" i="7"/>
  <c r="AR121" i="7"/>
  <c r="BU120" i="7"/>
  <c r="L141" i="7"/>
  <c r="A140" i="7"/>
  <c r="AR77" i="7"/>
  <c r="BU76" i="7"/>
  <c r="AA123" i="7"/>
  <c r="BD122" i="7"/>
  <c r="S123" i="7"/>
  <c r="AV122" i="7"/>
  <c r="BC122" i="7"/>
  <c r="Z123" i="7"/>
  <c r="AU122" i="7"/>
  <c r="R123" i="7"/>
  <c r="X123" i="7"/>
  <c r="BA122" i="7"/>
  <c r="Y123" i="7"/>
  <c r="BB122" i="7"/>
  <c r="T123" i="7"/>
  <c r="AW122" i="7"/>
  <c r="W123" i="7"/>
  <c r="AZ122" i="7"/>
  <c r="AY122" i="7"/>
  <c r="V123" i="7"/>
  <c r="U123" i="7"/>
  <c r="AX122" i="7"/>
  <c r="P123" i="7"/>
  <c r="AS122" i="7"/>
  <c r="Q123" i="7"/>
  <c r="AT122" i="7"/>
  <c r="AP143" i="7"/>
  <c r="BS143" i="7" s="1"/>
  <c r="BG52" i="7"/>
  <c r="AY53" i="7"/>
  <c r="AW55" i="7"/>
  <c r="AW54" i="7"/>
  <c r="AV51" i="7"/>
  <c r="AX55" i="7"/>
  <c r="AX54" i="7"/>
  <c r="A55" i="7"/>
  <c r="A54" i="7"/>
  <c r="AS55" i="7"/>
  <c r="AS54" i="7"/>
  <c r="AZ54" i="7"/>
  <c r="AZ55" i="7"/>
  <c r="BA55" i="7"/>
  <c r="BA54" i="7"/>
  <c r="AT54" i="7"/>
  <c r="AT55" i="7"/>
  <c r="AU51" i="7"/>
  <c r="AU48" i="7"/>
  <c r="AV48" i="7"/>
  <c r="AW53" i="7"/>
  <c r="AW49" i="7"/>
  <c r="BD63" i="7"/>
  <c r="BD52" i="7"/>
  <c r="A53" i="7"/>
  <c r="A49" i="7"/>
  <c r="AZ49" i="7"/>
  <c r="AZ53" i="7"/>
  <c r="BC63" i="7"/>
  <c r="BC52" i="7"/>
  <c r="BA53" i="7"/>
  <c r="BA49" i="7"/>
  <c r="AX53" i="7"/>
  <c r="AX49" i="7"/>
  <c r="AT53" i="7"/>
  <c r="AT49" i="7"/>
  <c r="AS49" i="7"/>
  <c r="AS53" i="7"/>
  <c r="BB83" i="7"/>
  <c r="AW90" i="7"/>
  <c r="BC77" i="7"/>
  <c r="AV24" i="7"/>
  <c r="AS79" i="7"/>
  <c r="BD78" i="7"/>
  <c r="AV77" i="7"/>
  <c r="AX91" i="7"/>
  <c r="BA81" i="7"/>
  <c r="AW91" i="7"/>
  <c r="BB86" i="7"/>
  <c r="AT86" i="7"/>
  <c r="AZ91" i="7"/>
  <c r="AU20" i="7"/>
  <c r="M70" i="7"/>
  <c r="O119" i="7"/>
  <c r="O118" i="7"/>
  <c r="E118" i="7"/>
  <c r="H118" i="7"/>
  <c r="A118" i="7"/>
  <c r="E101" i="7"/>
  <c r="O100" i="7"/>
  <c r="E100" i="7"/>
  <c r="O99" i="7"/>
  <c r="E99" i="7"/>
  <c r="O98" i="7"/>
  <c r="E98" i="7"/>
  <c r="O97" i="7"/>
  <c r="E97" i="7"/>
  <c r="O88" i="7"/>
  <c r="E88" i="7"/>
  <c r="A88" i="7"/>
  <c r="O87" i="7"/>
  <c r="E87" i="7"/>
  <c r="A87" i="7"/>
  <c r="O86" i="7"/>
  <c r="E86" i="7"/>
  <c r="A86" i="7"/>
  <c r="O85" i="7"/>
  <c r="E85" i="7"/>
  <c r="H85" i="7"/>
  <c r="A85" i="7"/>
  <c r="O84" i="7"/>
  <c r="E84" i="7"/>
  <c r="H84" i="7"/>
  <c r="A84" i="7"/>
  <c r="O83" i="7"/>
  <c r="E83" i="7"/>
  <c r="H83" i="7"/>
  <c r="A83" i="7"/>
  <c r="O82" i="7"/>
  <c r="E82" i="7"/>
  <c r="A82" i="7"/>
  <c r="O81" i="7"/>
  <c r="E81" i="7"/>
  <c r="A81" i="7"/>
  <c r="O80" i="7"/>
  <c r="E80" i="7"/>
  <c r="H80" i="7"/>
  <c r="A80" i="7"/>
  <c r="O79" i="7"/>
  <c r="E79" i="7"/>
  <c r="A79" i="7"/>
  <c r="O78" i="7"/>
  <c r="E78" i="7"/>
  <c r="H78" i="7"/>
  <c r="A78" i="7"/>
  <c r="O77" i="7"/>
  <c r="E77" i="7"/>
  <c r="A77" i="7"/>
  <c r="O76" i="7"/>
  <c r="E76" i="7"/>
  <c r="A76" i="7"/>
  <c r="O75" i="7"/>
  <c r="E75" i="7"/>
  <c r="H75" i="7"/>
  <c r="A75" i="7"/>
  <c r="O74" i="7"/>
  <c r="E74" i="7"/>
  <c r="H74" i="7"/>
  <c r="A74" i="7"/>
  <c r="O73" i="7"/>
  <c r="E73" i="7"/>
  <c r="H73" i="7"/>
  <c r="A73" i="7"/>
  <c r="E31" i="7"/>
  <c r="A31" i="7"/>
  <c r="E28" i="7"/>
  <c r="A28" i="7"/>
  <c r="E27" i="7"/>
  <c r="A27" i="7"/>
  <c r="O26" i="7"/>
  <c r="C26" i="7" s="1"/>
  <c r="E26" i="7"/>
  <c r="A26" i="7"/>
  <c r="O25" i="7"/>
  <c r="C25" i="7" s="1"/>
  <c r="E25" i="7"/>
  <c r="A25" i="7"/>
  <c r="O24" i="7"/>
  <c r="C24" i="7" s="1"/>
  <c r="E24" i="7"/>
  <c r="A24" i="7"/>
  <c r="O23" i="7"/>
  <c r="C23" i="7" s="1"/>
  <c r="E23" i="7"/>
  <c r="A23" i="7"/>
  <c r="O22" i="7"/>
  <c r="C22" i="7" s="1"/>
  <c r="E22" i="7"/>
  <c r="A22" i="7"/>
  <c r="O21" i="7"/>
  <c r="C21" i="7" s="1"/>
  <c r="E21" i="7"/>
  <c r="A21" i="7"/>
  <c r="O20" i="7"/>
  <c r="C20" i="7" s="1"/>
  <c r="E20" i="7"/>
  <c r="A20" i="7"/>
  <c r="E30" i="7"/>
  <c r="A30" i="7"/>
  <c r="O19" i="7"/>
  <c r="C19" i="7" s="1"/>
  <c r="E19" i="7"/>
  <c r="A19" i="7"/>
  <c r="E29" i="7"/>
  <c r="A29" i="7"/>
  <c r="AJ18" i="7"/>
  <c r="AJ19" i="7" s="1"/>
  <c r="AJ20" i="7" s="1"/>
  <c r="AJ21" i="7" s="1"/>
  <c r="AJ22" i="7" s="1"/>
  <c r="AJ23" i="7" s="1"/>
  <c r="AJ24" i="7" s="1"/>
  <c r="AJ25" i="7" s="1"/>
  <c r="AJ26" i="7" s="1"/>
  <c r="AJ27" i="7" s="1"/>
  <c r="AJ28" i="7" s="1"/>
  <c r="AJ29" i="7" s="1"/>
  <c r="AJ30" i="7" s="1"/>
  <c r="AJ31" i="7" s="1"/>
  <c r="AC18" i="7"/>
  <c r="AC19" i="7" s="1"/>
  <c r="AC20" i="7" s="1"/>
  <c r="AC21" i="7" s="1"/>
  <c r="AC22" i="7" s="1"/>
  <c r="AC23" i="7" s="1"/>
  <c r="AC24" i="7" s="1"/>
  <c r="AC25" i="7" s="1"/>
  <c r="AC26" i="7" s="1"/>
  <c r="AC27" i="7" s="1"/>
  <c r="AC28" i="7" s="1"/>
  <c r="AC29" i="7" s="1"/>
  <c r="AC30" i="7" s="1"/>
  <c r="AC31" i="7" s="1"/>
  <c r="Z18" i="7"/>
  <c r="Z19" i="7" s="1"/>
  <c r="Z20" i="7" s="1"/>
  <c r="Z21" i="7" s="1"/>
  <c r="Z22" i="7" s="1"/>
  <c r="Z23" i="7" s="1"/>
  <c r="Z24" i="7" s="1"/>
  <c r="Z25" i="7" s="1"/>
  <c r="Z26" i="7" s="1"/>
  <c r="Z27" i="7" s="1"/>
  <c r="Z28" i="7" s="1"/>
  <c r="Z29" i="7" s="1"/>
  <c r="Z30" i="7" s="1"/>
  <c r="Z31" i="7" s="1"/>
  <c r="AA18" i="7"/>
  <c r="AA19" i="7" s="1"/>
  <c r="AA20" i="7" s="1"/>
  <c r="AA21" i="7" s="1"/>
  <c r="AA22" i="7" s="1"/>
  <c r="AA23" i="7" s="1"/>
  <c r="AA24" i="7" s="1"/>
  <c r="AA25" i="7" s="1"/>
  <c r="AA26" i="7" s="1"/>
  <c r="AA27" i="7" s="1"/>
  <c r="AA28" i="7" s="1"/>
  <c r="AA29" i="7" s="1"/>
  <c r="AA30" i="7" s="1"/>
  <c r="AA31" i="7" s="1"/>
  <c r="Y18" i="7"/>
  <c r="Y19" i="7" s="1"/>
  <c r="Y20" i="7" s="1"/>
  <c r="Y21" i="7" s="1"/>
  <c r="Y22" i="7" s="1"/>
  <c r="Y23" i="7" s="1"/>
  <c r="Y24" i="7" s="1"/>
  <c r="Y25" i="7" s="1"/>
  <c r="Y26" i="7" s="1"/>
  <c r="Y27" i="7" s="1"/>
  <c r="Y28" i="7" s="1"/>
  <c r="Y29" i="7" s="1"/>
  <c r="Y30" i="7" s="1"/>
  <c r="Y31" i="7" s="1"/>
  <c r="X18" i="7"/>
  <c r="X19" i="7" s="1"/>
  <c r="X20" i="7" s="1"/>
  <c r="X21" i="7" s="1"/>
  <c r="X22" i="7" s="1"/>
  <c r="X23" i="7" s="1"/>
  <c r="X24" i="7" s="1"/>
  <c r="X25" i="7" s="1"/>
  <c r="X26" i="7" s="1"/>
  <c r="X27" i="7" s="1"/>
  <c r="X28" i="7" s="1"/>
  <c r="X29" i="7" s="1"/>
  <c r="X30" i="7" s="1"/>
  <c r="X31" i="7" s="1"/>
  <c r="U18" i="7"/>
  <c r="U19" i="7" s="1"/>
  <c r="U20" i="7" s="1"/>
  <c r="U21" i="7" s="1"/>
  <c r="U22" i="7" s="1"/>
  <c r="U23" i="7" s="1"/>
  <c r="U24" i="7" s="1"/>
  <c r="U25" i="7" s="1"/>
  <c r="U26" i="7" s="1"/>
  <c r="U27" i="7" s="1"/>
  <c r="U28" i="7" s="1"/>
  <c r="U29" i="7" s="1"/>
  <c r="U30" i="7" s="1"/>
  <c r="U31" i="7" s="1"/>
  <c r="O18" i="7"/>
  <c r="C18" i="7" s="1"/>
  <c r="E18" i="7"/>
  <c r="A18" i="7"/>
  <c r="O17" i="7"/>
  <c r="C17" i="7" s="1"/>
  <c r="E17" i="7"/>
  <c r="A17" i="7"/>
  <c r="J14" i="7"/>
  <c r="I14" i="7"/>
  <c r="H14" i="7"/>
  <c r="G14" i="7"/>
  <c r="F14" i="7"/>
  <c r="E14" i="7"/>
  <c r="D14" i="7"/>
  <c r="C14" i="7"/>
  <c r="B14" i="7"/>
  <c r="BU297" i="7" l="1"/>
  <c r="J297" i="7" s="1"/>
  <c r="AR298" i="7"/>
  <c r="AL320" i="7"/>
  <c r="BO319" i="7"/>
  <c r="U301" i="7"/>
  <c r="AX300" i="7"/>
  <c r="L376" i="7"/>
  <c r="A375" i="7"/>
  <c r="BQ299" i="7"/>
  <c r="AN300" i="7"/>
  <c r="BP299" i="7"/>
  <c r="AM300" i="7"/>
  <c r="BT300" i="7"/>
  <c r="AQ301" i="7"/>
  <c r="AW299" i="7"/>
  <c r="T300" i="7"/>
  <c r="BE299" i="7"/>
  <c r="AB300" i="7"/>
  <c r="AV300" i="7"/>
  <c r="S301" i="7"/>
  <c r="A301" i="7"/>
  <c r="V320" i="7"/>
  <c r="AY319" i="7"/>
  <c r="Y301" i="7"/>
  <c r="BB300" i="7"/>
  <c r="Q301" i="7"/>
  <c r="AT300" i="7"/>
  <c r="AO301" i="7"/>
  <c r="BR300" i="7"/>
  <c r="AC301" i="7"/>
  <c r="BF300" i="7"/>
  <c r="BM299" i="7"/>
  <c r="AJ300" i="7"/>
  <c r="BD300" i="7"/>
  <c r="AA301" i="7"/>
  <c r="BL299" i="7"/>
  <c r="AI300" i="7"/>
  <c r="AH320" i="7"/>
  <c r="BK319" i="7"/>
  <c r="AK301" i="7"/>
  <c r="BN300" i="7"/>
  <c r="Z320" i="7"/>
  <c r="BC319" i="7"/>
  <c r="BH299" i="7"/>
  <c r="AE300" i="7"/>
  <c r="AS299" i="7"/>
  <c r="P300" i="7"/>
  <c r="AG301" i="7"/>
  <c r="BJ300" i="7"/>
  <c r="BI299" i="7"/>
  <c r="AF300" i="7"/>
  <c r="AZ299" i="7"/>
  <c r="W300" i="7"/>
  <c r="BA299" i="7"/>
  <c r="X300" i="7"/>
  <c r="R321" i="7"/>
  <c r="AU320" i="7"/>
  <c r="AD322" i="7"/>
  <c r="BG321" i="7"/>
  <c r="AP320" i="7"/>
  <c r="BS319" i="7"/>
  <c r="C108" i="7"/>
  <c r="C106" i="7"/>
  <c r="C107" i="7"/>
  <c r="J42" i="7"/>
  <c r="M71" i="7"/>
  <c r="C78" i="7"/>
  <c r="C86" i="7"/>
  <c r="C94" i="7"/>
  <c r="C102" i="7"/>
  <c r="C89" i="7"/>
  <c r="C105" i="7"/>
  <c r="C79" i="7"/>
  <c r="C87" i="7"/>
  <c r="C95" i="7"/>
  <c r="C103" i="7"/>
  <c r="C93" i="7"/>
  <c r="C80" i="7"/>
  <c r="C88" i="7"/>
  <c r="C96" i="7"/>
  <c r="C104" i="7"/>
  <c r="C81" i="7"/>
  <c r="C97" i="7"/>
  <c r="C74" i="7"/>
  <c r="C82" i="7"/>
  <c r="C90" i="7"/>
  <c r="C98" i="7"/>
  <c r="C73" i="7"/>
  <c r="C75" i="7"/>
  <c r="C83" i="7"/>
  <c r="C91" i="7"/>
  <c r="C99" i="7"/>
  <c r="C77" i="7"/>
  <c r="C101" i="7"/>
  <c r="C76" i="7"/>
  <c r="C84" i="7"/>
  <c r="C92" i="7"/>
  <c r="C100" i="7"/>
  <c r="C85" i="7"/>
  <c r="BU47" i="7"/>
  <c r="AI100" i="7"/>
  <c r="BL99" i="7"/>
  <c r="AI144" i="7"/>
  <c r="BL143" i="7"/>
  <c r="BR48" i="7"/>
  <c r="AO124" i="7"/>
  <c r="BR123" i="7"/>
  <c r="BT43" i="7"/>
  <c r="J43" i="7" s="1"/>
  <c r="BF18" i="7"/>
  <c r="AQ121" i="7"/>
  <c r="BT120" i="7"/>
  <c r="J120" i="7" s="1"/>
  <c r="BM18" i="7"/>
  <c r="AR122" i="7"/>
  <c r="BU121" i="7"/>
  <c r="AE139" i="7"/>
  <c r="BH138" i="7"/>
  <c r="BU20" i="7"/>
  <c r="AO79" i="7"/>
  <c r="BR78" i="7"/>
  <c r="AR78" i="7"/>
  <c r="BU77" i="7"/>
  <c r="AQ77" i="7"/>
  <c r="BT76" i="7"/>
  <c r="AE95" i="7"/>
  <c r="BH94" i="7"/>
  <c r="L142" i="7"/>
  <c r="A141" i="7"/>
  <c r="L236" i="7"/>
  <c r="BB123" i="7"/>
  <c r="Y124" i="7"/>
  <c r="W124" i="7"/>
  <c r="AZ123" i="7"/>
  <c r="BC123" i="7"/>
  <c r="Z124" i="7"/>
  <c r="AW123" i="7"/>
  <c r="T124" i="7"/>
  <c r="BA123" i="7"/>
  <c r="X124" i="7"/>
  <c r="AV123" i="7"/>
  <c r="S124" i="7"/>
  <c r="R124" i="7"/>
  <c r="AU123" i="7"/>
  <c r="AA124" i="7"/>
  <c r="BD123" i="7"/>
  <c r="AY123" i="7"/>
  <c r="V124" i="7"/>
  <c r="U124" i="7"/>
  <c r="AX123" i="7"/>
  <c r="AS123" i="7"/>
  <c r="P124" i="7"/>
  <c r="Q124" i="7"/>
  <c r="AT123" i="7"/>
  <c r="AP144" i="7"/>
  <c r="BS144" i="7" s="1"/>
  <c r="AY54" i="7"/>
  <c r="BG53" i="7"/>
  <c r="AV55" i="7"/>
  <c r="AV54" i="7"/>
  <c r="AU55" i="7"/>
  <c r="AU54" i="7"/>
  <c r="AW52" i="7"/>
  <c r="AW63" i="7"/>
  <c r="AU53" i="7"/>
  <c r="AU49" i="7"/>
  <c r="AV49" i="7"/>
  <c r="AV53" i="7"/>
  <c r="AS63" i="7"/>
  <c r="AS52" i="7"/>
  <c r="A52" i="7"/>
  <c r="A63" i="7"/>
  <c r="AT63" i="7"/>
  <c r="AT52" i="7"/>
  <c r="BA52" i="7"/>
  <c r="BA63" i="7"/>
  <c r="AZ63" i="7"/>
  <c r="AZ52" i="7"/>
  <c r="AX63" i="7"/>
  <c r="AX52" i="7"/>
  <c r="BC79" i="7"/>
  <c r="BD79" i="7"/>
  <c r="AS80" i="7"/>
  <c r="AV78" i="7"/>
  <c r="AV25" i="7"/>
  <c r="BB87" i="7"/>
  <c r="BA82" i="7"/>
  <c r="BC80" i="7"/>
  <c r="AX92" i="7"/>
  <c r="AT87" i="7"/>
  <c r="AW92" i="7"/>
  <c r="AZ92" i="7"/>
  <c r="BC18" i="7"/>
  <c r="AY119" i="7"/>
  <c r="AX18" i="7"/>
  <c r="AU21" i="7"/>
  <c r="AU75" i="7"/>
  <c r="AU74" i="7"/>
  <c r="BD18" i="7"/>
  <c r="AU119" i="7"/>
  <c r="AY74" i="7"/>
  <c r="BA18" i="7"/>
  <c r="BB18" i="7"/>
  <c r="AY75" i="7"/>
  <c r="M115" i="7"/>
  <c r="M13" i="7"/>
  <c r="AR299" i="7" l="1"/>
  <c r="BU298" i="7"/>
  <c r="J298" i="7" s="1"/>
  <c r="AZ300" i="7"/>
  <c r="W301" i="7"/>
  <c r="AL321" i="7"/>
  <c r="BO320" i="7"/>
  <c r="AO302" i="7"/>
  <c r="BR301" i="7"/>
  <c r="BQ300" i="7"/>
  <c r="AN301" i="7"/>
  <c r="BA300" i="7"/>
  <c r="X301" i="7"/>
  <c r="BI300" i="7"/>
  <c r="AF301" i="7"/>
  <c r="AS300" i="7"/>
  <c r="P301" i="7"/>
  <c r="AA302" i="7"/>
  <c r="BD301" i="7"/>
  <c r="U302" i="7"/>
  <c r="AX301" i="7"/>
  <c r="BH300" i="7"/>
  <c r="AE301" i="7"/>
  <c r="BL300" i="7"/>
  <c r="AI301" i="7"/>
  <c r="BM300" i="7"/>
  <c r="AJ301" i="7"/>
  <c r="A376" i="7"/>
  <c r="L377" i="7"/>
  <c r="AD323" i="7"/>
  <c r="BG322" i="7"/>
  <c r="AG302" i="7"/>
  <c r="BJ301" i="7"/>
  <c r="AK302" i="7"/>
  <c r="BN301" i="7"/>
  <c r="Y302" i="7"/>
  <c r="BB301" i="7"/>
  <c r="A302" i="7"/>
  <c r="BE300" i="7"/>
  <c r="AB301" i="7"/>
  <c r="AQ302" i="7"/>
  <c r="BT301" i="7"/>
  <c r="AP321" i="7"/>
  <c r="BS320" i="7"/>
  <c r="R322" i="7"/>
  <c r="AU321" i="7"/>
  <c r="Z321" i="7"/>
  <c r="BC320" i="7"/>
  <c r="AH321" i="7"/>
  <c r="BK320" i="7"/>
  <c r="AC302" i="7"/>
  <c r="BF301" i="7"/>
  <c r="Q302" i="7"/>
  <c r="AT301" i="7"/>
  <c r="V321" i="7"/>
  <c r="AY320" i="7"/>
  <c r="AV301" i="7"/>
  <c r="S302" i="7"/>
  <c r="AW300" i="7"/>
  <c r="T301" i="7"/>
  <c r="BP300" i="7"/>
  <c r="AM301" i="7"/>
  <c r="C123" i="7"/>
  <c r="C131" i="7"/>
  <c r="C139" i="7"/>
  <c r="C147" i="7"/>
  <c r="C155" i="7"/>
  <c r="C163" i="7"/>
  <c r="C171" i="7"/>
  <c r="C179" i="7"/>
  <c r="C187" i="7"/>
  <c r="C195" i="7"/>
  <c r="C203" i="7"/>
  <c r="C211" i="7"/>
  <c r="C219" i="7"/>
  <c r="C227" i="7"/>
  <c r="C235" i="7"/>
  <c r="C243" i="7"/>
  <c r="C251" i="7"/>
  <c r="C138" i="7"/>
  <c r="C170" i="7"/>
  <c r="C202" i="7"/>
  <c r="C226" i="7"/>
  <c r="C250" i="7"/>
  <c r="C124" i="7"/>
  <c r="C132" i="7"/>
  <c r="C140" i="7"/>
  <c r="C148" i="7"/>
  <c r="C156" i="7"/>
  <c r="C164" i="7"/>
  <c r="C172" i="7"/>
  <c r="C180" i="7"/>
  <c r="C188" i="7"/>
  <c r="C196" i="7"/>
  <c r="C204" i="7"/>
  <c r="C212" i="7"/>
  <c r="C220" i="7"/>
  <c r="C228" i="7"/>
  <c r="C236" i="7"/>
  <c r="C244" i="7"/>
  <c r="C252" i="7"/>
  <c r="C120" i="7"/>
  <c r="C136" i="7"/>
  <c r="C144" i="7"/>
  <c r="C152" i="7"/>
  <c r="C160" i="7"/>
  <c r="C168" i="7"/>
  <c r="C176" i="7"/>
  <c r="C192" i="7"/>
  <c r="C200" i="7"/>
  <c r="C208" i="7"/>
  <c r="C224" i="7"/>
  <c r="C232" i="7"/>
  <c r="C248" i="7"/>
  <c r="C118" i="7"/>
  <c r="C121" i="7"/>
  <c r="C137" i="7"/>
  <c r="C145" i="7"/>
  <c r="C153" i="7"/>
  <c r="C169" i="7"/>
  <c r="C185" i="7"/>
  <c r="C201" i="7"/>
  <c r="C217" i="7"/>
  <c r="C225" i="7"/>
  <c r="C241" i="7"/>
  <c r="C122" i="7"/>
  <c r="C146" i="7"/>
  <c r="C154" i="7"/>
  <c r="C162" i="7"/>
  <c r="C178" i="7"/>
  <c r="C194" i="7"/>
  <c r="C210" i="7"/>
  <c r="C218" i="7"/>
  <c r="C242" i="7"/>
  <c r="C125" i="7"/>
  <c r="C133" i="7"/>
  <c r="C141" i="7"/>
  <c r="C149" i="7"/>
  <c r="C157" i="7"/>
  <c r="C165" i="7"/>
  <c r="C173" i="7"/>
  <c r="C181" i="7"/>
  <c r="C189" i="7"/>
  <c r="C197" i="7"/>
  <c r="C205" i="7"/>
  <c r="C213" i="7"/>
  <c r="C221" i="7"/>
  <c r="C229" i="7"/>
  <c r="C237" i="7"/>
  <c r="C245" i="7"/>
  <c r="C253" i="7"/>
  <c r="C126" i="7"/>
  <c r="C134" i="7"/>
  <c r="C142" i="7"/>
  <c r="C150" i="7"/>
  <c r="C158" i="7"/>
  <c r="C166" i="7"/>
  <c r="C174" i="7"/>
  <c r="C182" i="7"/>
  <c r="C190" i="7"/>
  <c r="C198" i="7"/>
  <c r="C206" i="7"/>
  <c r="C214" i="7"/>
  <c r="C222" i="7"/>
  <c r="C230" i="7"/>
  <c r="C238" i="7"/>
  <c r="C246" i="7"/>
  <c r="C254" i="7"/>
  <c r="C119" i="7"/>
  <c r="C127" i="7"/>
  <c r="C135" i="7"/>
  <c r="C143" i="7"/>
  <c r="C151" i="7"/>
  <c r="C159" i="7"/>
  <c r="C167" i="7"/>
  <c r="C175" i="7"/>
  <c r="C183" i="7"/>
  <c r="C191" i="7"/>
  <c r="C199" i="7"/>
  <c r="C207" i="7"/>
  <c r="C215" i="7"/>
  <c r="C223" i="7"/>
  <c r="C231" i="7"/>
  <c r="C239" i="7"/>
  <c r="C247" i="7"/>
  <c r="C255" i="7"/>
  <c r="C128" i="7"/>
  <c r="C184" i="7"/>
  <c r="C216" i="7"/>
  <c r="C240" i="7"/>
  <c r="C129" i="7"/>
  <c r="C161" i="7"/>
  <c r="C177" i="7"/>
  <c r="C193" i="7"/>
  <c r="C209" i="7"/>
  <c r="C233" i="7"/>
  <c r="C249" i="7"/>
  <c r="C130" i="7"/>
  <c r="C186" i="7"/>
  <c r="C234" i="7"/>
  <c r="D107" i="7"/>
  <c r="D106" i="7"/>
  <c r="D108" i="7"/>
  <c r="BU48" i="7"/>
  <c r="J119" i="7"/>
  <c r="J74" i="7"/>
  <c r="J75" i="7"/>
  <c r="J18" i="7"/>
  <c r="BL100" i="7"/>
  <c r="AI101" i="7"/>
  <c r="BL144" i="7"/>
  <c r="AI145" i="7"/>
  <c r="BT44" i="7"/>
  <c r="J44" i="7" s="1"/>
  <c r="AO125" i="7"/>
  <c r="BR124" i="7"/>
  <c r="BR49" i="7"/>
  <c r="AQ122" i="7"/>
  <c r="BT121" i="7"/>
  <c r="J121" i="7" s="1"/>
  <c r="AR79" i="7"/>
  <c r="BU78" i="7"/>
  <c r="AO80" i="7"/>
  <c r="BR79" i="7"/>
  <c r="BM19" i="7"/>
  <c r="AQ78" i="7"/>
  <c r="BT77" i="7"/>
  <c r="BF19" i="7"/>
  <c r="AE96" i="7"/>
  <c r="BH95" i="7"/>
  <c r="L143" i="7"/>
  <c r="A142" i="7"/>
  <c r="BU21" i="7"/>
  <c r="AE140" i="7"/>
  <c r="BH139" i="7"/>
  <c r="AR123" i="7"/>
  <c r="BU122" i="7"/>
  <c r="L237" i="7"/>
  <c r="A236" i="7"/>
  <c r="R125" i="7"/>
  <c r="AU124" i="7"/>
  <c r="Z125" i="7"/>
  <c r="BC124" i="7"/>
  <c r="X125" i="7"/>
  <c r="BA124" i="7"/>
  <c r="AZ124" i="7"/>
  <c r="W125" i="7"/>
  <c r="AA125" i="7"/>
  <c r="BD124" i="7"/>
  <c r="AV124" i="7"/>
  <c r="S125" i="7"/>
  <c r="BB124" i="7"/>
  <c r="Y125" i="7"/>
  <c r="T125" i="7"/>
  <c r="AW124" i="7"/>
  <c r="M116" i="7"/>
  <c r="AY124" i="7"/>
  <c r="V125" i="7"/>
  <c r="AX124" i="7"/>
  <c r="U125" i="7"/>
  <c r="AS124" i="7"/>
  <c r="P125" i="7"/>
  <c r="Q125" i="7"/>
  <c r="AT124" i="7"/>
  <c r="AP145" i="7"/>
  <c r="BS145" i="7" s="1"/>
  <c r="AY63" i="7"/>
  <c r="AY56" i="7"/>
  <c r="AY55" i="7"/>
  <c r="BG54" i="7"/>
  <c r="AV52" i="7"/>
  <c r="AV63" i="7"/>
  <c r="AU52" i="7"/>
  <c r="AU63" i="7"/>
  <c r="AV26" i="7"/>
  <c r="BD19" i="7"/>
  <c r="AV79" i="7"/>
  <c r="AS81" i="7"/>
  <c r="BD80" i="7"/>
  <c r="BC81" i="7"/>
  <c r="BA83" i="7"/>
  <c r="AW93" i="7"/>
  <c r="AX93" i="7"/>
  <c r="AT88" i="7"/>
  <c r="AZ93" i="7"/>
  <c r="BB88" i="7"/>
  <c r="BD30" i="7"/>
  <c r="BD29" i="7"/>
  <c r="AX30" i="7"/>
  <c r="AX29" i="7"/>
  <c r="BC30" i="7"/>
  <c r="BC29" i="7"/>
  <c r="BC19" i="7"/>
  <c r="AU22" i="7"/>
  <c r="AU76" i="7"/>
  <c r="AX19" i="7"/>
  <c r="BA30" i="7"/>
  <c r="BA29" i="7"/>
  <c r="BD20" i="7"/>
  <c r="BB30" i="7"/>
  <c r="BB29" i="7"/>
  <c r="BB19" i="7"/>
  <c r="BA19" i="7"/>
  <c r="AY76" i="7"/>
  <c r="D23" i="7"/>
  <c r="D26" i="7"/>
  <c r="D19" i="7"/>
  <c r="D31" i="7"/>
  <c r="D21" i="7"/>
  <c r="D24" i="7"/>
  <c r="D18" i="7"/>
  <c r="D27" i="7"/>
  <c r="D30" i="7"/>
  <c r="D22" i="7"/>
  <c r="D25" i="7"/>
  <c r="D29" i="7"/>
  <c r="D17" i="7"/>
  <c r="D28" i="7"/>
  <c r="D20" i="7"/>
  <c r="BU299" i="7" l="1"/>
  <c r="J299" i="7" s="1"/>
  <c r="AR300" i="7"/>
  <c r="V322" i="7"/>
  <c r="AY321" i="7"/>
  <c r="AC303" i="7"/>
  <c r="BF302" i="7"/>
  <c r="Z322" i="7"/>
  <c r="BC321" i="7"/>
  <c r="A377" i="7"/>
  <c r="L378" i="7"/>
  <c r="BL301" i="7"/>
  <c r="AI302" i="7"/>
  <c r="AF302" i="7"/>
  <c r="BI301" i="7"/>
  <c r="BQ301" i="7"/>
  <c r="AN302" i="7"/>
  <c r="BP301" i="7"/>
  <c r="AM302" i="7"/>
  <c r="AV302" i="7"/>
  <c r="S303" i="7"/>
  <c r="AP322" i="7"/>
  <c r="BS321" i="7"/>
  <c r="Y303" i="7"/>
  <c r="BB302" i="7"/>
  <c r="AG303" i="7"/>
  <c r="BJ302" i="7"/>
  <c r="AA303" i="7"/>
  <c r="BD302" i="7"/>
  <c r="AL322" i="7"/>
  <c r="BO321" i="7"/>
  <c r="Q303" i="7"/>
  <c r="AT302" i="7"/>
  <c r="AH322" i="7"/>
  <c r="BK321" i="7"/>
  <c r="BM301" i="7"/>
  <c r="AJ302" i="7"/>
  <c r="AE302" i="7"/>
  <c r="BH301" i="7"/>
  <c r="AS301" i="7"/>
  <c r="P302" i="7"/>
  <c r="BA301" i="7"/>
  <c r="X302" i="7"/>
  <c r="AZ301" i="7"/>
  <c r="W302" i="7"/>
  <c r="BE301" i="7"/>
  <c r="AB302" i="7"/>
  <c r="AW301" i="7"/>
  <c r="T302" i="7"/>
  <c r="R323" i="7"/>
  <c r="AU322" i="7"/>
  <c r="AQ303" i="7"/>
  <c r="BT302" i="7"/>
  <c r="A303" i="7"/>
  <c r="AK303" i="7"/>
  <c r="BN302" i="7"/>
  <c r="AD324" i="7"/>
  <c r="BG323" i="7"/>
  <c r="U303" i="7"/>
  <c r="AX302" i="7"/>
  <c r="AO303" i="7"/>
  <c r="BR302" i="7"/>
  <c r="J19" i="7"/>
  <c r="J76" i="7"/>
  <c r="BL101" i="7"/>
  <c r="AI102" i="7"/>
  <c r="AI146" i="7"/>
  <c r="BL145" i="7"/>
  <c r="BR50" i="7"/>
  <c r="AO126" i="7"/>
  <c r="BR125" i="7"/>
  <c r="BT46" i="7"/>
  <c r="J46" i="7" s="1"/>
  <c r="AE97" i="7"/>
  <c r="BH96" i="7"/>
  <c r="BU50" i="7"/>
  <c r="BU49" i="7"/>
  <c r="AR124" i="7"/>
  <c r="BU123" i="7"/>
  <c r="AE141" i="7"/>
  <c r="BH140" i="7"/>
  <c r="BM20" i="7"/>
  <c r="BU22" i="7"/>
  <c r="AQ123" i="7"/>
  <c r="BT122" i="7"/>
  <c r="J122" i="7" s="1"/>
  <c r="BF20" i="7"/>
  <c r="AQ79" i="7"/>
  <c r="BT78" i="7"/>
  <c r="AO81" i="7"/>
  <c r="BR80" i="7"/>
  <c r="L144" i="7"/>
  <c r="A143" i="7"/>
  <c r="AR80" i="7"/>
  <c r="BU79" i="7"/>
  <c r="L238" i="7"/>
  <c r="A237" i="7"/>
  <c r="X126" i="7"/>
  <c r="BA125" i="7"/>
  <c r="BB125" i="7"/>
  <c r="Y126" i="7"/>
  <c r="BC125" i="7"/>
  <c r="Z126" i="7"/>
  <c r="BD125" i="7"/>
  <c r="AA126" i="7"/>
  <c r="R126" i="7"/>
  <c r="AU125" i="7"/>
  <c r="S126" i="7"/>
  <c r="AV125" i="7"/>
  <c r="T126" i="7"/>
  <c r="AW125" i="7"/>
  <c r="AZ125" i="7"/>
  <c r="W126" i="7"/>
  <c r="D253" i="7"/>
  <c r="D249" i="7"/>
  <c r="D245" i="7"/>
  <c r="D241" i="7"/>
  <c r="D237" i="7"/>
  <c r="D233" i="7"/>
  <c r="D229" i="7"/>
  <c r="D225" i="7"/>
  <c r="D221" i="7"/>
  <c r="D217" i="7"/>
  <c r="D213" i="7"/>
  <c r="D209" i="7"/>
  <c r="D205" i="7"/>
  <c r="D201" i="7"/>
  <c r="D197" i="7"/>
  <c r="D193" i="7"/>
  <c r="D189" i="7"/>
  <c r="D185" i="7"/>
  <c r="D181" i="7"/>
  <c r="D177" i="7"/>
  <c r="D173" i="7"/>
  <c r="D169" i="7"/>
  <c r="D165" i="7"/>
  <c r="D161" i="7"/>
  <c r="D157" i="7"/>
  <c r="D153" i="7"/>
  <c r="D149" i="7"/>
  <c r="D145" i="7"/>
  <c r="D141" i="7"/>
  <c r="D137" i="7"/>
  <c r="D133" i="7"/>
  <c r="D129" i="7"/>
  <c r="D125" i="7"/>
  <c r="D121" i="7"/>
  <c r="D254" i="7"/>
  <c r="D250" i="7"/>
  <c r="D246" i="7"/>
  <c r="D242" i="7"/>
  <c r="D238" i="7"/>
  <c r="D234" i="7"/>
  <c r="D230" i="7"/>
  <c r="D226" i="7"/>
  <c r="D222" i="7"/>
  <c r="D218" i="7"/>
  <c r="D214" i="7"/>
  <c r="D210" i="7"/>
  <c r="D206" i="7"/>
  <c r="D202" i="7"/>
  <c r="D198" i="7"/>
  <c r="D194" i="7"/>
  <c r="D190" i="7"/>
  <c r="D186" i="7"/>
  <c r="D182" i="7"/>
  <c r="D178" i="7"/>
  <c r="D174" i="7"/>
  <c r="D170" i="7"/>
  <c r="D166" i="7"/>
  <c r="D162" i="7"/>
  <c r="D158" i="7"/>
  <c r="D154" i="7"/>
  <c r="D150" i="7"/>
  <c r="D146" i="7"/>
  <c r="D142" i="7"/>
  <c r="D138" i="7"/>
  <c r="D134" i="7"/>
  <c r="D130" i="7"/>
  <c r="D126" i="7"/>
  <c r="D122" i="7"/>
  <c r="D255" i="7"/>
  <c r="D251" i="7"/>
  <c r="D247" i="7"/>
  <c r="D243" i="7"/>
  <c r="D239" i="7"/>
  <c r="D235" i="7"/>
  <c r="D231" i="7"/>
  <c r="D227" i="7"/>
  <c r="D223" i="7"/>
  <c r="D219" i="7"/>
  <c r="D215" i="7"/>
  <c r="D211" i="7"/>
  <c r="D207" i="7"/>
  <c r="D203" i="7"/>
  <c r="D199" i="7"/>
  <c r="D195" i="7"/>
  <c r="D191" i="7"/>
  <c r="D240" i="7"/>
  <c r="D224" i="7"/>
  <c r="D208" i="7"/>
  <c r="D192" i="7"/>
  <c r="D180" i="7"/>
  <c r="D175" i="7"/>
  <c r="D148" i="7"/>
  <c r="D143" i="7"/>
  <c r="D168" i="7"/>
  <c r="D163" i="7"/>
  <c r="D136" i="7"/>
  <c r="D131" i="7"/>
  <c r="D176" i="7"/>
  <c r="D171" i="7"/>
  <c r="D144" i="7"/>
  <c r="D139" i="7"/>
  <c r="D248" i="7"/>
  <c r="D232" i="7"/>
  <c r="D216" i="7"/>
  <c r="D200" i="7"/>
  <c r="D164" i="7"/>
  <c r="D159" i="7"/>
  <c r="D132" i="7"/>
  <c r="D127" i="7"/>
  <c r="D184" i="7"/>
  <c r="D179" i="7"/>
  <c r="D152" i="7"/>
  <c r="D147" i="7"/>
  <c r="D120" i="7"/>
  <c r="D244" i="7"/>
  <c r="D228" i="7"/>
  <c r="D212" i="7"/>
  <c r="D196" i="7"/>
  <c r="D172" i="7"/>
  <c r="D167" i="7"/>
  <c r="D140" i="7"/>
  <c r="D135" i="7"/>
  <c r="D187" i="7"/>
  <c r="D160" i="7"/>
  <c r="D155" i="7"/>
  <c r="D128" i="7"/>
  <c r="D123" i="7"/>
  <c r="D252" i="7"/>
  <c r="D236" i="7"/>
  <c r="D220" i="7"/>
  <c r="D204" i="7"/>
  <c r="D188" i="7"/>
  <c r="D183" i="7"/>
  <c r="D156" i="7"/>
  <c r="D151" i="7"/>
  <c r="D124" i="7"/>
  <c r="D119" i="7"/>
  <c r="V126" i="7"/>
  <c r="AY125" i="7"/>
  <c r="U126" i="7"/>
  <c r="AX125" i="7"/>
  <c r="P126" i="7"/>
  <c r="AS125" i="7"/>
  <c r="AT125" i="7"/>
  <c r="Q126" i="7"/>
  <c r="AP146" i="7"/>
  <c r="BS146" i="7" s="1"/>
  <c r="D105" i="7"/>
  <c r="D104" i="7"/>
  <c r="D102" i="7"/>
  <c r="D103" i="7"/>
  <c r="AY58" i="7"/>
  <c r="AY57" i="7"/>
  <c r="D90" i="7"/>
  <c r="D98" i="7"/>
  <c r="D95" i="7"/>
  <c r="D96" i="7"/>
  <c r="D92" i="7"/>
  <c r="D100" i="7"/>
  <c r="D93" i="7"/>
  <c r="D101" i="7"/>
  <c r="D89" i="7"/>
  <c r="D97" i="7"/>
  <c r="D94" i="7"/>
  <c r="D91" i="7"/>
  <c r="D99" i="7"/>
  <c r="AS82" i="7"/>
  <c r="AV80" i="7"/>
  <c r="BD81" i="7"/>
  <c r="AV27" i="7"/>
  <c r="AT89" i="7"/>
  <c r="BA84" i="7"/>
  <c r="BB89" i="7"/>
  <c r="BC82" i="7"/>
  <c r="AZ94" i="7"/>
  <c r="AX94" i="7"/>
  <c r="AW94" i="7"/>
  <c r="BC20" i="7"/>
  <c r="AU23" i="7"/>
  <c r="BA20" i="7"/>
  <c r="BD21" i="7"/>
  <c r="AX20" i="7"/>
  <c r="BB20" i="7"/>
  <c r="AU77" i="7"/>
  <c r="AY77" i="7"/>
  <c r="D74" i="7"/>
  <c r="D82" i="7"/>
  <c r="D75" i="7"/>
  <c r="D83" i="7"/>
  <c r="D76" i="7"/>
  <c r="D84" i="7"/>
  <c r="D77" i="7"/>
  <c r="D85" i="7"/>
  <c r="D78" i="7"/>
  <c r="D86" i="7"/>
  <c r="D73" i="7"/>
  <c r="D87" i="7"/>
  <c r="D79" i="7"/>
  <c r="D80" i="7"/>
  <c r="D88" i="7"/>
  <c r="D81" i="7"/>
  <c r="AR301" i="7" l="1"/>
  <c r="BU300" i="7"/>
  <c r="J300" i="7" s="1"/>
  <c r="AZ302" i="7"/>
  <c r="W303" i="7"/>
  <c r="BM302" i="7"/>
  <c r="AJ303" i="7"/>
  <c r="AV303" i="7"/>
  <c r="S304" i="7"/>
  <c r="BQ302" i="7"/>
  <c r="AN303" i="7"/>
  <c r="U304" i="7"/>
  <c r="AX303" i="7"/>
  <c r="AK304" i="7"/>
  <c r="BN303" i="7"/>
  <c r="AQ304" i="7"/>
  <c r="BT303" i="7"/>
  <c r="Q304" i="7"/>
  <c r="AT303" i="7"/>
  <c r="AA304" i="7"/>
  <c r="BD303" i="7"/>
  <c r="Y304" i="7"/>
  <c r="BB303" i="7"/>
  <c r="AC304" i="7"/>
  <c r="BF303" i="7"/>
  <c r="AO304" i="7"/>
  <c r="BR303" i="7"/>
  <c r="BE302" i="7"/>
  <c r="AB303" i="7"/>
  <c r="BA302" i="7"/>
  <c r="X303" i="7"/>
  <c r="BP302" i="7"/>
  <c r="AM303" i="7"/>
  <c r="BL302" i="7"/>
  <c r="AI303" i="7"/>
  <c r="AW302" i="7"/>
  <c r="T303" i="7"/>
  <c r="AS302" i="7"/>
  <c r="P303" i="7"/>
  <c r="A378" i="7"/>
  <c r="L379" i="7"/>
  <c r="AD325" i="7"/>
  <c r="BG324" i="7"/>
  <c r="A304" i="7"/>
  <c r="R324" i="7"/>
  <c r="AU323" i="7"/>
  <c r="AE303" i="7"/>
  <c r="BH302" i="7"/>
  <c r="AH323" i="7"/>
  <c r="BK322" i="7"/>
  <c r="AL323" i="7"/>
  <c r="BO322" i="7"/>
  <c r="AG304" i="7"/>
  <c r="BJ303" i="7"/>
  <c r="AP323" i="7"/>
  <c r="BS322" i="7"/>
  <c r="BI302" i="7"/>
  <c r="AF303" i="7"/>
  <c r="Z323" i="7"/>
  <c r="BC322" i="7"/>
  <c r="V323" i="7"/>
  <c r="AY322" i="7"/>
  <c r="J77" i="7"/>
  <c r="J20" i="7"/>
  <c r="BU51" i="7"/>
  <c r="BL102" i="7"/>
  <c r="AI103" i="7"/>
  <c r="AI147" i="7"/>
  <c r="BL146" i="7"/>
  <c r="BT47" i="7"/>
  <c r="J47" i="7" s="1"/>
  <c r="AO127" i="7"/>
  <c r="BR126" i="7"/>
  <c r="BR51" i="7"/>
  <c r="AO82" i="7"/>
  <c r="BR81" i="7"/>
  <c r="AE142" i="7"/>
  <c r="BH141" i="7"/>
  <c r="AQ124" i="7"/>
  <c r="BT123" i="7"/>
  <c r="J123" i="7" s="1"/>
  <c r="AR81" i="7"/>
  <c r="BU80" i="7"/>
  <c r="AQ80" i="7"/>
  <c r="BT79" i="7"/>
  <c r="BU23" i="7"/>
  <c r="BG56" i="7"/>
  <c r="BG55" i="7"/>
  <c r="AE98" i="7"/>
  <c r="BH97" i="7"/>
  <c r="L145" i="7"/>
  <c r="A144" i="7"/>
  <c r="BM21" i="7"/>
  <c r="BF21" i="7"/>
  <c r="AR125" i="7"/>
  <c r="BU124" i="7"/>
  <c r="L239" i="7"/>
  <c r="A238" i="7"/>
  <c r="AW126" i="7"/>
  <c r="T127" i="7"/>
  <c r="BC126" i="7"/>
  <c r="Z127" i="7"/>
  <c r="S127" i="7"/>
  <c r="AV126" i="7"/>
  <c r="W127" i="7"/>
  <c r="AZ126" i="7"/>
  <c r="R127" i="7"/>
  <c r="AU126" i="7"/>
  <c r="BB126" i="7"/>
  <c r="Y127" i="7"/>
  <c r="AA127" i="7"/>
  <c r="BD126" i="7"/>
  <c r="X127" i="7"/>
  <c r="BA126" i="7"/>
  <c r="AY126" i="7"/>
  <c r="V127" i="7"/>
  <c r="AX126" i="7"/>
  <c r="U127" i="7"/>
  <c r="P127" i="7"/>
  <c r="AS126" i="7"/>
  <c r="AT126" i="7"/>
  <c r="Q127" i="7"/>
  <c r="AP147" i="7"/>
  <c r="BS147" i="7" s="1"/>
  <c r="AV28" i="7"/>
  <c r="BD82" i="7"/>
  <c r="AV81" i="7"/>
  <c r="AS83" i="7"/>
  <c r="BC83" i="7"/>
  <c r="AW95" i="7"/>
  <c r="BB90" i="7"/>
  <c r="AX95" i="7"/>
  <c r="AT90" i="7"/>
  <c r="AZ95" i="7"/>
  <c r="BA85" i="7"/>
  <c r="BC21" i="7"/>
  <c r="AU24" i="7"/>
  <c r="AY78" i="7"/>
  <c r="BA21" i="7"/>
  <c r="AU78" i="7"/>
  <c r="AX21" i="7"/>
  <c r="BB21" i="7"/>
  <c r="BD22" i="7"/>
  <c r="D118" i="7"/>
  <c r="BU301" i="7" l="1"/>
  <c r="J301" i="7" s="1"/>
  <c r="AR302" i="7"/>
  <c r="Z324" i="7"/>
  <c r="BC323" i="7"/>
  <c r="AP324" i="7"/>
  <c r="BS323" i="7"/>
  <c r="AE304" i="7"/>
  <c r="BH303" i="7"/>
  <c r="A305" i="7"/>
  <c r="AC305" i="7"/>
  <c r="BF304" i="7"/>
  <c r="AA305" i="7"/>
  <c r="BD304" i="7"/>
  <c r="BQ303" i="7"/>
  <c r="AN304" i="7"/>
  <c r="BM303" i="7"/>
  <c r="AJ304" i="7"/>
  <c r="BI303" i="7"/>
  <c r="AF304" i="7"/>
  <c r="AS303" i="7"/>
  <c r="P304" i="7"/>
  <c r="BL303" i="7"/>
  <c r="AI304" i="7"/>
  <c r="BA303" i="7"/>
  <c r="X304" i="7"/>
  <c r="AQ305" i="7"/>
  <c r="BT304" i="7"/>
  <c r="U305" i="7"/>
  <c r="AX304" i="7"/>
  <c r="V324" i="7"/>
  <c r="AY323" i="7"/>
  <c r="AG305" i="7"/>
  <c r="BJ304" i="7"/>
  <c r="AH324" i="7"/>
  <c r="BK323" i="7"/>
  <c r="R325" i="7"/>
  <c r="AU324" i="7"/>
  <c r="AD326" i="7"/>
  <c r="BG325" i="7"/>
  <c r="AO305" i="7"/>
  <c r="BR304" i="7"/>
  <c r="Y305" i="7"/>
  <c r="BB304" i="7"/>
  <c r="Q305" i="7"/>
  <c r="AT304" i="7"/>
  <c r="AV304" i="7"/>
  <c r="S305" i="7"/>
  <c r="AZ303" i="7"/>
  <c r="W304" i="7"/>
  <c r="AL324" i="7"/>
  <c r="BO323" i="7"/>
  <c r="A379" i="7"/>
  <c r="AW303" i="7"/>
  <c r="T304" i="7"/>
  <c r="BP303" i="7"/>
  <c r="AM304" i="7"/>
  <c r="BE303" i="7"/>
  <c r="AB304" i="7"/>
  <c r="AK305" i="7"/>
  <c r="BN304" i="7"/>
  <c r="BU52" i="7"/>
  <c r="J78" i="7"/>
  <c r="J21" i="7"/>
  <c r="AI104" i="7"/>
  <c r="BL103" i="7"/>
  <c r="AI148" i="7"/>
  <c r="BL147" i="7"/>
  <c r="AO128" i="7"/>
  <c r="BR127" i="7"/>
  <c r="BR52" i="7"/>
  <c r="BT48" i="7"/>
  <c r="J48" i="7" s="1"/>
  <c r="BF22" i="7"/>
  <c r="BU24" i="7"/>
  <c r="AR82" i="7"/>
  <c r="BU81" i="7"/>
  <c r="AE99" i="7"/>
  <c r="BH98" i="7"/>
  <c r="AE143" i="7"/>
  <c r="BH142" i="7"/>
  <c r="BM22" i="7"/>
  <c r="AQ81" i="7"/>
  <c r="BT80" i="7"/>
  <c r="AQ125" i="7"/>
  <c r="BT124" i="7"/>
  <c r="J124" i="7" s="1"/>
  <c r="AR126" i="7"/>
  <c r="BU125" i="7"/>
  <c r="L146" i="7"/>
  <c r="A145" i="7"/>
  <c r="AO83" i="7"/>
  <c r="BR82" i="7"/>
  <c r="L240" i="7"/>
  <c r="A239" i="7"/>
  <c r="AZ127" i="7"/>
  <c r="W128" i="7"/>
  <c r="BD127" i="7"/>
  <c r="AA128" i="7"/>
  <c r="S128" i="7"/>
  <c r="AV127" i="7"/>
  <c r="Y128" i="7"/>
  <c r="BB127" i="7"/>
  <c r="Z128" i="7"/>
  <c r="BC127" i="7"/>
  <c r="AW127" i="7"/>
  <c r="T128" i="7"/>
  <c r="R128" i="7"/>
  <c r="AU127" i="7"/>
  <c r="BA127" i="7"/>
  <c r="X128" i="7"/>
  <c r="AY127" i="7"/>
  <c r="V128" i="7"/>
  <c r="U128" i="7"/>
  <c r="AX127" i="7"/>
  <c r="AS127" i="7"/>
  <c r="P128" i="7"/>
  <c r="Q128" i="7"/>
  <c r="AT127" i="7"/>
  <c r="AP148" i="7"/>
  <c r="BS148" i="7" s="1"/>
  <c r="BU53" i="7"/>
  <c r="AV31" i="7"/>
  <c r="AV82" i="7"/>
  <c r="AS84" i="7"/>
  <c r="BD83" i="7"/>
  <c r="BB91" i="7"/>
  <c r="AT91" i="7"/>
  <c r="AX96" i="7"/>
  <c r="AZ96" i="7"/>
  <c r="AW96" i="7"/>
  <c r="BA86" i="7"/>
  <c r="BC84" i="7"/>
  <c r="AU25" i="7"/>
  <c r="BC22" i="7"/>
  <c r="AX22" i="7"/>
  <c r="BA22" i="7"/>
  <c r="BD23" i="7"/>
  <c r="BB22" i="7"/>
  <c r="AU79" i="7"/>
  <c r="AY79" i="7"/>
  <c r="BU302" i="7" l="1"/>
  <c r="J302" i="7" s="1"/>
  <c r="AR303" i="7"/>
  <c r="AL325" i="7"/>
  <c r="BO324" i="7"/>
  <c r="AS304" i="7"/>
  <c r="P305" i="7"/>
  <c r="BM304" i="7"/>
  <c r="AJ305" i="7"/>
  <c r="BP304" i="7"/>
  <c r="AM305" i="7"/>
  <c r="R326" i="7"/>
  <c r="AU325" i="7"/>
  <c r="AG306" i="7"/>
  <c r="BJ305" i="7"/>
  <c r="U306" i="7"/>
  <c r="AX305" i="7"/>
  <c r="AA306" i="7"/>
  <c r="BD305" i="7"/>
  <c r="A306" i="7"/>
  <c r="AP325" i="7"/>
  <c r="BS324" i="7"/>
  <c r="AK306" i="7"/>
  <c r="BN305" i="7"/>
  <c r="Y306" i="7"/>
  <c r="BB305" i="7"/>
  <c r="BL304" i="7"/>
  <c r="AI305" i="7"/>
  <c r="BI304" i="7"/>
  <c r="AF305" i="7"/>
  <c r="BQ304" i="7"/>
  <c r="AN305" i="7"/>
  <c r="Q306" i="7"/>
  <c r="AT305" i="7"/>
  <c r="AO306" i="7"/>
  <c r="BR305" i="7"/>
  <c r="BA304" i="7"/>
  <c r="X305" i="7"/>
  <c r="AZ304" i="7"/>
  <c r="W305" i="7"/>
  <c r="BE304" i="7"/>
  <c r="AB305" i="7"/>
  <c r="AW304" i="7"/>
  <c r="T305" i="7"/>
  <c r="AV305" i="7"/>
  <c r="S306" i="7"/>
  <c r="AD327" i="7"/>
  <c r="BG326" i="7"/>
  <c r="AH325" i="7"/>
  <c r="BK324" i="7"/>
  <c r="V325" i="7"/>
  <c r="AY324" i="7"/>
  <c r="AQ306" i="7"/>
  <c r="BT305" i="7"/>
  <c r="AC306" i="7"/>
  <c r="BF305" i="7"/>
  <c r="AE305" i="7"/>
  <c r="BH304" i="7"/>
  <c r="Z325" i="7"/>
  <c r="BC324" i="7"/>
  <c r="J79" i="7"/>
  <c r="J22" i="7"/>
  <c r="AI105" i="7"/>
  <c r="AI106" i="7" s="1"/>
  <c r="BL104" i="7"/>
  <c r="AI149" i="7"/>
  <c r="BL148" i="7"/>
  <c r="BT49" i="7"/>
  <c r="J49" i="7" s="1"/>
  <c r="BR53" i="7"/>
  <c r="BG57" i="7"/>
  <c r="AO129" i="7"/>
  <c r="BR128" i="7"/>
  <c r="L147" i="7"/>
  <c r="A146" i="7"/>
  <c r="AQ126" i="7"/>
  <c r="BT125" i="7"/>
  <c r="J125" i="7" s="1"/>
  <c r="AE144" i="7"/>
  <c r="BH143" i="7"/>
  <c r="AR83" i="7"/>
  <c r="BU82" i="7"/>
  <c r="AQ82" i="7"/>
  <c r="BT81" i="7"/>
  <c r="BU25" i="7"/>
  <c r="AO84" i="7"/>
  <c r="BR83" i="7"/>
  <c r="AE100" i="7"/>
  <c r="BH99" i="7"/>
  <c r="BG63" i="7"/>
  <c r="BG58" i="7"/>
  <c r="AR127" i="7"/>
  <c r="BU126" i="7"/>
  <c r="BM23" i="7"/>
  <c r="BF23" i="7"/>
  <c r="L241" i="7"/>
  <c r="A240" i="7"/>
  <c r="Y129" i="7"/>
  <c r="BB128" i="7"/>
  <c r="AZ128" i="7"/>
  <c r="W129" i="7"/>
  <c r="R129" i="7"/>
  <c r="AU128" i="7"/>
  <c r="T129" i="7"/>
  <c r="AW128" i="7"/>
  <c r="AA129" i="7"/>
  <c r="BD128" i="7"/>
  <c r="Z129" i="7"/>
  <c r="BC128" i="7"/>
  <c r="AV128" i="7"/>
  <c r="S129" i="7"/>
  <c r="X129" i="7"/>
  <c r="BA128" i="7"/>
  <c r="V129" i="7"/>
  <c r="AY128" i="7"/>
  <c r="U129" i="7"/>
  <c r="AX128" i="7"/>
  <c r="AS128" i="7"/>
  <c r="P129" i="7"/>
  <c r="Q129" i="7"/>
  <c r="AT128" i="7"/>
  <c r="AP149" i="7"/>
  <c r="BS149" i="7" s="1"/>
  <c r="BU54" i="7"/>
  <c r="AS85" i="7"/>
  <c r="BD84" i="7"/>
  <c r="AV83" i="7"/>
  <c r="BA87" i="7"/>
  <c r="AW97" i="7"/>
  <c r="AZ97" i="7"/>
  <c r="BC85" i="7"/>
  <c r="AX97" i="7"/>
  <c r="BB92" i="7"/>
  <c r="AT92" i="7"/>
  <c r="AU26" i="7"/>
  <c r="BC23" i="7"/>
  <c r="AY80" i="7"/>
  <c r="BD24" i="7"/>
  <c r="AU80" i="7"/>
  <c r="BB23" i="7"/>
  <c r="BA23" i="7"/>
  <c r="AX23" i="7"/>
  <c r="BL106" i="7" l="1"/>
  <c r="AI107" i="7"/>
  <c r="AR304" i="7"/>
  <c r="BU303" i="7"/>
  <c r="J303" i="7" s="1"/>
  <c r="AC307" i="7"/>
  <c r="BF306" i="7"/>
  <c r="AD328" i="7"/>
  <c r="BG327" i="7"/>
  <c r="Q307" i="7"/>
  <c r="AT306" i="7"/>
  <c r="AG307" i="7"/>
  <c r="BJ306" i="7"/>
  <c r="AE306" i="7"/>
  <c r="BH305" i="7"/>
  <c r="AQ307" i="7"/>
  <c r="BT306" i="7"/>
  <c r="AH326" i="7"/>
  <c r="BK325" i="7"/>
  <c r="AO307" i="7"/>
  <c r="BR306" i="7"/>
  <c r="AK307" i="7"/>
  <c r="BN306" i="7"/>
  <c r="A307" i="7"/>
  <c r="BM305" i="7"/>
  <c r="AJ306" i="7"/>
  <c r="Z326" i="7"/>
  <c r="BC325" i="7"/>
  <c r="V326" i="7"/>
  <c r="AY325" i="7"/>
  <c r="Y307" i="7"/>
  <c r="BB306" i="7"/>
  <c r="AP326" i="7"/>
  <c r="BS325" i="7"/>
  <c r="AA307" i="7"/>
  <c r="BD306" i="7"/>
  <c r="BP305" i="7"/>
  <c r="AM306" i="7"/>
  <c r="AS305" i="7"/>
  <c r="P306" i="7"/>
  <c r="AV306" i="7"/>
  <c r="S307" i="7"/>
  <c r="BE305" i="7"/>
  <c r="AB306" i="7"/>
  <c r="AZ305" i="7"/>
  <c r="W306" i="7"/>
  <c r="BQ305" i="7"/>
  <c r="AN306" i="7"/>
  <c r="BL305" i="7"/>
  <c r="AI306" i="7"/>
  <c r="AW305" i="7"/>
  <c r="T306" i="7"/>
  <c r="BA305" i="7"/>
  <c r="X306" i="7"/>
  <c r="BI305" i="7"/>
  <c r="AF306" i="7"/>
  <c r="U307" i="7"/>
  <c r="AX306" i="7"/>
  <c r="R327" i="7"/>
  <c r="AU326" i="7"/>
  <c r="AL326" i="7"/>
  <c r="BO325" i="7"/>
  <c r="BL105" i="7"/>
  <c r="J23" i="7"/>
  <c r="J80" i="7"/>
  <c r="AI150" i="7"/>
  <c r="BL149" i="7"/>
  <c r="BR54" i="7"/>
  <c r="AO130" i="7"/>
  <c r="BR129" i="7"/>
  <c r="BT50" i="7"/>
  <c r="J50" i="7" s="1"/>
  <c r="AQ127" i="7"/>
  <c r="BT126" i="7"/>
  <c r="J126" i="7" s="1"/>
  <c r="BF24" i="7"/>
  <c r="AE101" i="7"/>
  <c r="BH100" i="7"/>
  <c r="AR84" i="7"/>
  <c r="BU83" i="7"/>
  <c r="BM24" i="7"/>
  <c r="AO85" i="7"/>
  <c r="BR84" i="7"/>
  <c r="BU26" i="7"/>
  <c r="AE145" i="7"/>
  <c r="BH144" i="7"/>
  <c r="AQ83" i="7"/>
  <c r="BT82" i="7"/>
  <c r="L148" i="7"/>
  <c r="A147" i="7"/>
  <c r="AR128" i="7"/>
  <c r="BU127" i="7"/>
  <c r="L242" i="7"/>
  <c r="A241" i="7"/>
  <c r="AW129" i="7"/>
  <c r="T130" i="7"/>
  <c r="S130" i="7"/>
  <c r="AV129" i="7"/>
  <c r="X130" i="7"/>
  <c r="BA129" i="7"/>
  <c r="AU129" i="7"/>
  <c r="R130" i="7"/>
  <c r="Z130" i="7"/>
  <c r="BC129" i="7"/>
  <c r="W130" i="7"/>
  <c r="AZ129" i="7"/>
  <c r="AA130" i="7"/>
  <c r="BD129" i="7"/>
  <c r="BB129" i="7"/>
  <c r="Y130" i="7"/>
  <c r="AY129" i="7"/>
  <c r="V130" i="7"/>
  <c r="AX129" i="7"/>
  <c r="U130" i="7"/>
  <c r="P130" i="7"/>
  <c r="AS129" i="7"/>
  <c r="AT129" i="7"/>
  <c r="Q130" i="7"/>
  <c r="AP150" i="7"/>
  <c r="BS150" i="7" s="1"/>
  <c r="BU55" i="7"/>
  <c r="AV84" i="7"/>
  <c r="BD85" i="7"/>
  <c r="AS86" i="7"/>
  <c r="BB93" i="7"/>
  <c r="AZ98" i="7"/>
  <c r="AT93" i="7"/>
  <c r="AX98" i="7"/>
  <c r="BA88" i="7"/>
  <c r="BC86" i="7"/>
  <c r="AW98" i="7"/>
  <c r="AU27" i="7"/>
  <c r="BC24" i="7"/>
  <c r="AY81" i="7"/>
  <c r="AX24" i="7"/>
  <c r="BA24" i="7"/>
  <c r="AU81" i="7"/>
  <c r="BB24" i="7"/>
  <c r="BD25" i="7"/>
  <c r="BU304" i="7" l="1"/>
  <c r="J304" i="7" s="1"/>
  <c r="AR305" i="7"/>
  <c r="AI108" i="7"/>
  <c r="BL108" i="7" s="1"/>
  <c r="BL107" i="7"/>
  <c r="BI306" i="7"/>
  <c r="AF307" i="7"/>
  <c r="BL306" i="7"/>
  <c r="AI307" i="7"/>
  <c r="AZ306" i="7"/>
  <c r="W307" i="7"/>
  <c r="AV307" i="7"/>
  <c r="S308" i="7"/>
  <c r="BP306" i="7"/>
  <c r="AM307" i="7"/>
  <c r="A308" i="7"/>
  <c r="AO308" i="7"/>
  <c r="BR307" i="7"/>
  <c r="AQ308" i="7"/>
  <c r="BT307" i="7"/>
  <c r="R328" i="7"/>
  <c r="AU327" i="7"/>
  <c r="AP327" i="7"/>
  <c r="BS326" i="7"/>
  <c r="V327" i="7"/>
  <c r="AY326" i="7"/>
  <c r="AG308" i="7"/>
  <c r="BJ307" i="7"/>
  <c r="AD329" i="7"/>
  <c r="BG328" i="7"/>
  <c r="BA306" i="7"/>
  <c r="X307" i="7"/>
  <c r="AW306" i="7"/>
  <c r="T307" i="7"/>
  <c r="BQ306" i="7"/>
  <c r="AN307" i="7"/>
  <c r="BE306" i="7"/>
  <c r="AB307" i="7"/>
  <c r="AS306" i="7"/>
  <c r="P307" i="7"/>
  <c r="AK308" i="7"/>
  <c r="BN307" i="7"/>
  <c r="AH327" i="7"/>
  <c r="BK326" i="7"/>
  <c r="AE307" i="7"/>
  <c r="BH306" i="7"/>
  <c r="BM306" i="7"/>
  <c r="AJ307" i="7"/>
  <c r="AL327" i="7"/>
  <c r="BO326" i="7"/>
  <c r="U308" i="7"/>
  <c r="AX307" i="7"/>
  <c r="AA308" i="7"/>
  <c r="BD307" i="7"/>
  <c r="Y308" i="7"/>
  <c r="BB307" i="7"/>
  <c r="Z327" i="7"/>
  <c r="BC326" i="7"/>
  <c r="Q308" i="7"/>
  <c r="AT307" i="7"/>
  <c r="AC308" i="7"/>
  <c r="BF307" i="7"/>
  <c r="J81" i="7"/>
  <c r="J24" i="7"/>
  <c r="AI151" i="7"/>
  <c r="BL150" i="7"/>
  <c r="AO131" i="7"/>
  <c r="BR130" i="7"/>
  <c r="BT51" i="7"/>
  <c r="J51" i="7" s="1"/>
  <c r="BR55" i="7"/>
  <c r="L149" i="7"/>
  <c r="A148" i="7"/>
  <c r="AE102" i="7"/>
  <c r="BH101" i="7"/>
  <c r="AO86" i="7"/>
  <c r="BR85" i="7"/>
  <c r="AQ84" i="7"/>
  <c r="BT83" i="7"/>
  <c r="BF25" i="7"/>
  <c r="AR129" i="7"/>
  <c r="BU128" i="7"/>
  <c r="AE146" i="7"/>
  <c r="BH145" i="7"/>
  <c r="AQ128" i="7"/>
  <c r="BT127" i="7"/>
  <c r="J127" i="7" s="1"/>
  <c r="AR85" i="7"/>
  <c r="BU84" i="7"/>
  <c r="BM25" i="7"/>
  <c r="BU27" i="7"/>
  <c r="L243" i="7"/>
  <c r="A242" i="7"/>
  <c r="AA131" i="7"/>
  <c r="BD130" i="7"/>
  <c r="Z131" i="7"/>
  <c r="BC130" i="7"/>
  <c r="BA130" i="7"/>
  <c r="X131" i="7"/>
  <c r="W131" i="7"/>
  <c r="AZ130" i="7"/>
  <c r="S131" i="7"/>
  <c r="AV130" i="7"/>
  <c r="BB130" i="7"/>
  <c r="Y131" i="7"/>
  <c r="R131" i="7"/>
  <c r="AU130" i="7"/>
  <c r="T131" i="7"/>
  <c r="AW130" i="7"/>
  <c r="AY130" i="7"/>
  <c r="V131" i="7"/>
  <c r="AX130" i="7"/>
  <c r="U131" i="7"/>
  <c r="AS130" i="7"/>
  <c r="P131" i="7"/>
  <c r="AT130" i="7"/>
  <c r="Q131" i="7"/>
  <c r="AP151" i="7"/>
  <c r="BS151" i="7" s="1"/>
  <c r="BU56" i="7"/>
  <c r="AS87" i="7"/>
  <c r="BD86" i="7"/>
  <c r="AV85" i="7"/>
  <c r="BB94" i="7"/>
  <c r="BC87" i="7"/>
  <c r="AT94" i="7"/>
  <c r="AW99" i="7"/>
  <c r="AX99" i="7"/>
  <c r="BA89" i="7"/>
  <c r="AZ99" i="7"/>
  <c r="BC25" i="7"/>
  <c r="AU28" i="7"/>
  <c r="AX25" i="7"/>
  <c r="BD26" i="7"/>
  <c r="BB25" i="7"/>
  <c r="AU82" i="7"/>
  <c r="BA25" i="7"/>
  <c r="AY82" i="7"/>
  <c r="BU305" i="7" l="1"/>
  <c r="J305" i="7" s="1"/>
  <c r="AR306" i="7"/>
  <c r="AS307" i="7"/>
  <c r="P308" i="7"/>
  <c r="BL307" i="7"/>
  <c r="AI308" i="7"/>
  <c r="Q309" i="7"/>
  <c r="AT308" i="7"/>
  <c r="Y309" i="7"/>
  <c r="BB308" i="7"/>
  <c r="BM307" i="7"/>
  <c r="AJ308" i="7"/>
  <c r="AG309" i="7"/>
  <c r="BJ308" i="7"/>
  <c r="AP328" i="7"/>
  <c r="BS327" i="7"/>
  <c r="AQ309" i="7"/>
  <c r="BT308" i="7"/>
  <c r="A309" i="7"/>
  <c r="U309" i="7"/>
  <c r="AX308" i="7"/>
  <c r="AE308" i="7"/>
  <c r="BH307" i="7"/>
  <c r="AK309" i="7"/>
  <c r="BN308" i="7"/>
  <c r="BE307" i="7"/>
  <c r="AB308" i="7"/>
  <c r="AW307" i="7"/>
  <c r="T308" i="7"/>
  <c r="BP307" i="7"/>
  <c r="AM308" i="7"/>
  <c r="AZ307" i="7"/>
  <c r="W308" i="7"/>
  <c r="BI307" i="7"/>
  <c r="AF308" i="7"/>
  <c r="AL328" i="7"/>
  <c r="BO327" i="7"/>
  <c r="AH328" i="7"/>
  <c r="BK327" i="7"/>
  <c r="BQ307" i="7"/>
  <c r="AN308" i="7"/>
  <c r="BA307" i="7"/>
  <c r="X308" i="7"/>
  <c r="AV308" i="7"/>
  <c r="S309" i="7"/>
  <c r="AC309" i="7"/>
  <c r="BF308" i="7"/>
  <c r="Z328" i="7"/>
  <c r="BC327" i="7"/>
  <c r="AA309" i="7"/>
  <c r="BD308" i="7"/>
  <c r="AD330" i="7"/>
  <c r="BG329" i="7"/>
  <c r="V328" i="7"/>
  <c r="AY327" i="7"/>
  <c r="R329" i="7"/>
  <c r="AU328" i="7"/>
  <c r="AO309" i="7"/>
  <c r="BR308" i="7"/>
  <c r="J82" i="7"/>
  <c r="J25" i="7"/>
  <c r="AI152" i="7"/>
  <c r="BL151" i="7"/>
  <c r="BR56" i="7"/>
  <c r="BT52" i="7"/>
  <c r="J52" i="7" s="1"/>
  <c r="AO132" i="7"/>
  <c r="BR131" i="7"/>
  <c r="AR130" i="7"/>
  <c r="BU129" i="7"/>
  <c r="AO87" i="7"/>
  <c r="BR86" i="7"/>
  <c r="AR86" i="7"/>
  <c r="BU85" i="7"/>
  <c r="BU28" i="7"/>
  <c r="AE103" i="7"/>
  <c r="BH102" i="7"/>
  <c r="AQ129" i="7"/>
  <c r="BT128" i="7"/>
  <c r="J128" i="7" s="1"/>
  <c r="AQ85" i="7"/>
  <c r="BT84" i="7"/>
  <c r="L150" i="7"/>
  <c r="A149" i="7"/>
  <c r="BF26" i="7"/>
  <c r="AE147" i="7"/>
  <c r="BH146" i="7"/>
  <c r="BM26" i="7"/>
  <c r="L244" i="7"/>
  <c r="A243" i="7"/>
  <c r="AW131" i="7"/>
  <c r="T132" i="7"/>
  <c r="W132" i="7"/>
  <c r="AZ131" i="7"/>
  <c r="Y132" i="7"/>
  <c r="BB131" i="7"/>
  <c r="BA131" i="7"/>
  <c r="X132" i="7"/>
  <c r="R132" i="7"/>
  <c r="AU131" i="7"/>
  <c r="BC131" i="7"/>
  <c r="Z132" i="7"/>
  <c r="S132" i="7"/>
  <c r="AV131" i="7"/>
  <c r="BD131" i="7"/>
  <c r="AA132" i="7"/>
  <c r="AY131" i="7"/>
  <c r="V132" i="7"/>
  <c r="U132" i="7"/>
  <c r="AX131" i="7"/>
  <c r="AS131" i="7"/>
  <c r="P132" i="7"/>
  <c r="AT131" i="7"/>
  <c r="Q132" i="7"/>
  <c r="AP152" i="7"/>
  <c r="BS152" i="7" s="1"/>
  <c r="AU31" i="7"/>
  <c r="AV86" i="7"/>
  <c r="BD87" i="7"/>
  <c r="AS88" i="7"/>
  <c r="BA90" i="7"/>
  <c r="AW101" i="7"/>
  <c r="AW100" i="7"/>
  <c r="AZ101" i="7"/>
  <c r="AZ100" i="7"/>
  <c r="BB95" i="7"/>
  <c r="AT95" i="7"/>
  <c r="AX101" i="7"/>
  <c r="AX100" i="7"/>
  <c r="BC88" i="7"/>
  <c r="BC26" i="7"/>
  <c r="AU83" i="7"/>
  <c r="AY83" i="7"/>
  <c r="BB26" i="7"/>
  <c r="BD27" i="7"/>
  <c r="BA26" i="7"/>
  <c r="AX26" i="7"/>
  <c r="BU306" i="7" l="1"/>
  <c r="J306" i="7" s="1"/>
  <c r="AR307" i="7"/>
  <c r="Y310" i="7"/>
  <c r="BB309" i="7"/>
  <c r="R330" i="7"/>
  <c r="AU329" i="7"/>
  <c r="AD331" i="7"/>
  <c r="BG330" i="7"/>
  <c r="AA310" i="7"/>
  <c r="BD309" i="7"/>
  <c r="AC310" i="7"/>
  <c r="BF309" i="7"/>
  <c r="AH329" i="7"/>
  <c r="BK328" i="7"/>
  <c r="AE309" i="7"/>
  <c r="BH308" i="7"/>
  <c r="A310" i="7"/>
  <c r="AP329" i="7"/>
  <c r="BS328" i="7"/>
  <c r="BM308" i="7"/>
  <c r="AJ309" i="7"/>
  <c r="AS308" i="7"/>
  <c r="P309" i="7"/>
  <c r="AO310" i="7"/>
  <c r="BR309" i="7"/>
  <c r="V329" i="7"/>
  <c r="AY328" i="7"/>
  <c r="Z329" i="7"/>
  <c r="BC328" i="7"/>
  <c r="AL329" i="7"/>
  <c r="BO328" i="7"/>
  <c r="AK310" i="7"/>
  <c r="BN309" i="7"/>
  <c r="U310" i="7"/>
  <c r="AX309" i="7"/>
  <c r="AQ310" i="7"/>
  <c r="BT309" i="7"/>
  <c r="AG310" i="7"/>
  <c r="BJ309" i="7"/>
  <c r="BL308" i="7"/>
  <c r="AI309" i="7"/>
  <c r="BA308" i="7"/>
  <c r="X309" i="7"/>
  <c r="BI308" i="7"/>
  <c r="AF309" i="7"/>
  <c r="BP308" i="7"/>
  <c r="AM309" i="7"/>
  <c r="BE308" i="7"/>
  <c r="AB309" i="7"/>
  <c r="AV309" i="7"/>
  <c r="S310" i="7"/>
  <c r="BQ308" i="7"/>
  <c r="AN309" i="7"/>
  <c r="AZ308" i="7"/>
  <c r="W309" i="7"/>
  <c r="AW308" i="7"/>
  <c r="T309" i="7"/>
  <c r="Q310" i="7"/>
  <c r="AT309" i="7"/>
  <c r="J26" i="7"/>
  <c r="J83" i="7"/>
  <c r="BL152" i="7"/>
  <c r="AI153" i="7"/>
  <c r="BT53" i="7"/>
  <c r="J53" i="7" s="1"/>
  <c r="AO133" i="7"/>
  <c r="BR132" i="7"/>
  <c r="BR57" i="7"/>
  <c r="AR87" i="7"/>
  <c r="BU86" i="7"/>
  <c r="BF27" i="7"/>
  <c r="BU57" i="7"/>
  <c r="AQ130" i="7"/>
  <c r="BT129" i="7"/>
  <c r="J129" i="7" s="1"/>
  <c r="L151" i="7"/>
  <c r="A150" i="7"/>
  <c r="AR131" i="7"/>
  <c r="BU130" i="7"/>
  <c r="AQ86" i="7"/>
  <c r="BT85" i="7"/>
  <c r="AO88" i="7"/>
  <c r="BR87" i="7"/>
  <c r="BM27" i="7"/>
  <c r="AE104" i="7"/>
  <c r="BH103" i="7"/>
  <c r="AE148" i="7"/>
  <c r="BH147" i="7"/>
  <c r="BU29" i="7"/>
  <c r="L245" i="7"/>
  <c r="A244" i="7"/>
  <c r="Y133" i="7"/>
  <c r="BB132" i="7"/>
  <c r="AV132" i="7"/>
  <c r="S133" i="7"/>
  <c r="Z133" i="7"/>
  <c r="BC132" i="7"/>
  <c r="AZ132" i="7"/>
  <c r="W133" i="7"/>
  <c r="R133" i="7"/>
  <c r="AU132" i="7"/>
  <c r="T133" i="7"/>
  <c r="AW132" i="7"/>
  <c r="BD132" i="7"/>
  <c r="AA133" i="7"/>
  <c r="X133" i="7"/>
  <c r="BA132" i="7"/>
  <c r="V133" i="7"/>
  <c r="AY132" i="7"/>
  <c r="AX132" i="7"/>
  <c r="U133" i="7"/>
  <c r="P133" i="7"/>
  <c r="AS132" i="7"/>
  <c r="Q133" i="7"/>
  <c r="AT132" i="7"/>
  <c r="AP153" i="7"/>
  <c r="BS153" i="7" s="1"/>
  <c r="AS89" i="7"/>
  <c r="BD88" i="7"/>
  <c r="AV87" i="7"/>
  <c r="BA91" i="7"/>
  <c r="BC89" i="7"/>
  <c r="BB96" i="7"/>
  <c r="AT96" i="7"/>
  <c r="BC27" i="7"/>
  <c r="AX27" i="7"/>
  <c r="AU84" i="7"/>
  <c r="BA27" i="7"/>
  <c r="BD28" i="7"/>
  <c r="AY84" i="7"/>
  <c r="BB27" i="7"/>
  <c r="BU307" i="7" l="1"/>
  <c r="J307" i="7" s="1"/>
  <c r="AR308" i="7"/>
  <c r="AK311" i="7"/>
  <c r="BN310" i="7"/>
  <c r="Z330" i="7"/>
  <c r="BC329" i="7"/>
  <c r="AO311" i="7"/>
  <c r="BR310" i="7"/>
  <c r="BQ309" i="7"/>
  <c r="AN310" i="7"/>
  <c r="AS309" i="7"/>
  <c r="P310" i="7"/>
  <c r="A311" i="7"/>
  <c r="AH330" i="7"/>
  <c r="BK329" i="7"/>
  <c r="AA311" i="7"/>
  <c r="BD310" i="7"/>
  <c r="R331" i="7"/>
  <c r="AU330" i="7"/>
  <c r="AG311" i="7"/>
  <c r="BJ310" i="7"/>
  <c r="U311" i="7"/>
  <c r="AX310" i="7"/>
  <c r="AL330" i="7"/>
  <c r="BO329" i="7"/>
  <c r="V330" i="7"/>
  <c r="AY329" i="7"/>
  <c r="AP330" i="7"/>
  <c r="BS329" i="7"/>
  <c r="Q311" i="7"/>
  <c r="AT310" i="7"/>
  <c r="AQ311" i="7"/>
  <c r="BT310" i="7"/>
  <c r="AW309" i="7"/>
  <c r="T310" i="7"/>
  <c r="BP309" i="7"/>
  <c r="AM310" i="7"/>
  <c r="BA309" i="7"/>
  <c r="X310" i="7"/>
  <c r="AZ309" i="7"/>
  <c r="W310" i="7"/>
  <c r="AV310" i="7"/>
  <c r="S311" i="7"/>
  <c r="BE309" i="7"/>
  <c r="AB310" i="7"/>
  <c r="BI309" i="7"/>
  <c r="AF310" i="7"/>
  <c r="BL309" i="7"/>
  <c r="AI310" i="7"/>
  <c r="BM309" i="7"/>
  <c r="AJ310" i="7"/>
  <c r="AE310" i="7"/>
  <c r="BH309" i="7"/>
  <c r="AC311" i="7"/>
  <c r="BF310" i="7"/>
  <c r="AD332" i="7"/>
  <c r="BG331" i="7"/>
  <c r="Y311" i="7"/>
  <c r="BB310" i="7"/>
  <c r="J84" i="7"/>
  <c r="J27" i="7"/>
  <c r="BL153" i="7"/>
  <c r="AI154" i="7"/>
  <c r="AO134" i="7"/>
  <c r="BR133" i="7"/>
  <c r="BT54" i="7"/>
  <c r="J54" i="7" s="1"/>
  <c r="BR63" i="7"/>
  <c r="BR58" i="7"/>
  <c r="BU31" i="7"/>
  <c r="BU30" i="7"/>
  <c r="AO89" i="7"/>
  <c r="BR88" i="7"/>
  <c r="BF28" i="7"/>
  <c r="AR132" i="7"/>
  <c r="BU131" i="7"/>
  <c r="BM28" i="7"/>
  <c r="L152" i="7"/>
  <c r="A151" i="7"/>
  <c r="BU63" i="7"/>
  <c r="BU58" i="7"/>
  <c r="AE149" i="7"/>
  <c r="BH148" i="7"/>
  <c r="AQ87" i="7"/>
  <c r="BT86" i="7"/>
  <c r="AQ131" i="7"/>
  <c r="BT130" i="7"/>
  <c r="J130" i="7" s="1"/>
  <c r="AE105" i="7"/>
  <c r="AE106" i="7" s="1"/>
  <c r="BH104" i="7"/>
  <c r="AR88" i="7"/>
  <c r="BU87" i="7"/>
  <c r="L246" i="7"/>
  <c r="A245" i="7"/>
  <c r="AZ133" i="7"/>
  <c r="W134" i="7"/>
  <c r="BA133" i="7"/>
  <c r="X134" i="7"/>
  <c r="S134" i="7"/>
  <c r="AV133" i="7"/>
  <c r="AA134" i="7"/>
  <c r="BD133" i="7"/>
  <c r="T134" i="7"/>
  <c r="AW133" i="7"/>
  <c r="BC133" i="7"/>
  <c r="Z134" i="7"/>
  <c r="R134" i="7"/>
  <c r="AU133" i="7"/>
  <c r="Y134" i="7"/>
  <c r="BB133" i="7"/>
  <c r="AY133" i="7"/>
  <c r="V134" i="7"/>
  <c r="U134" i="7"/>
  <c r="AX133" i="7"/>
  <c r="P134" i="7"/>
  <c r="AS133" i="7"/>
  <c r="Q134" i="7"/>
  <c r="AT133" i="7"/>
  <c r="AP154" i="7"/>
  <c r="BS154" i="7" s="1"/>
  <c r="BD31" i="7"/>
  <c r="AV88" i="7"/>
  <c r="AS90" i="7"/>
  <c r="BD89" i="7"/>
  <c r="BB97" i="7"/>
  <c r="BC90" i="7"/>
  <c r="AT97" i="7"/>
  <c r="BA92" i="7"/>
  <c r="BC28" i="7"/>
  <c r="BB28" i="7"/>
  <c r="AU85" i="7"/>
  <c r="AY85" i="7"/>
  <c r="BA28" i="7"/>
  <c r="AX28" i="7"/>
  <c r="AE107" i="7" l="1"/>
  <c r="BH106" i="7"/>
  <c r="BU308" i="7"/>
  <c r="J308" i="7" s="1"/>
  <c r="AR309" i="7"/>
  <c r="AP331" i="7"/>
  <c r="BS330" i="7"/>
  <c r="AG312" i="7"/>
  <c r="BJ311" i="7"/>
  <c r="Z331" i="7"/>
  <c r="BC330" i="7"/>
  <c r="Q312" i="7"/>
  <c r="AT311" i="7"/>
  <c r="AS310" i="7"/>
  <c r="P311" i="7"/>
  <c r="AQ312" i="7"/>
  <c r="BT311" i="7"/>
  <c r="BQ310" i="7"/>
  <c r="AN311" i="7"/>
  <c r="AD333" i="7"/>
  <c r="BG332" i="7"/>
  <c r="AE311" i="7"/>
  <c r="BH310" i="7"/>
  <c r="BL310" i="7"/>
  <c r="AI311" i="7"/>
  <c r="BE310" i="7"/>
  <c r="AB311" i="7"/>
  <c r="AZ310" i="7"/>
  <c r="W311" i="7"/>
  <c r="BP310" i="7"/>
  <c r="AM311" i="7"/>
  <c r="AW310" i="7"/>
  <c r="T311" i="7"/>
  <c r="AL331" i="7"/>
  <c r="BO330" i="7"/>
  <c r="AA312" i="7"/>
  <c r="BD311" i="7"/>
  <c r="A312" i="7"/>
  <c r="Y312" i="7"/>
  <c r="BB311" i="7"/>
  <c r="AC312" i="7"/>
  <c r="BF311" i="7"/>
  <c r="BM310" i="7"/>
  <c r="AJ311" i="7"/>
  <c r="BI310" i="7"/>
  <c r="AF311" i="7"/>
  <c r="AV311" i="7"/>
  <c r="S312" i="7"/>
  <c r="BA310" i="7"/>
  <c r="X311" i="7"/>
  <c r="V331" i="7"/>
  <c r="AY330" i="7"/>
  <c r="U312" i="7"/>
  <c r="AX311" i="7"/>
  <c r="R332" i="7"/>
  <c r="AU331" i="7"/>
  <c r="AH331" i="7"/>
  <c r="BK330" i="7"/>
  <c r="AO312" i="7"/>
  <c r="BR311" i="7"/>
  <c r="AK312" i="7"/>
  <c r="BN311" i="7"/>
  <c r="BH105" i="7"/>
  <c r="J28" i="7"/>
  <c r="J85" i="7"/>
  <c r="BL154" i="7"/>
  <c r="AI155" i="7"/>
  <c r="BT55" i="7"/>
  <c r="J55" i="7" s="1"/>
  <c r="AO135" i="7"/>
  <c r="BR134" i="7"/>
  <c r="AE150" i="7"/>
  <c r="BH149" i="7"/>
  <c r="AR133" i="7"/>
  <c r="BU132" i="7"/>
  <c r="AR89" i="7"/>
  <c r="BU88" i="7"/>
  <c r="AQ132" i="7"/>
  <c r="BT131" i="7"/>
  <c r="J131" i="7" s="1"/>
  <c r="BF29" i="7"/>
  <c r="AQ88" i="7"/>
  <c r="BT87" i="7"/>
  <c r="AO90" i="7"/>
  <c r="BR89" i="7"/>
  <c r="BM29" i="7"/>
  <c r="L153" i="7"/>
  <c r="A152" i="7"/>
  <c r="L247" i="7"/>
  <c r="A246" i="7"/>
  <c r="BB134" i="7"/>
  <c r="Y135" i="7"/>
  <c r="BD134" i="7"/>
  <c r="AA135" i="7"/>
  <c r="R135" i="7"/>
  <c r="AU134" i="7"/>
  <c r="AV134" i="7"/>
  <c r="S135" i="7"/>
  <c r="BC134" i="7"/>
  <c r="Z135" i="7"/>
  <c r="BA134" i="7"/>
  <c r="X135" i="7"/>
  <c r="W135" i="7"/>
  <c r="AZ134" i="7"/>
  <c r="AW134" i="7"/>
  <c r="T135" i="7"/>
  <c r="AY134" i="7"/>
  <c r="V135" i="7"/>
  <c r="U135" i="7"/>
  <c r="AX134" i="7"/>
  <c r="P135" i="7"/>
  <c r="AS134" i="7"/>
  <c r="AT134" i="7"/>
  <c r="Q135" i="7"/>
  <c r="AP155" i="7"/>
  <c r="BS155" i="7" s="1"/>
  <c r="BA31" i="7"/>
  <c r="BB31" i="7"/>
  <c r="AX31" i="7"/>
  <c r="BC31" i="7"/>
  <c r="BD90" i="7"/>
  <c r="AS91" i="7"/>
  <c r="AV89" i="7"/>
  <c r="BC91" i="7"/>
  <c r="BA93" i="7"/>
  <c r="AT98" i="7"/>
  <c r="BB98" i="7"/>
  <c r="AY86" i="7"/>
  <c r="AU86" i="7"/>
  <c r="BU309" i="7" l="1"/>
  <c r="J309" i="7" s="1"/>
  <c r="AR310" i="7"/>
  <c r="AE108" i="7"/>
  <c r="BH108" i="7" s="1"/>
  <c r="BH107" i="7"/>
  <c r="V332" i="7"/>
  <c r="AY331" i="7"/>
  <c r="AC313" i="7"/>
  <c r="BF312" i="7"/>
  <c r="AL332" i="7"/>
  <c r="BO331" i="7"/>
  <c r="AE312" i="7"/>
  <c r="BH311" i="7"/>
  <c r="AP332" i="7"/>
  <c r="BS331" i="7"/>
  <c r="AV312" i="7"/>
  <c r="S313" i="7"/>
  <c r="AH332" i="7"/>
  <c r="BK331" i="7"/>
  <c r="U313" i="7"/>
  <c r="AX312" i="7"/>
  <c r="Y313" i="7"/>
  <c r="BB312" i="7"/>
  <c r="AA313" i="7"/>
  <c r="BD312" i="7"/>
  <c r="AD334" i="7"/>
  <c r="BG333" i="7"/>
  <c r="AQ313" i="7"/>
  <c r="BT312" i="7"/>
  <c r="Q313" i="7"/>
  <c r="AT312" i="7"/>
  <c r="AG313" i="7"/>
  <c r="BJ312" i="7"/>
  <c r="R333" i="7"/>
  <c r="AU332" i="7"/>
  <c r="A313" i="7"/>
  <c r="Z332" i="7"/>
  <c r="BC331" i="7"/>
  <c r="AK313" i="7"/>
  <c r="BN312" i="7"/>
  <c r="BM311" i="7"/>
  <c r="AJ312" i="7"/>
  <c r="AW311" i="7"/>
  <c r="T312" i="7"/>
  <c r="AZ311" i="7"/>
  <c r="W312" i="7"/>
  <c r="BL311" i="7"/>
  <c r="AI312" i="7"/>
  <c r="AO313" i="7"/>
  <c r="BR312" i="7"/>
  <c r="BA311" i="7"/>
  <c r="X312" i="7"/>
  <c r="BI311" i="7"/>
  <c r="AF312" i="7"/>
  <c r="BP311" i="7"/>
  <c r="AM312" i="7"/>
  <c r="BE311" i="7"/>
  <c r="AB312" i="7"/>
  <c r="BQ311" i="7"/>
  <c r="AN312" i="7"/>
  <c r="AS311" i="7"/>
  <c r="P312" i="7"/>
  <c r="J86" i="7"/>
  <c r="J29" i="7"/>
  <c r="AI156" i="7"/>
  <c r="BL155" i="7"/>
  <c r="AO136" i="7"/>
  <c r="BR135" i="7"/>
  <c r="BT56" i="7"/>
  <c r="J56" i="7" s="1"/>
  <c r="AQ89" i="7"/>
  <c r="BT88" i="7"/>
  <c r="BM31" i="7"/>
  <c r="BM30" i="7"/>
  <c r="BF31" i="7"/>
  <c r="BF30" i="7"/>
  <c r="AR134" i="7"/>
  <c r="BU133" i="7"/>
  <c r="L154" i="7"/>
  <c r="A153" i="7"/>
  <c r="AR90" i="7"/>
  <c r="BU89" i="7"/>
  <c r="AO91" i="7"/>
  <c r="BR90" i="7"/>
  <c r="AQ133" i="7"/>
  <c r="BT132" i="7"/>
  <c r="J132" i="7" s="1"/>
  <c r="AE151" i="7"/>
  <c r="BH150" i="7"/>
  <c r="L248" i="7"/>
  <c r="A247" i="7"/>
  <c r="AV135" i="7"/>
  <c r="S136" i="7"/>
  <c r="W136" i="7"/>
  <c r="AZ135" i="7"/>
  <c r="AA136" i="7"/>
  <c r="BD135" i="7"/>
  <c r="Z136" i="7"/>
  <c r="BC135" i="7"/>
  <c r="Y136" i="7"/>
  <c r="BB135" i="7"/>
  <c r="R136" i="7"/>
  <c r="AU135" i="7"/>
  <c r="BA135" i="7"/>
  <c r="X136" i="7"/>
  <c r="T136" i="7"/>
  <c r="AW135" i="7"/>
  <c r="AY135" i="7"/>
  <c r="V136" i="7"/>
  <c r="U136" i="7"/>
  <c r="AX135" i="7"/>
  <c r="AS135" i="7"/>
  <c r="P136" i="7"/>
  <c r="Q136" i="7"/>
  <c r="AT135" i="7"/>
  <c r="AP156" i="7"/>
  <c r="BS156" i="7" s="1"/>
  <c r="AV90" i="7"/>
  <c r="BD91" i="7"/>
  <c r="AS92" i="7"/>
  <c r="AT99" i="7"/>
  <c r="BA94" i="7"/>
  <c r="BB99" i="7"/>
  <c r="BC92" i="7"/>
  <c r="AU87" i="7"/>
  <c r="AY87" i="7"/>
  <c r="BU310" i="7" l="1"/>
  <c r="J310" i="7" s="1"/>
  <c r="AR311" i="7"/>
  <c r="AO314" i="7"/>
  <c r="BR313" i="7"/>
  <c r="AK314" i="7"/>
  <c r="BN313" i="7"/>
  <c r="AV313" i="7"/>
  <c r="S314" i="7"/>
  <c r="BQ312" i="7"/>
  <c r="AN313" i="7"/>
  <c r="BP312" i="7"/>
  <c r="AM313" i="7"/>
  <c r="BA312" i="7"/>
  <c r="X313" i="7"/>
  <c r="BL312" i="7"/>
  <c r="AI313" i="7"/>
  <c r="AW312" i="7"/>
  <c r="T313" i="7"/>
  <c r="A314" i="7"/>
  <c r="AG314" i="7"/>
  <c r="BJ313" i="7"/>
  <c r="AQ314" i="7"/>
  <c r="BT313" i="7"/>
  <c r="AA314" i="7"/>
  <c r="BD313" i="7"/>
  <c r="U314" i="7"/>
  <c r="AX313" i="7"/>
  <c r="AE313" i="7"/>
  <c r="BH312" i="7"/>
  <c r="AC314" i="7"/>
  <c r="BF313" i="7"/>
  <c r="Z333" i="7"/>
  <c r="BC332" i="7"/>
  <c r="AS312" i="7"/>
  <c r="P313" i="7"/>
  <c r="BE312" i="7"/>
  <c r="AB313" i="7"/>
  <c r="BI312" i="7"/>
  <c r="AF313" i="7"/>
  <c r="AZ312" i="7"/>
  <c r="W313" i="7"/>
  <c r="BM312" i="7"/>
  <c r="AJ313" i="7"/>
  <c r="R334" i="7"/>
  <c r="AU333" i="7"/>
  <c r="Q314" i="7"/>
  <c r="AT313" i="7"/>
  <c r="AD335" i="7"/>
  <c r="BG334" i="7"/>
  <c r="Y314" i="7"/>
  <c r="BB313" i="7"/>
  <c r="AH333" i="7"/>
  <c r="BK332" i="7"/>
  <c r="AP333" i="7"/>
  <c r="BS332" i="7"/>
  <c r="AL333" i="7"/>
  <c r="BO332" i="7"/>
  <c r="V333" i="7"/>
  <c r="AY332" i="7"/>
  <c r="J87" i="7"/>
  <c r="J30" i="7"/>
  <c r="J31" i="7"/>
  <c r="AI157" i="7"/>
  <c r="BL156" i="7"/>
  <c r="BT57" i="7"/>
  <c r="J57" i="7" s="1"/>
  <c r="AO137" i="7"/>
  <c r="BR136" i="7"/>
  <c r="L155" i="7"/>
  <c r="A154" i="7"/>
  <c r="AR135" i="7"/>
  <c r="BU134" i="7"/>
  <c r="AO92" i="7"/>
  <c r="BR91" i="7"/>
  <c r="AE152" i="7"/>
  <c r="BH151" i="7"/>
  <c r="AR91" i="7"/>
  <c r="BU90" i="7"/>
  <c r="AQ134" i="7"/>
  <c r="BT133" i="7"/>
  <c r="J133" i="7" s="1"/>
  <c r="AQ90" i="7"/>
  <c r="BT89" i="7"/>
  <c r="L249" i="7"/>
  <c r="A248" i="7"/>
  <c r="T137" i="7"/>
  <c r="AW136" i="7"/>
  <c r="Z137" i="7"/>
  <c r="BC136" i="7"/>
  <c r="BA136" i="7"/>
  <c r="X137" i="7"/>
  <c r="R137" i="7"/>
  <c r="AU136" i="7"/>
  <c r="AZ136" i="7"/>
  <c r="W137" i="7"/>
  <c r="BD136" i="7"/>
  <c r="AA137" i="7"/>
  <c r="BB136" i="7"/>
  <c r="Y137" i="7"/>
  <c r="AV136" i="7"/>
  <c r="S137" i="7"/>
  <c r="AY136" i="7"/>
  <c r="V137" i="7"/>
  <c r="AX136" i="7"/>
  <c r="U137" i="7"/>
  <c r="AS136" i="7"/>
  <c r="P137" i="7"/>
  <c r="Q137" i="7"/>
  <c r="AT136" i="7"/>
  <c r="AP157" i="7"/>
  <c r="BS157" i="7" s="1"/>
  <c r="AS93" i="7"/>
  <c r="AV91" i="7"/>
  <c r="BD92" i="7"/>
  <c r="BB101" i="7"/>
  <c r="BB100" i="7"/>
  <c r="AT101" i="7"/>
  <c r="AT100" i="7"/>
  <c r="BC93" i="7"/>
  <c r="BA95" i="7"/>
  <c r="AU89" i="7"/>
  <c r="AY89" i="7"/>
  <c r="AU88" i="7"/>
  <c r="AY88" i="7"/>
  <c r="BU311" i="7" l="1"/>
  <c r="J311" i="7" s="1"/>
  <c r="AR312" i="7"/>
  <c r="BM313" i="7"/>
  <c r="AJ314" i="7"/>
  <c r="AW313" i="7"/>
  <c r="T314" i="7"/>
  <c r="BA313" i="7"/>
  <c r="X314" i="7"/>
  <c r="AP334" i="7"/>
  <c r="BS333" i="7"/>
  <c r="Y315" i="7"/>
  <c r="BB314" i="7"/>
  <c r="Q315" i="7"/>
  <c r="AT314" i="7"/>
  <c r="AC315" i="7"/>
  <c r="BF314" i="7"/>
  <c r="U315" i="7"/>
  <c r="AX314" i="7"/>
  <c r="AQ315" i="7"/>
  <c r="BT314" i="7"/>
  <c r="A315" i="7"/>
  <c r="AK315" i="7"/>
  <c r="BN314" i="7"/>
  <c r="AZ313" i="7"/>
  <c r="W314" i="7"/>
  <c r="BE313" i="7"/>
  <c r="AB314" i="7"/>
  <c r="BL313" i="7"/>
  <c r="AI314" i="7"/>
  <c r="BP313" i="7"/>
  <c r="AM314" i="7"/>
  <c r="AV314" i="7"/>
  <c r="S315" i="7"/>
  <c r="BI313" i="7"/>
  <c r="AF314" i="7"/>
  <c r="AS313" i="7"/>
  <c r="P314" i="7"/>
  <c r="BQ313" i="7"/>
  <c r="AN314" i="7"/>
  <c r="AY333" i="7"/>
  <c r="V334" i="7"/>
  <c r="AL334" i="7"/>
  <c r="BO333" i="7"/>
  <c r="AH334" i="7"/>
  <c r="BK333" i="7"/>
  <c r="AD336" i="7"/>
  <c r="BG335" i="7"/>
  <c r="R335" i="7"/>
  <c r="AU334" i="7"/>
  <c r="Z334" i="7"/>
  <c r="BC333" i="7"/>
  <c r="AE314" i="7"/>
  <c r="BH313" i="7"/>
  <c r="AA315" i="7"/>
  <c r="BD314" i="7"/>
  <c r="AG315" i="7"/>
  <c r="BJ314" i="7"/>
  <c r="AO315" i="7"/>
  <c r="BR314" i="7"/>
  <c r="J88" i="7"/>
  <c r="J89" i="7"/>
  <c r="AI158" i="7"/>
  <c r="BL157" i="7"/>
  <c r="AO138" i="7"/>
  <c r="BR137" i="7"/>
  <c r="BT63" i="7"/>
  <c r="J63" i="7" s="1"/>
  <c r="BT58" i="7"/>
  <c r="J58" i="7" s="1"/>
  <c r="AQ91" i="7"/>
  <c r="BT90" i="7"/>
  <c r="AE153" i="7"/>
  <c r="BH152" i="7"/>
  <c r="AO93" i="7"/>
  <c r="BR92" i="7"/>
  <c r="AQ135" i="7"/>
  <c r="BT134" i="7"/>
  <c r="J134" i="7" s="1"/>
  <c r="AR92" i="7"/>
  <c r="BU91" i="7"/>
  <c r="L156" i="7"/>
  <c r="A155" i="7"/>
  <c r="AR136" i="7"/>
  <c r="BU135" i="7"/>
  <c r="L250" i="7"/>
  <c r="A249" i="7"/>
  <c r="Y138" i="7"/>
  <c r="BB137" i="7"/>
  <c r="AU137" i="7"/>
  <c r="R138" i="7"/>
  <c r="BD137" i="7"/>
  <c r="AA138" i="7"/>
  <c r="W138" i="7"/>
  <c r="AZ137" i="7"/>
  <c r="BA137" i="7"/>
  <c r="X138" i="7"/>
  <c r="Z138" i="7"/>
  <c r="BC137" i="7"/>
  <c r="AV137" i="7"/>
  <c r="S138" i="7"/>
  <c r="AW137" i="7"/>
  <c r="T138" i="7"/>
  <c r="AY137" i="7"/>
  <c r="V138" i="7"/>
  <c r="AX137" i="7"/>
  <c r="U138" i="7"/>
  <c r="AS137" i="7"/>
  <c r="P138" i="7"/>
  <c r="Q138" i="7"/>
  <c r="AT137" i="7"/>
  <c r="AP158" i="7"/>
  <c r="BS158" i="7" s="1"/>
  <c r="BD93" i="7"/>
  <c r="AV92" i="7"/>
  <c r="AS94" i="7"/>
  <c r="BC94" i="7"/>
  <c r="BA96" i="7"/>
  <c r="AY90" i="7"/>
  <c r="AU90" i="7"/>
  <c r="BU312" i="7" l="1"/>
  <c r="J312" i="7" s="1"/>
  <c r="AR313" i="7"/>
  <c r="AO316" i="7"/>
  <c r="BR315" i="7"/>
  <c r="AA316" i="7"/>
  <c r="BD315" i="7"/>
  <c r="BC334" i="7"/>
  <c r="Z335" i="7"/>
  <c r="AD337" i="7"/>
  <c r="BG336" i="7"/>
  <c r="BO334" i="7"/>
  <c r="AL335" i="7"/>
  <c r="A316" i="7"/>
  <c r="U316" i="7"/>
  <c r="AX315" i="7"/>
  <c r="AW314" i="7"/>
  <c r="T315" i="7"/>
  <c r="AY334" i="7"/>
  <c r="V335" i="7"/>
  <c r="AS314" i="7"/>
  <c r="P315" i="7"/>
  <c r="AV315" i="7"/>
  <c r="S316" i="7"/>
  <c r="BL314" i="7"/>
  <c r="AI315" i="7"/>
  <c r="BE314" i="7"/>
  <c r="AB315" i="7"/>
  <c r="Q316" i="7"/>
  <c r="AT315" i="7"/>
  <c r="BS334" i="7"/>
  <c r="AP335" i="7"/>
  <c r="AG316" i="7"/>
  <c r="BJ315" i="7"/>
  <c r="AE315" i="7"/>
  <c r="BH314" i="7"/>
  <c r="R336" i="7"/>
  <c r="AU335" i="7"/>
  <c r="AH335" i="7"/>
  <c r="BK334" i="7"/>
  <c r="AK316" i="7"/>
  <c r="BN315" i="7"/>
  <c r="AQ316" i="7"/>
  <c r="BT315" i="7"/>
  <c r="AC316" i="7"/>
  <c r="BF315" i="7"/>
  <c r="BA314" i="7"/>
  <c r="X315" i="7"/>
  <c r="BM314" i="7"/>
  <c r="AJ315" i="7"/>
  <c r="BQ314" i="7"/>
  <c r="AN315" i="7"/>
  <c r="BI314" i="7"/>
  <c r="AF315" i="7"/>
  <c r="BP314" i="7"/>
  <c r="AM315" i="7"/>
  <c r="AZ314" i="7"/>
  <c r="W315" i="7"/>
  <c r="Y316" i="7"/>
  <c r="BB315" i="7"/>
  <c r="J90" i="7"/>
  <c r="AI159" i="7"/>
  <c r="BL158" i="7"/>
  <c r="AO139" i="7"/>
  <c r="BR138" i="7"/>
  <c r="AQ136" i="7"/>
  <c r="BT135" i="7"/>
  <c r="J135" i="7" s="1"/>
  <c r="AO94" i="7"/>
  <c r="BR93" i="7"/>
  <c r="L157" i="7"/>
  <c r="A156" i="7"/>
  <c r="AE154" i="7"/>
  <c r="BH153" i="7"/>
  <c r="AR93" i="7"/>
  <c r="BU92" i="7"/>
  <c r="AQ92" i="7"/>
  <c r="BT91" i="7"/>
  <c r="AR137" i="7"/>
  <c r="BU136" i="7"/>
  <c r="L251" i="7"/>
  <c r="A250" i="7"/>
  <c r="AW138" i="7"/>
  <c r="T139" i="7"/>
  <c r="AZ138" i="7"/>
  <c r="W139" i="7"/>
  <c r="AV138" i="7"/>
  <c r="S139" i="7"/>
  <c r="AA139" i="7"/>
  <c r="BD138" i="7"/>
  <c r="Z139" i="7"/>
  <c r="BC138" i="7"/>
  <c r="BA138" i="7"/>
  <c r="X139" i="7"/>
  <c r="R139" i="7"/>
  <c r="AU138" i="7"/>
  <c r="BB138" i="7"/>
  <c r="Y139" i="7"/>
  <c r="AY138" i="7"/>
  <c r="V139" i="7"/>
  <c r="AX138" i="7"/>
  <c r="U139" i="7"/>
  <c r="P139" i="7"/>
  <c r="AS138" i="7"/>
  <c r="AT138" i="7"/>
  <c r="Q139" i="7"/>
  <c r="AP159" i="7"/>
  <c r="BS159" i="7" s="1"/>
  <c r="AS95" i="7"/>
  <c r="AV93" i="7"/>
  <c r="BD94" i="7"/>
  <c r="BA97" i="7"/>
  <c r="BC95" i="7"/>
  <c r="AY91" i="7"/>
  <c r="AU91" i="7"/>
  <c r="BU313" i="7" l="1"/>
  <c r="J313" i="7" s="1"/>
  <c r="AR314" i="7"/>
  <c r="BL315" i="7"/>
  <c r="AI316" i="7"/>
  <c r="AW315" i="7"/>
  <c r="T316" i="7"/>
  <c r="BP315" i="7"/>
  <c r="AM316" i="7"/>
  <c r="BQ315" i="7"/>
  <c r="AN316" i="7"/>
  <c r="R337" i="7"/>
  <c r="AU336" i="7"/>
  <c r="AG317" i="7"/>
  <c r="BJ316" i="7"/>
  <c r="Q317" i="7"/>
  <c r="AT316" i="7"/>
  <c r="A317" i="7"/>
  <c r="AD338" i="7"/>
  <c r="BG337" i="7"/>
  <c r="AA317" i="7"/>
  <c r="BD316" i="7"/>
  <c r="AQ317" i="7"/>
  <c r="BT316" i="7"/>
  <c r="AP336" i="7"/>
  <c r="BS335" i="7"/>
  <c r="BE315" i="7"/>
  <c r="AB316" i="7"/>
  <c r="AV316" i="7"/>
  <c r="S317" i="7"/>
  <c r="V336" i="7"/>
  <c r="AY335" i="7"/>
  <c r="AL336" i="7"/>
  <c r="BO335" i="7"/>
  <c r="Z336" i="7"/>
  <c r="BC335" i="7"/>
  <c r="Y317" i="7"/>
  <c r="BB316" i="7"/>
  <c r="AC317" i="7"/>
  <c r="BF316" i="7"/>
  <c r="AK317" i="7"/>
  <c r="BN316" i="7"/>
  <c r="AS315" i="7"/>
  <c r="P316" i="7"/>
  <c r="AZ315" i="7"/>
  <c r="W316" i="7"/>
  <c r="BA315" i="7"/>
  <c r="X316" i="7"/>
  <c r="BI315" i="7"/>
  <c r="AF316" i="7"/>
  <c r="BM315" i="7"/>
  <c r="AJ316" i="7"/>
  <c r="AH336" i="7"/>
  <c r="BK335" i="7"/>
  <c r="AE316" i="7"/>
  <c r="BH315" i="7"/>
  <c r="U317" i="7"/>
  <c r="AX316" i="7"/>
  <c r="AO317" i="7"/>
  <c r="BR316" i="7"/>
  <c r="J91" i="7"/>
  <c r="AI160" i="7"/>
  <c r="BL159" i="7"/>
  <c r="AO140" i="7"/>
  <c r="BR139" i="7"/>
  <c r="AE155" i="7"/>
  <c r="BH154" i="7"/>
  <c r="AQ93" i="7"/>
  <c r="BT92" i="7"/>
  <c r="AO95" i="7"/>
  <c r="BR94" i="7"/>
  <c r="AR138" i="7"/>
  <c r="BU137" i="7"/>
  <c r="L158" i="7"/>
  <c r="A157" i="7"/>
  <c r="AR94" i="7"/>
  <c r="BU93" i="7"/>
  <c r="AQ137" i="7"/>
  <c r="BT136" i="7"/>
  <c r="J136" i="7" s="1"/>
  <c r="L252" i="7"/>
  <c r="A251" i="7"/>
  <c r="BD139" i="7"/>
  <c r="AA140" i="7"/>
  <c r="AU139" i="7"/>
  <c r="R140" i="7"/>
  <c r="W140" i="7"/>
  <c r="AZ139" i="7"/>
  <c r="T140" i="7"/>
  <c r="AW139" i="7"/>
  <c r="BB139" i="7"/>
  <c r="Y140" i="7"/>
  <c r="S140" i="7"/>
  <c r="AV139" i="7"/>
  <c r="BA139" i="7"/>
  <c r="X140" i="7"/>
  <c r="BC139" i="7"/>
  <c r="Z140" i="7"/>
  <c r="AY139" i="7"/>
  <c r="V140" i="7"/>
  <c r="U140" i="7"/>
  <c r="AX139" i="7"/>
  <c r="AS139" i="7"/>
  <c r="P140" i="7"/>
  <c r="AT139" i="7"/>
  <c r="Q140" i="7"/>
  <c r="AP160" i="7"/>
  <c r="BS160" i="7" s="1"/>
  <c r="BD95" i="7"/>
  <c r="AV94" i="7"/>
  <c r="AS96" i="7"/>
  <c r="BA98" i="7"/>
  <c r="BC96" i="7"/>
  <c r="AU92" i="7"/>
  <c r="AY92" i="7"/>
  <c r="BU314" i="7" l="1"/>
  <c r="J314" i="7" s="1"/>
  <c r="AR315" i="7"/>
  <c r="AA318" i="7"/>
  <c r="BD317" i="7"/>
  <c r="BQ316" i="7"/>
  <c r="AN317" i="7"/>
  <c r="BE316" i="7"/>
  <c r="AB317" i="7"/>
  <c r="AG318" i="7"/>
  <c r="BJ317" i="7"/>
  <c r="U318" i="7"/>
  <c r="AX317" i="7"/>
  <c r="AH337" i="7"/>
  <c r="BK336" i="7"/>
  <c r="AC318" i="7"/>
  <c r="BF317" i="7"/>
  <c r="Z337" i="7"/>
  <c r="BC336" i="7"/>
  <c r="V337" i="7"/>
  <c r="AY336" i="7"/>
  <c r="AQ318" i="7"/>
  <c r="BT317" i="7"/>
  <c r="AD339" i="7"/>
  <c r="BG338" i="7"/>
  <c r="BP316" i="7"/>
  <c r="AM317" i="7"/>
  <c r="BL316" i="7"/>
  <c r="AI317" i="7"/>
  <c r="AO318" i="7"/>
  <c r="BR317" i="7"/>
  <c r="AE317" i="7"/>
  <c r="BH316" i="7"/>
  <c r="AK318" i="7"/>
  <c r="BN317" i="7"/>
  <c r="Y318" i="7"/>
  <c r="BB317" i="7"/>
  <c r="AL337" i="7"/>
  <c r="BO336" i="7"/>
  <c r="AP337" i="7"/>
  <c r="BS336" i="7"/>
  <c r="A318" i="7"/>
  <c r="AW316" i="7"/>
  <c r="T317" i="7"/>
  <c r="BI316" i="7"/>
  <c r="AF317" i="7"/>
  <c r="BA316" i="7"/>
  <c r="X317" i="7"/>
  <c r="AS316" i="7"/>
  <c r="P317" i="7"/>
  <c r="BM316" i="7"/>
  <c r="AJ317" i="7"/>
  <c r="AZ316" i="7"/>
  <c r="W317" i="7"/>
  <c r="AV317" i="7"/>
  <c r="S318" i="7"/>
  <c r="Q318" i="7"/>
  <c r="AT317" i="7"/>
  <c r="R338" i="7"/>
  <c r="AU337" i="7"/>
  <c r="J92" i="7"/>
  <c r="AI161" i="7"/>
  <c r="BL160" i="7"/>
  <c r="AO141" i="7"/>
  <c r="BR140" i="7"/>
  <c r="AQ138" i="7"/>
  <c r="BT137" i="7"/>
  <c r="J137" i="7" s="1"/>
  <c r="AO96" i="7"/>
  <c r="BR95" i="7"/>
  <c r="AR95" i="7"/>
  <c r="BU94" i="7"/>
  <c r="AQ94" i="7"/>
  <c r="BT93" i="7"/>
  <c r="L159" i="7"/>
  <c r="A158" i="7"/>
  <c r="AE156" i="7"/>
  <c r="BH155" i="7"/>
  <c r="AR139" i="7"/>
  <c r="BU138" i="7"/>
  <c r="L254" i="7"/>
  <c r="A252" i="7"/>
  <c r="AW140" i="7"/>
  <c r="T141" i="7"/>
  <c r="BC140" i="7"/>
  <c r="Z141" i="7"/>
  <c r="S141" i="7"/>
  <c r="AV140" i="7"/>
  <c r="X141" i="7"/>
  <c r="BA140" i="7"/>
  <c r="R141" i="7"/>
  <c r="AU140" i="7"/>
  <c r="Y141" i="7"/>
  <c r="BB140" i="7"/>
  <c r="BD140" i="7"/>
  <c r="AA141" i="7"/>
  <c r="AZ140" i="7"/>
  <c r="W141" i="7"/>
  <c r="AY140" i="7"/>
  <c r="V141" i="7"/>
  <c r="AX140" i="7"/>
  <c r="U141" i="7"/>
  <c r="P141" i="7"/>
  <c r="AS140" i="7"/>
  <c r="Q141" i="7"/>
  <c r="AT140" i="7"/>
  <c r="AP161" i="7"/>
  <c r="BS161" i="7" s="1"/>
  <c r="AS97" i="7"/>
  <c r="AV95" i="7"/>
  <c r="BD96" i="7"/>
  <c r="BC97" i="7"/>
  <c r="BA99" i="7"/>
  <c r="AY93" i="7"/>
  <c r="AU93" i="7"/>
  <c r="BU315" i="7" l="1"/>
  <c r="J315" i="7" s="1"/>
  <c r="AR316" i="7"/>
  <c r="A319" i="7"/>
  <c r="AL338" i="7"/>
  <c r="BO337" i="7"/>
  <c r="BN318" i="7"/>
  <c r="AK319" i="7"/>
  <c r="BR318" i="7"/>
  <c r="AO319" i="7"/>
  <c r="BT318" i="7"/>
  <c r="AQ319" i="7"/>
  <c r="Z338" i="7"/>
  <c r="BC337" i="7"/>
  <c r="BQ317" i="7"/>
  <c r="AN318" i="7"/>
  <c r="W318" i="7"/>
  <c r="AZ317" i="7"/>
  <c r="BM317" i="7"/>
  <c r="AJ318" i="7"/>
  <c r="BA317" i="7"/>
  <c r="X318" i="7"/>
  <c r="AW317" i="7"/>
  <c r="T318" i="7"/>
  <c r="BL317" i="7"/>
  <c r="AI318" i="7"/>
  <c r="AH338" i="7"/>
  <c r="BK337" i="7"/>
  <c r="BJ318" i="7"/>
  <c r="AG319" i="7"/>
  <c r="AT318" i="7"/>
  <c r="Q319" i="7"/>
  <c r="AP338" i="7"/>
  <c r="BS337" i="7"/>
  <c r="BB318" i="7"/>
  <c r="Y319" i="7"/>
  <c r="AE318" i="7"/>
  <c r="BH317" i="7"/>
  <c r="BG339" i="7"/>
  <c r="AD340" i="7"/>
  <c r="V338" i="7"/>
  <c r="AY337" i="7"/>
  <c r="BF318" i="7"/>
  <c r="AC319" i="7"/>
  <c r="BE317" i="7"/>
  <c r="AB318" i="7"/>
  <c r="R339" i="7"/>
  <c r="AU338" i="7"/>
  <c r="AV318" i="7"/>
  <c r="S319" i="7"/>
  <c r="AS317" i="7"/>
  <c r="P318" i="7"/>
  <c r="BI317" i="7"/>
  <c r="AF318" i="7"/>
  <c r="AM318" i="7"/>
  <c r="BP317" i="7"/>
  <c r="AX318" i="7"/>
  <c r="U319" i="7"/>
  <c r="BD318" i="7"/>
  <c r="AA319" i="7"/>
  <c r="J93" i="7"/>
  <c r="BL161" i="7"/>
  <c r="AI162" i="7"/>
  <c r="AO142" i="7"/>
  <c r="BR141" i="7"/>
  <c r="AR96" i="7"/>
  <c r="BU95" i="7"/>
  <c r="AE157" i="7"/>
  <c r="BH156" i="7"/>
  <c r="AO97" i="7"/>
  <c r="BR96" i="7"/>
  <c r="AR140" i="7"/>
  <c r="BU139" i="7"/>
  <c r="L160" i="7"/>
  <c r="A159" i="7"/>
  <c r="AQ139" i="7"/>
  <c r="BT138" i="7"/>
  <c r="J138" i="7" s="1"/>
  <c r="AQ95" i="7"/>
  <c r="BT94" i="7"/>
  <c r="L255" i="7"/>
  <c r="A254" i="7"/>
  <c r="BA141" i="7"/>
  <c r="X142" i="7"/>
  <c r="AA142" i="7"/>
  <c r="BD141" i="7"/>
  <c r="BC141" i="7"/>
  <c r="Z142" i="7"/>
  <c r="BB141" i="7"/>
  <c r="Y142" i="7"/>
  <c r="T142" i="7"/>
  <c r="AW141" i="7"/>
  <c r="S142" i="7"/>
  <c r="AV141" i="7"/>
  <c r="W142" i="7"/>
  <c r="AZ141" i="7"/>
  <c r="R142" i="7"/>
  <c r="AU141" i="7"/>
  <c r="V142" i="7"/>
  <c r="AY141" i="7"/>
  <c r="U142" i="7"/>
  <c r="AX141" i="7"/>
  <c r="P142" i="7"/>
  <c r="AS141" i="7"/>
  <c r="AT141" i="7"/>
  <c r="Q142" i="7"/>
  <c r="AP162" i="7"/>
  <c r="BS162" i="7" s="1"/>
  <c r="BD97" i="7"/>
  <c r="AV96" i="7"/>
  <c r="AS98" i="7"/>
  <c r="BA101" i="7"/>
  <c r="BA100" i="7"/>
  <c r="BC98" i="7"/>
  <c r="AU94" i="7"/>
  <c r="AY94" i="7"/>
  <c r="O20" i="1"/>
  <c r="M20" i="1"/>
  <c r="E20" i="1" s="1"/>
  <c r="B20" i="1"/>
  <c r="A20" i="1"/>
  <c r="O18" i="1"/>
  <c r="M18" i="1"/>
  <c r="E18" i="1" s="1"/>
  <c r="B18" i="1"/>
  <c r="A18" i="1"/>
  <c r="BU316" i="7" l="1"/>
  <c r="J316" i="7" s="1"/>
  <c r="AR317" i="7"/>
  <c r="AM319" i="7"/>
  <c r="BP318" i="7"/>
  <c r="V339" i="7"/>
  <c r="AY338" i="7"/>
  <c r="AE319" i="7"/>
  <c r="BH318" i="7"/>
  <c r="AP339" i="7"/>
  <c r="BS338" i="7"/>
  <c r="W319" i="7"/>
  <c r="AZ318" i="7"/>
  <c r="Z339" i="7"/>
  <c r="BC338" i="7"/>
  <c r="AL339" i="7"/>
  <c r="BO338" i="7"/>
  <c r="AX319" i="7"/>
  <c r="U320" i="7"/>
  <c r="BI318" i="7"/>
  <c r="AF319" i="7"/>
  <c r="BF319" i="7"/>
  <c r="AC320" i="7"/>
  <c r="BG340" i="7"/>
  <c r="AD341" i="7"/>
  <c r="BB319" i="7"/>
  <c r="Y320" i="7"/>
  <c r="AT319" i="7"/>
  <c r="Q320" i="7"/>
  <c r="AW318" i="7"/>
  <c r="T319" i="7"/>
  <c r="BM318" i="7"/>
  <c r="AJ319" i="7"/>
  <c r="BQ318" i="7"/>
  <c r="AN319" i="7"/>
  <c r="AQ320" i="7"/>
  <c r="BT319" i="7"/>
  <c r="BN319" i="7"/>
  <c r="AK320" i="7"/>
  <c r="A320" i="7"/>
  <c r="R340" i="7"/>
  <c r="AU339" i="7"/>
  <c r="AH339" i="7"/>
  <c r="BK338" i="7"/>
  <c r="AA320" i="7"/>
  <c r="BD319" i="7"/>
  <c r="AS318" i="7"/>
  <c r="P319" i="7"/>
  <c r="S320" i="7"/>
  <c r="AV319" i="7"/>
  <c r="BE318" i="7"/>
  <c r="AB319" i="7"/>
  <c r="BJ319" i="7"/>
  <c r="AG320" i="7"/>
  <c r="BL318" i="7"/>
  <c r="AI319" i="7"/>
  <c r="BA318" i="7"/>
  <c r="X319" i="7"/>
  <c r="BR319" i="7"/>
  <c r="AO320" i="7"/>
  <c r="J94" i="7"/>
  <c r="BL162" i="7"/>
  <c r="AI163" i="7"/>
  <c r="AO143" i="7"/>
  <c r="BR142" i="7"/>
  <c r="AR141" i="7"/>
  <c r="BU140" i="7"/>
  <c r="AQ96" i="7"/>
  <c r="BT95" i="7"/>
  <c r="AE158" i="7"/>
  <c r="BH157" i="7"/>
  <c r="AQ140" i="7"/>
  <c r="BT139" i="7"/>
  <c r="J139" i="7" s="1"/>
  <c r="L161" i="7"/>
  <c r="A160" i="7"/>
  <c r="AR97" i="7"/>
  <c r="BU96" i="7"/>
  <c r="AO98" i="7"/>
  <c r="BR97" i="7"/>
  <c r="A255" i="7"/>
  <c r="R143" i="7"/>
  <c r="AU142" i="7"/>
  <c r="BC142" i="7"/>
  <c r="Z143" i="7"/>
  <c r="AZ142" i="7"/>
  <c r="W143" i="7"/>
  <c r="S143" i="7"/>
  <c r="AV142" i="7"/>
  <c r="BD142" i="7"/>
  <c r="AA143" i="7"/>
  <c r="T143" i="7"/>
  <c r="AW142" i="7"/>
  <c r="BA142" i="7"/>
  <c r="X143" i="7"/>
  <c r="BB142" i="7"/>
  <c r="Y143" i="7"/>
  <c r="V143" i="7"/>
  <c r="AY142" i="7"/>
  <c r="U143" i="7"/>
  <c r="AX142" i="7"/>
  <c r="P143" i="7"/>
  <c r="AS142" i="7"/>
  <c r="AT142" i="7"/>
  <c r="Q143" i="7"/>
  <c r="AP163" i="7"/>
  <c r="BS163" i="7" s="1"/>
  <c r="AS99" i="7"/>
  <c r="AV97" i="7"/>
  <c r="BD98" i="7"/>
  <c r="BC99" i="7"/>
  <c r="AU95" i="7"/>
  <c r="AY95" i="7"/>
  <c r="O37" i="6"/>
  <c r="C37" i="6" s="1"/>
  <c r="M37" i="6"/>
  <c r="E37" i="6" s="1"/>
  <c r="B37" i="6"/>
  <c r="A37" i="6"/>
  <c r="O36" i="6"/>
  <c r="C36" i="6" s="1"/>
  <c r="M36" i="6"/>
  <c r="E36" i="6" s="1"/>
  <c r="B36" i="6"/>
  <c r="A36" i="6"/>
  <c r="O35" i="6"/>
  <c r="C35" i="6" s="1"/>
  <c r="M35" i="6"/>
  <c r="E35" i="6" s="1"/>
  <c r="B35" i="6"/>
  <c r="A35" i="6"/>
  <c r="O34" i="6"/>
  <c r="C34" i="6" s="1"/>
  <c r="M34" i="6"/>
  <c r="E34" i="6" s="1"/>
  <c r="B34" i="6"/>
  <c r="A34" i="6"/>
  <c r="O33" i="6"/>
  <c r="C33" i="6" s="1"/>
  <c r="M33" i="6"/>
  <c r="E33" i="6" s="1"/>
  <c r="B33" i="6"/>
  <c r="A33" i="6"/>
  <c r="O32" i="6"/>
  <c r="C32" i="6" s="1"/>
  <c r="M32" i="6"/>
  <c r="E32" i="6" s="1"/>
  <c r="B32" i="6"/>
  <c r="A32" i="6"/>
  <c r="O31" i="6"/>
  <c r="C31" i="6" s="1"/>
  <c r="M31" i="6"/>
  <c r="E31" i="6" s="1"/>
  <c r="B31" i="6"/>
  <c r="A31" i="6"/>
  <c r="O30" i="6"/>
  <c r="C30" i="6" s="1"/>
  <c r="M30" i="6"/>
  <c r="E30" i="6" s="1"/>
  <c r="B30" i="6"/>
  <c r="A30" i="6"/>
  <c r="O29" i="6"/>
  <c r="C29" i="6" s="1"/>
  <c r="M29" i="6"/>
  <c r="E29" i="6" s="1"/>
  <c r="B29" i="6"/>
  <c r="A29" i="6"/>
  <c r="BU317" i="7" l="1"/>
  <c r="J317" i="7" s="1"/>
  <c r="AR318" i="7"/>
  <c r="AA321" i="7"/>
  <c r="BD320" i="7"/>
  <c r="BH319" i="7"/>
  <c r="AE320" i="7"/>
  <c r="AI320" i="7"/>
  <c r="BL319" i="7"/>
  <c r="BE319" i="7"/>
  <c r="AB320" i="7"/>
  <c r="AS319" i="7"/>
  <c r="P320" i="7"/>
  <c r="AT320" i="7"/>
  <c r="Q321" i="7"/>
  <c r="BG341" i="7"/>
  <c r="AD342" i="7"/>
  <c r="AX320" i="7"/>
  <c r="U321" i="7"/>
  <c r="BK339" i="7"/>
  <c r="AH340" i="7"/>
  <c r="AQ321" i="7"/>
  <c r="BT320" i="7"/>
  <c r="BC339" i="7"/>
  <c r="Z340" i="7"/>
  <c r="BS339" i="7"/>
  <c r="AP340" i="7"/>
  <c r="V340" i="7"/>
  <c r="AY339" i="7"/>
  <c r="S321" i="7"/>
  <c r="AV320" i="7"/>
  <c r="AU340" i="7"/>
  <c r="R341" i="7"/>
  <c r="AL340" i="7"/>
  <c r="BO339" i="7"/>
  <c r="AZ319" i="7"/>
  <c r="W320" i="7"/>
  <c r="BP319" i="7"/>
  <c r="AM320" i="7"/>
  <c r="BR320" i="7"/>
  <c r="AO321" i="7"/>
  <c r="A321" i="7"/>
  <c r="BM319" i="7"/>
  <c r="AJ320" i="7"/>
  <c r="BA319" i="7"/>
  <c r="X320" i="7"/>
  <c r="BJ320" i="7"/>
  <c r="AG321" i="7"/>
  <c r="BN320" i="7"/>
  <c r="AK321" i="7"/>
  <c r="BQ319" i="7"/>
  <c r="AN320" i="7"/>
  <c r="AW319" i="7"/>
  <c r="T320" i="7"/>
  <c r="BB320" i="7"/>
  <c r="Y321" i="7"/>
  <c r="BF320" i="7"/>
  <c r="AC321" i="7"/>
  <c r="BI319" i="7"/>
  <c r="AF320" i="7"/>
  <c r="J95" i="7"/>
  <c r="BL163" i="7"/>
  <c r="AI164" i="7"/>
  <c r="AO144" i="7"/>
  <c r="BR143" i="7"/>
  <c r="AQ97" i="7"/>
  <c r="BT96" i="7"/>
  <c r="AQ141" i="7"/>
  <c r="BT140" i="7"/>
  <c r="J140" i="7" s="1"/>
  <c r="AR142" i="7"/>
  <c r="BU141" i="7"/>
  <c r="AO99" i="7"/>
  <c r="BR98" i="7"/>
  <c r="AE159" i="7"/>
  <c r="BH158" i="7"/>
  <c r="AR98" i="7"/>
  <c r="BU97" i="7"/>
  <c r="L162" i="7"/>
  <c r="A161" i="7"/>
  <c r="BA143" i="7"/>
  <c r="X144" i="7"/>
  <c r="Z144" i="7"/>
  <c r="BC143" i="7"/>
  <c r="AW143" i="7"/>
  <c r="T144" i="7"/>
  <c r="S144" i="7"/>
  <c r="AV143" i="7"/>
  <c r="AA144" i="7"/>
  <c r="BD143" i="7"/>
  <c r="AZ143" i="7"/>
  <c r="W144" i="7"/>
  <c r="BB143" i="7"/>
  <c r="Y144" i="7"/>
  <c r="R144" i="7"/>
  <c r="AU143" i="7"/>
  <c r="AY143" i="7"/>
  <c r="V144" i="7"/>
  <c r="AX143" i="7"/>
  <c r="U144" i="7"/>
  <c r="P144" i="7"/>
  <c r="AS143" i="7"/>
  <c r="Q144" i="7"/>
  <c r="AT143" i="7"/>
  <c r="AP164" i="7"/>
  <c r="BS164" i="7" s="1"/>
  <c r="AV98" i="7"/>
  <c r="BD99" i="7"/>
  <c r="AS100" i="7"/>
  <c r="AS101" i="7"/>
  <c r="BC101" i="7"/>
  <c r="BC100" i="7"/>
  <c r="AU96" i="7"/>
  <c r="AY96" i="7"/>
  <c r="B17" i="6"/>
  <c r="B18" i="6"/>
  <c r="B19" i="6"/>
  <c r="B20" i="6"/>
  <c r="B21" i="6"/>
  <c r="B22" i="6"/>
  <c r="B23" i="6"/>
  <c r="B24" i="6"/>
  <c r="B25" i="6"/>
  <c r="B26" i="6"/>
  <c r="B27" i="6"/>
  <c r="B28" i="6"/>
  <c r="B16" i="6"/>
  <c r="BU318" i="7" l="1"/>
  <c r="J318" i="7" s="1"/>
  <c r="AR319" i="7"/>
  <c r="AY340" i="7"/>
  <c r="V341" i="7"/>
  <c r="AT321" i="7"/>
  <c r="Q322" i="7"/>
  <c r="BE320" i="7"/>
  <c r="AB321" i="7"/>
  <c r="AW320" i="7"/>
  <c r="T321" i="7"/>
  <c r="BA320" i="7"/>
  <c r="X321" i="7"/>
  <c r="A322" i="7"/>
  <c r="BP320" i="7"/>
  <c r="AM321" i="7"/>
  <c r="BS340" i="7"/>
  <c r="AP341" i="7"/>
  <c r="BO340" i="7"/>
  <c r="AL341" i="7"/>
  <c r="AV321" i="7"/>
  <c r="S322" i="7"/>
  <c r="BT321" i="7"/>
  <c r="AQ322" i="7"/>
  <c r="AX321" i="7"/>
  <c r="U322" i="7"/>
  <c r="BG342" i="7"/>
  <c r="AD343" i="7"/>
  <c r="AS320" i="7"/>
  <c r="P321" i="7"/>
  <c r="BH320" i="7"/>
  <c r="AE321" i="7"/>
  <c r="BF321" i="7"/>
  <c r="AC322" i="7"/>
  <c r="BN321" i="7"/>
  <c r="AK322" i="7"/>
  <c r="BI320" i="7"/>
  <c r="AF321" i="7"/>
  <c r="BB321" i="7"/>
  <c r="Y322" i="7"/>
  <c r="BQ320" i="7"/>
  <c r="AN321" i="7"/>
  <c r="BJ321" i="7"/>
  <c r="AG322" i="7"/>
  <c r="BM320" i="7"/>
  <c r="AJ321" i="7"/>
  <c r="BR321" i="7"/>
  <c r="AO322" i="7"/>
  <c r="AZ320" i="7"/>
  <c r="W321" i="7"/>
  <c r="AU341" i="7"/>
  <c r="R342" i="7"/>
  <c r="BC340" i="7"/>
  <c r="Z341" i="7"/>
  <c r="BK340" i="7"/>
  <c r="AH341" i="7"/>
  <c r="AI321" i="7"/>
  <c r="BL320" i="7"/>
  <c r="BD321" i="7"/>
  <c r="AA322" i="7"/>
  <c r="J96" i="7"/>
  <c r="BL164" i="7"/>
  <c r="AI165" i="7"/>
  <c r="AO145" i="7"/>
  <c r="BR144" i="7"/>
  <c r="AO100" i="7"/>
  <c r="BR99" i="7"/>
  <c r="L163" i="7"/>
  <c r="A162" i="7"/>
  <c r="AR143" i="7"/>
  <c r="BU142" i="7"/>
  <c r="AE160" i="7"/>
  <c r="BH159" i="7"/>
  <c r="AQ98" i="7"/>
  <c r="BT97" i="7"/>
  <c r="AR99" i="7"/>
  <c r="BU98" i="7"/>
  <c r="AQ142" i="7"/>
  <c r="BT141" i="7"/>
  <c r="J141" i="7" s="1"/>
  <c r="AU144" i="7"/>
  <c r="R145" i="7"/>
  <c r="BB144" i="7"/>
  <c r="Y145" i="7"/>
  <c r="BC144" i="7"/>
  <c r="Z145" i="7"/>
  <c r="AZ144" i="7"/>
  <c r="W145" i="7"/>
  <c r="X145" i="7"/>
  <c r="BA144" i="7"/>
  <c r="S145" i="7"/>
  <c r="AV144" i="7"/>
  <c r="T145" i="7"/>
  <c r="AW144" i="7"/>
  <c r="BD144" i="7"/>
  <c r="AA145" i="7"/>
  <c r="V145" i="7"/>
  <c r="AY144" i="7"/>
  <c r="U145" i="7"/>
  <c r="AX144" i="7"/>
  <c r="AS144" i="7"/>
  <c r="P145" i="7"/>
  <c r="AT144" i="7"/>
  <c r="Q145" i="7"/>
  <c r="AP165" i="7"/>
  <c r="BS165" i="7" s="1"/>
  <c r="BD100" i="7"/>
  <c r="BD101" i="7"/>
  <c r="AV99" i="7"/>
  <c r="AY97" i="7"/>
  <c r="AU97" i="7"/>
  <c r="M28" i="6"/>
  <c r="E28" i="6" s="1"/>
  <c r="M27" i="6"/>
  <c r="E27" i="6" s="1"/>
  <c r="M26" i="6"/>
  <c r="E26" i="6" s="1"/>
  <c r="M24" i="6"/>
  <c r="E24" i="6" s="1"/>
  <c r="M23" i="6"/>
  <c r="E23" i="6" s="1"/>
  <c r="M22" i="6"/>
  <c r="E22" i="6" s="1"/>
  <c r="M21" i="6"/>
  <c r="E21" i="6" s="1"/>
  <c r="M20" i="6"/>
  <c r="E20" i="6" s="1"/>
  <c r="M19" i="6"/>
  <c r="E19" i="6" s="1"/>
  <c r="M18" i="6"/>
  <c r="E18" i="6" s="1"/>
  <c r="M17" i="6"/>
  <c r="E17" i="6" s="1"/>
  <c r="M16" i="6"/>
  <c r="E16" i="6" s="1"/>
  <c r="A38" i="6"/>
  <c r="O28" i="6"/>
  <c r="A28" i="6"/>
  <c r="O27" i="6"/>
  <c r="A27" i="6"/>
  <c r="O26" i="6"/>
  <c r="A26" i="6"/>
  <c r="O25" i="6"/>
  <c r="M25" i="6"/>
  <c r="E25" i="6" s="1"/>
  <c r="A25" i="6"/>
  <c r="O24" i="6"/>
  <c r="A24" i="6"/>
  <c r="O23" i="6"/>
  <c r="A23" i="6"/>
  <c r="O22" i="6"/>
  <c r="A22" i="6"/>
  <c r="O21" i="6"/>
  <c r="A21" i="6"/>
  <c r="O20" i="6"/>
  <c r="A20" i="6"/>
  <c r="O19" i="6"/>
  <c r="A19" i="6"/>
  <c r="O18" i="6"/>
  <c r="A18" i="6"/>
  <c r="AA17" i="6"/>
  <c r="AA18" i="6" s="1"/>
  <c r="AA19" i="6" s="1"/>
  <c r="AA20" i="6" s="1"/>
  <c r="AA21" i="6" s="1"/>
  <c r="AA22" i="6" s="1"/>
  <c r="AA23" i="6" s="1"/>
  <c r="AA24" i="6" s="1"/>
  <c r="AA25" i="6" s="1"/>
  <c r="AA26" i="6" s="1"/>
  <c r="AA27" i="6" s="1"/>
  <c r="AA28" i="6" s="1"/>
  <c r="AA29" i="6" s="1"/>
  <c r="AA30" i="6" s="1"/>
  <c r="AA31" i="6" s="1"/>
  <c r="AA32" i="6" s="1"/>
  <c r="AA33" i="6" s="1"/>
  <c r="AA34" i="6" s="1"/>
  <c r="AA35" i="6" s="1"/>
  <c r="AA36" i="6" s="1"/>
  <c r="AA37" i="6" s="1"/>
  <c r="Z17" i="6"/>
  <c r="Z18" i="6" s="1"/>
  <c r="Z19" i="6" s="1"/>
  <c r="Z20" i="6" s="1"/>
  <c r="Z21" i="6" s="1"/>
  <c r="Z22" i="6" s="1"/>
  <c r="Z23" i="6" s="1"/>
  <c r="Z24" i="6" s="1"/>
  <c r="Z25" i="6" s="1"/>
  <c r="Z26" i="6" s="1"/>
  <c r="Z27" i="6" s="1"/>
  <c r="Z28" i="6" s="1"/>
  <c r="Z29" i="6" s="1"/>
  <c r="Z30" i="6" s="1"/>
  <c r="Z31" i="6" s="1"/>
  <c r="Z32" i="6" s="1"/>
  <c r="Z33" i="6" s="1"/>
  <c r="Z34" i="6" s="1"/>
  <c r="Z35" i="6" s="1"/>
  <c r="Z36" i="6" s="1"/>
  <c r="Z37" i="6" s="1"/>
  <c r="Y17" i="6"/>
  <c r="Y18" i="6" s="1"/>
  <c r="Y19" i="6" s="1"/>
  <c r="Y20" i="6" s="1"/>
  <c r="Y21" i="6" s="1"/>
  <c r="Y22" i="6" s="1"/>
  <c r="Y23" i="6" s="1"/>
  <c r="Y24" i="6" s="1"/>
  <c r="Y25" i="6" s="1"/>
  <c r="Y26" i="6" s="1"/>
  <c r="Y27" i="6" s="1"/>
  <c r="Y28" i="6" s="1"/>
  <c r="Y29" i="6" s="1"/>
  <c r="Y30" i="6" s="1"/>
  <c r="Y31" i="6" s="1"/>
  <c r="Y32" i="6" s="1"/>
  <c r="Y33" i="6" s="1"/>
  <c r="Y34" i="6" s="1"/>
  <c r="Y35" i="6" s="1"/>
  <c r="Y36" i="6" s="1"/>
  <c r="Y37" i="6" s="1"/>
  <c r="V17" i="6"/>
  <c r="V18" i="6" s="1"/>
  <c r="V19" i="6" s="1"/>
  <c r="V20" i="6" s="1"/>
  <c r="V21" i="6" s="1"/>
  <c r="V22" i="6" s="1"/>
  <c r="V23" i="6" s="1"/>
  <c r="V24" i="6" s="1"/>
  <c r="V25" i="6" s="1"/>
  <c r="V26" i="6" s="1"/>
  <c r="V27" i="6" s="1"/>
  <c r="V28" i="6" s="1"/>
  <c r="V29" i="6" s="1"/>
  <c r="V30" i="6" s="1"/>
  <c r="V31" i="6" s="1"/>
  <c r="V32" i="6" s="1"/>
  <c r="V33" i="6" s="1"/>
  <c r="V34" i="6" s="1"/>
  <c r="V35" i="6" s="1"/>
  <c r="V36" i="6" s="1"/>
  <c r="V37" i="6" s="1"/>
  <c r="U17" i="6"/>
  <c r="U18" i="6" s="1"/>
  <c r="U19" i="6" s="1"/>
  <c r="U20" i="6" s="1"/>
  <c r="U21" i="6" s="1"/>
  <c r="U22" i="6" s="1"/>
  <c r="U23" i="6" s="1"/>
  <c r="U24" i="6" s="1"/>
  <c r="U25" i="6" s="1"/>
  <c r="U26" i="6" s="1"/>
  <c r="U27" i="6" s="1"/>
  <c r="U28" i="6" s="1"/>
  <c r="U29" i="6" s="1"/>
  <c r="U30" i="6" s="1"/>
  <c r="U31" i="6" s="1"/>
  <c r="U32" i="6" s="1"/>
  <c r="U33" i="6" s="1"/>
  <c r="U34" i="6" s="1"/>
  <c r="U35" i="6" s="1"/>
  <c r="U36" i="6" s="1"/>
  <c r="U37" i="6" s="1"/>
  <c r="T17" i="6"/>
  <c r="T18" i="6" s="1"/>
  <c r="T19" i="6" s="1"/>
  <c r="T20" i="6" s="1"/>
  <c r="T21" i="6" s="1"/>
  <c r="T22" i="6" s="1"/>
  <c r="T23" i="6" s="1"/>
  <c r="T24" i="6" s="1"/>
  <c r="T25" i="6" s="1"/>
  <c r="T26" i="6" s="1"/>
  <c r="T27" i="6" s="1"/>
  <c r="T28" i="6" s="1"/>
  <c r="T29" i="6" s="1"/>
  <c r="T30" i="6" s="1"/>
  <c r="T31" i="6" s="1"/>
  <c r="T32" i="6" s="1"/>
  <c r="T33" i="6" s="1"/>
  <c r="T34" i="6" s="1"/>
  <c r="T35" i="6" s="1"/>
  <c r="T36" i="6" s="1"/>
  <c r="T37" i="6" s="1"/>
  <c r="S17" i="6"/>
  <c r="S18" i="6" s="1"/>
  <c r="S19" i="6" s="1"/>
  <c r="S20" i="6" s="1"/>
  <c r="S21" i="6" s="1"/>
  <c r="S22" i="6" s="1"/>
  <c r="S23" i="6" s="1"/>
  <c r="S24" i="6" s="1"/>
  <c r="S25" i="6" s="1"/>
  <c r="S26" i="6" s="1"/>
  <c r="S27" i="6" s="1"/>
  <c r="S28" i="6" s="1"/>
  <c r="S29" i="6" s="1"/>
  <c r="S30" i="6" s="1"/>
  <c r="S31" i="6" s="1"/>
  <c r="S32" i="6" s="1"/>
  <c r="S33" i="6" s="1"/>
  <c r="S34" i="6" s="1"/>
  <c r="S35" i="6" s="1"/>
  <c r="S36" i="6" s="1"/>
  <c r="S37" i="6" s="1"/>
  <c r="R17" i="6"/>
  <c r="R18" i="6" s="1"/>
  <c r="R19" i="6" s="1"/>
  <c r="R20" i="6" s="1"/>
  <c r="R21" i="6" s="1"/>
  <c r="R22" i="6" s="1"/>
  <c r="R23" i="6" s="1"/>
  <c r="R24" i="6" s="1"/>
  <c r="R25" i="6" s="1"/>
  <c r="R26" i="6" s="1"/>
  <c r="R27" i="6" s="1"/>
  <c r="R28" i="6" s="1"/>
  <c r="R29" i="6" s="1"/>
  <c r="R30" i="6" s="1"/>
  <c r="R31" i="6" s="1"/>
  <c r="R32" i="6" s="1"/>
  <c r="R33" i="6" s="1"/>
  <c r="R34" i="6" s="1"/>
  <c r="R35" i="6" s="1"/>
  <c r="R36" i="6" s="1"/>
  <c r="R37" i="6" s="1"/>
  <c r="Q17" i="6"/>
  <c r="Q18" i="6" s="1"/>
  <c r="Q19" i="6" s="1"/>
  <c r="Q20" i="6" s="1"/>
  <c r="Q21" i="6" s="1"/>
  <c r="Q22" i="6" s="1"/>
  <c r="Q23" i="6" s="1"/>
  <c r="Q24" i="6" s="1"/>
  <c r="Q25" i="6" s="1"/>
  <c r="Q26" i="6" s="1"/>
  <c r="Q27" i="6" s="1"/>
  <c r="Q28" i="6" s="1"/>
  <c r="Q29" i="6" s="1"/>
  <c r="Q30" i="6" s="1"/>
  <c r="Q31" i="6" s="1"/>
  <c r="Q32" i="6" s="1"/>
  <c r="Q33" i="6" s="1"/>
  <c r="Q34" i="6" s="1"/>
  <c r="Q35" i="6" s="1"/>
  <c r="Q36" i="6" s="1"/>
  <c r="Q37" i="6" s="1"/>
  <c r="P17" i="6"/>
  <c r="P18" i="6" s="1"/>
  <c r="P19" i="6" s="1"/>
  <c r="O17" i="6"/>
  <c r="A17" i="6"/>
  <c r="AD16" i="6"/>
  <c r="AD17" i="6" s="1"/>
  <c r="AD18" i="6" s="1"/>
  <c r="AD19" i="6" s="1"/>
  <c r="AD20" i="6" s="1"/>
  <c r="AD21" i="6" s="1"/>
  <c r="AD22" i="6" s="1"/>
  <c r="AD23" i="6" s="1"/>
  <c r="AD24" i="6" s="1"/>
  <c r="AD25" i="6" s="1"/>
  <c r="AD26" i="6" s="1"/>
  <c r="AD27" i="6" s="1"/>
  <c r="AD28" i="6" s="1"/>
  <c r="AD29" i="6" s="1"/>
  <c r="AD30" i="6" s="1"/>
  <c r="AD31" i="6" s="1"/>
  <c r="AD32" i="6" s="1"/>
  <c r="AD33" i="6" s="1"/>
  <c r="AD34" i="6" s="1"/>
  <c r="AD35" i="6" s="1"/>
  <c r="AD36" i="6" s="1"/>
  <c r="AD37" i="6" s="1"/>
  <c r="AC16" i="6"/>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AC37" i="6" s="1"/>
  <c r="AB16" i="6"/>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AB37" i="6" s="1"/>
  <c r="O16" i="6"/>
  <c r="A16" i="6"/>
  <c r="J13" i="6"/>
  <c r="I13" i="6"/>
  <c r="H13" i="6"/>
  <c r="G13" i="6"/>
  <c r="F13" i="6"/>
  <c r="E13" i="6"/>
  <c r="D13" i="6"/>
  <c r="C13" i="6"/>
  <c r="B13" i="6"/>
  <c r="AD12" i="6"/>
  <c r="AC12" i="6"/>
  <c r="AB12" i="6"/>
  <c r="AA12" i="6"/>
  <c r="Z12" i="6"/>
  <c r="Y12" i="6"/>
  <c r="V12" i="6"/>
  <c r="U12" i="6"/>
  <c r="T12" i="6"/>
  <c r="S12" i="6"/>
  <c r="R12" i="6"/>
  <c r="Q12" i="6"/>
  <c r="M9" i="6"/>
  <c r="B9" i="6"/>
  <c r="BU319" i="7" l="1"/>
  <c r="J319" i="7" s="1"/>
  <c r="AR320" i="7"/>
  <c r="BK341" i="7"/>
  <c r="AH342" i="7"/>
  <c r="AU342" i="7"/>
  <c r="R343" i="7"/>
  <c r="BR322" i="7"/>
  <c r="AO323" i="7"/>
  <c r="BJ322" i="7"/>
  <c r="AG323" i="7"/>
  <c r="BB322" i="7"/>
  <c r="Y323" i="7"/>
  <c r="BN322" i="7"/>
  <c r="AK323" i="7"/>
  <c r="AE322" i="7"/>
  <c r="BH321" i="7"/>
  <c r="BG343" i="7"/>
  <c r="AD344" i="7"/>
  <c r="BT322" i="7"/>
  <c r="AQ323" i="7"/>
  <c r="BO341" i="7"/>
  <c r="AL342" i="7"/>
  <c r="AM322" i="7"/>
  <c r="BP321" i="7"/>
  <c r="BA321" i="7"/>
  <c r="X322" i="7"/>
  <c r="BE321" i="7"/>
  <c r="AB322" i="7"/>
  <c r="BL321" i="7"/>
  <c r="AI322" i="7"/>
  <c r="BC341" i="7"/>
  <c r="Z342" i="7"/>
  <c r="W322" i="7"/>
  <c r="AZ321" i="7"/>
  <c r="BM321" i="7"/>
  <c r="AJ322" i="7"/>
  <c r="BQ321" i="7"/>
  <c r="AN322" i="7"/>
  <c r="BI321" i="7"/>
  <c r="AF322" i="7"/>
  <c r="BF322" i="7"/>
  <c r="AC323" i="7"/>
  <c r="AS321" i="7"/>
  <c r="P322" i="7"/>
  <c r="AX322" i="7"/>
  <c r="U323" i="7"/>
  <c r="AV322" i="7"/>
  <c r="S323" i="7"/>
  <c r="BS341" i="7"/>
  <c r="AP342" i="7"/>
  <c r="A323" i="7"/>
  <c r="AW321" i="7"/>
  <c r="T322" i="7"/>
  <c r="AT322" i="7"/>
  <c r="Q323" i="7"/>
  <c r="AY341" i="7"/>
  <c r="V342" i="7"/>
  <c r="BD322" i="7"/>
  <c r="AA323" i="7"/>
  <c r="J97" i="7"/>
  <c r="J16" i="6"/>
  <c r="AI166" i="7"/>
  <c r="BL165" i="7"/>
  <c r="AO146" i="7"/>
  <c r="BR145" i="7"/>
  <c r="AR144" i="7"/>
  <c r="BU143" i="7"/>
  <c r="AQ99" i="7"/>
  <c r="BT98" i="7"/>
  <c r="AE161" i="7"/>
  <c r="BH160" i="7"/>
  <c r="AO101" i="7"/>
  <c r="BR100" i="7"/>
  <c r="AR100" i="7"/>
  <c r="BU99" i="7"/>
  <c r="L164" i="7"/>
  <c r="A163" i="7"/>
  <c r="AQ143" i="7"/>
  <c r="BT142" i="7"/>
  <c r="J142" i="7" s="1"/>
  <c r="AW145" i="7"/>
  <c r="T146" i="7"/>
  <c r="Z146" i="7"/>
  <c r="BC145" i="7"/>
  <c r="S146" i="7"/>
  <c r="AV145" i="7"/>
  <c r="Y146" i="7"/>
  <c r="BB145" i="7"/>
  <c r="X146" i="7"/>
  <c r="BA145" i="7"/>
  <c r="AU145" i="7"/>
  <c r="R146" i="7"/>
  <c r="BD145" i="7"/>
  <c r="AA146" i="7"/>
  <c r="W146" i="7"/>
  <c r="AZ145" i="7"/>
  <c r="AY145" i="7"/>
  <c r="V146" i="7"/>
  <c r="U146" i="7"/>
  <c r="AX145" i="7"/>
  <c r="P146" i="7"/>
  <c r="AS145" i="7"/>
  <c r="AT145" i="7"/>
  <c r="Q146" i="7"/>
  <c r="AP166" i="7"/>
  <c r="BS166" i="7" s="1"/>
  <c r="AV100" i="7"/>
  <c r="AV101" i="7"/>
  <c r="AY98" i="7"/>
  <c r="AU98" i="7"/>
  <c r="C27" i="6"/>
  <c r="P20" i="6"/>
  <c r="J19" i="6"/>
  <c r="J17" i="6"/>
  <c r="C20" i="6"/>
  <c r="C24" i="6"/>
  <c r="C28" i="6"/>
  <c r="C17" i="6"/>
  <c r="J18" i="6"/>
  <c r="C21" i="6"/>
  <c r="C25" i="6"/>
  <c r="M12" i="6"/>
  <c r="C16" i="6"/>
  <c r="C18" i="6"/>
  <c r="C22" i="6"/>
  <c r="C26" i="6"/>
  <c r="C19" i="6"/>
  <c r="C23" i="6"/>
  <c r="O30" i="1"/>
  <c r="M17" i="1"/>
  <c r="M19" i="1"/>
  <c r="M21" i="1"/>
  <c r="M22" i="1"/>
  <c r="M23" i="1"/>
  <c r="M24" i="1"/>
  <c r="M25" i="1"/>
  <c r="M26" i="1"/>
  <c r="M27" i="1"/>
  <c r="M28" i="1"/>
  <c r="M29" i="1"/>
  <c r="M30" i="1"/>
  <c r="M16" i="1"/>
  <c r="BU320" i="7" l="1"/>
  <c r="J320" i="7" s="1"/>
  <c r="AR321" i="7"/>
  <c r="AA324" i="7"/>
  <c r="BD323" i="7"/>
  <c r="AT323" i="7"/>
  <c r="Q324" i="7"/>
  <c r="A324" i="7"/>
  <c r="S324" i="7"/>
  <c r="AV323" i="7"/>
  <c r="AS322" i="7"/>
  <c r="P323" i="7"/>
  <c r="BI322" i="7"/>
  <c r="AF323" i="7"/>
  <c r="BM322" i="7"/>
  <c r="AJ323" i="7"/>
  <c r="BC342" i="7"/>
  <c r="Z343" i="7"/>
  <c r="BA322" i="7"/>
  <c r="X323" i="7"/>
  <c r="BO342" i="7"/>
  <c r="AL343" i="7"/>
  <c r="BG344" i="7"/>
  <c r="AD345" i="7"/>
  <c r="BN323" i="7"/>
  <c r="AK324" i="7"/>
  <c r="BJ323" i="7"/>
  <c r="AG324" i="7"/>
  <c r="AU343" i="7"/>
  <c r="R344" i="7"/>
  <c r="AY342" i="7"/>
  <c r="V343" i="7"/>
  <c r="AW322" i="7"/>
  <c r="T323" i="7"/>
  <c r="BS342" i="7"/>
  <c r="AP343" i="7"/>
  <c r="AX323" i="7"/>
  <c r="U324" i="7"/>
  <c r="BF323" i="7"/>
  <c r="AC324" i="7"/>
  <c r="BQ322" i="7"/>
  <c r="AN323" i="7"/>
  <c r="BL322" i="7"/>
  <c r="AI323" i="7"/>
  <c r="BE322" i="7"/>
  <c r="AB323" i="7"/>
  <c r="AQ324" i="7"/>
  <c r="BT323" i="7"/>
  <c r="BB323" i="7"/>
  <c r="Y324" i="7"/>
  <c r="BR323" i="7"/>
  <c r="AO324" i="7"/>
  <c r="BK342" i="7"/>
  <c r="AH343" i="7"/>
  <c r="W323" i="7"/>
  <c r="AZ322" i="7"/>
  <c r="AM323" i="7"/>
  <c r="BP322" i="7"/>
  <c r="AE323" i="7"/>
  <c r="BH322" i="7"/>
  <c r="J98" i="7"/>
  <c r="AI167" i="7"/>
  <c r="BL166" i="7"/>
  <c r="AO147" i="7"/>
  <c r="BR146" i="7"/>
  <c r="AQ144" i="7"/>
  <c r="BT143" i="7"/>
  <c r="J143" i="7" s="1"/>
  <c r="AE162" i="7"/>
  <c r="BH161" i="7"/>
  <c r="L165" i="7"/>
  <c r="A164" i="7"/>
  <c r="AQ100" i="7"/>
  <c r="BT99" i="7"/>
  <c r="AR101" i="7"/>
  <c r="BU100" i="7"/>
  <c r="AR145" i="7"/>
  <c r="BU144" i="7"/>
  <c r="AO102" i="7"/>
  <c r="BR101" i="7"/>
  <c r="BB146" i="7"/>
  <c r="Y147" i="7"/>
  <c r="AA147" i="7"/>
  <c r="BD146" i="7"/>
  <c r="S147" i="7"/>
  <c r="AV146" i="7"/>
  <c r="AZ146" i="7"/>
  <c r="W147" i="7"/>
  <c r="R147" i="7"/>
  <c r="AU146" i="7"/>
  <c r="T147" i="7"/>
  <c r="AW146" i="7"/>
  <c r="Z147" i="7"/>
  <c r="BC146" i="7"/>
  <c r="BA146" i="7"/>
  <c r="X147" i="7"/>
  <c r="AY146" i="7"/>
  <c r="V147" i="7"/>
  <c r="AX146" i="7"/>
  <c r="U147" i="7"/>
  <c r="AS146" i="7"/>
  <c r="P147" i="7"/>
  <c r="AT146" i="7"/>
  <c r="Q147" i="7"/>
  <c r="AP167" i="7"/>
  <c r="BS167" i="7" s="1"/>
  <c r="AU99" i="7"/>
  <c r="AY99" i="7"/>
  <c r="D37" i="6"/>
  <c r="D35" i="6"/>
  <c r="D30" i="6"/>
  <c r="D33" i="6"/>
  <c r="D36" i="6"/>
  <c r="D32" i="6"/>
  <c r="D34" i="6"/>
  <c r="D31" i="6"/>
  <c r="D29" i="6"/>
  <c r="P21" i="6"/>
  <c r="J20" i="6"/>
  <c r="D26" i="6"/>
  <c r="D22" i="6"/>
  <c r="D18" i="6"/>
  <c r="D16" i="6"/>
  <c r="D25" i="6"/>
  <c r="D21" i="6"/>
  <c r="D17" i="6"/>
  <c r="D28" i="6"/>
  <c r="D24" i="6"/>
  <c r="D20" i="6"/>
  <c r="D27" i="6"/>
  <c r="D23" i="6"/>
  <c r="D19" i="6"/>
  <c r="A31" i="1"/>
  <c r="BU321" i="7" l="1"/>
  <c r="J321" i="7" s="1"/>
  <c r="AR322" i="7"/>
  <c r="BJ324" i="7"/>
  <c r="AG325" i="7"/>
  <c r="BA323" i="7"/>
  <c r="X324" i="7"/>
  <c r="BC343" i="7"/>
  <c r="Z344" i="7"/>
  <c r="BI323" i="7"/>
  <c r="AF324" i="7"/>
  <c r="AT324" i="7"/>
  <c r="Q325" i="7"/>
  <c r="BK343" i="7"/>
  <c r="AH344" i="7"/>
  <c r="BB324" i="7"/>
  <c r="Y325" i="7"/>
  <c r="BE323" i="7"/>
  <c r="AB324" i="7"/>
  <c r="BQ323" i="7"/>
  <c r="AN324" i="7"/>
  <c r="AX324" i="7"/>
  <c r="U325" i="7"/>
  <c r="AW323" i="7"/>
  <c r="T324" i="7"/>
  <c r="S325" i="7"/>
  <c r="AV324" i="7"/>
  <c r="BP323" i="7"/>
  <c r="AM324" i="7"/>
  <c r="AU344" i="7"/>
  <c r="R345" i="7"/>
  <c r="BN324" i="7"/>
  <c r="AK325" i="7"/>
  <c r="BO343" i="7"/>
  <c r="AL344" i="7"/>
  <c r="BM323" i="7"/>
  <c r="AJ324" i="7"/>
  <c r="AS323" i="7"/>
  <c r="P324" i="7"/>
  <c r="A325" i="7"/>
  <c r="BH323" i="7"/>
  <c r="AE324" i="7"/>
  <c r="AZ323" i="7"/>
  <c r="W324" i="7"/>
  <c r="AQ325" i="7"/>
  <c r="BT324" i="7"/>
  <c r="BG345" i="7"/>
  <c r="AD346" i="7"/>
  <c r="BR324" i="7"/>
  <c r="AO325" i="7"/>
  <c r="AI324" i="7"/>
  <c r="BL323" i="7"/>
  <c r="BF324" i="7"/>
  <c r="AC325" i="7"/>
  <c r="BS343" i="7"/>
  <c r="AP344" i="7"/>
  <c r="AY343" i="7"/>
  <c r="V344" i="7"/>
  <c r="AA325" i="7"/>
  <c r="BD324" i="7"/>
  <c r="J99" i="7"/>
  <c r="AI168" i="7"/>
  <c r="BL167" i="7"/>
  <c r="AO148" i="7"/>
  <c r="BR147" i="7"/>
  <c r="AO103" i="7"/>
  <c r="BR102" i="7"/>
  <c r="L166" i="7"/>
  <c r="A165" i="7"/>
  <c r="AE163" i="7"/>
  <c r="BH162" i="7"/>
  <c r="AR102" i="7"/>
  <c r="BU101" i="7"/>
  <c r="AR146" i="7"/>
  <c r="BU145" i="7"/>
  <c r="AQ101" i="7"/>
  <c r="BT100" i="7"/>
  <c r="AQ145" i="7"/>
  <c r="BT144" i="7"/>
  <c r="J144" i="7" s="1"/>
  <c r="AW147" i="7"/>
  <c r="T148" i="7"/>
  <c r="BD147" i="7"/>
  <c r="AA148" i="7"/>
  <c r="AV147" i="7"/>
  <c r="S148" i="7"/>
  <c r="AU147" i="7"/>
  <c r="R148" i="7"/>
  <c r="BB147" i="7"/>
  <c r="Y148" i="7"/>
  <c r="BC147" i="7"/>
  <c r="Z148" i="7"/>
  <c r="X148" i="7"/>
  <c r="BA147" i="7"/>
  <c r="W148" i="7"/>
  <c r="AZ147" i="7"/>
  <c r="V148" i="7"/>
  <c r="AY147" i="7"/>
  <c r="U148" i="7"/>
  <c r="AX147" i="7"/>
  <c r="AS147" i="7"/>
  <c r="P148" i="7"/>
  <c r="Q148" i="7"/>
  <c r="AT147" i="7"/>
  <c r="AP168" i="7"/>
  <c r="BS168" i="7" s="1"/>
  <c r="AY101" i="7"/>
  <c r="AY100" i="7"/>
  <c r="AU101" i="7"/>
  <c r="AU100" i="7"/>
  <c r="P22" i="6"/>
  <c r="J21" i="6"/>
  <c r="O24" i="5"/>
  <c r="M24" i="5"/>
  <c r="E24" i="5" s="1"/>
  <c r="B24" i="5"/>
  <c r="A24" i="5"/>
  <c r="BU322" i="7" l="1"/>
  <c r="J322" i="7" s="1"/>
  <c r="AR323" i="7"/>
  <c r="BD325" i="7"/>
  <c r="AA326" i="7"/>
  <c r="BG346" i="7"/>
  <c r="AD347" i="7"/>
  <c r="AZ324" i="7"/>
  <c r="W325" i="7"/>
  <c r="A326" i="7"/>
  <c r="BM324" i="7"/>
  <c r="AJ325" i="7"/>
  <c r="BO344" i="7"/>
  <c r="AL345" i="7"/>
  <c r="AU345" i="7"/>
  <c r="R346" i="7"/>
  <c r="AX325" i="7"/>
  <c r="U326" i="7"/>
  <c r="BE324" i="7"/>
  <c r="AB325" i="7"/>
  <c r="BK344" i="7"/>
  <c r="AH345" i="7"/>
  <c r="BI324" i="7"/>
  <c r="AF325" i="7"/>
  <c r="BA324" i="7"/>
  <c r="X325" i="7"/>
  <c r="AI325" i="7"/>
  <c r="BL324" i="7"/>
  <c r="AV325" i="7"/>
  <c r="S326" i="7"/>
  <c r="AY344" i="7"/>
  <c r="V345" i="7"/>
  <c r="BF325" i="7"/>
  <c r="AC326" i="7"/>
  <c r="BR325" i="7"/>
  <c r="AO326" i="7"/>
  <c r="BH324" i="7"/>
  <c r="AE325" i="7"/>
  <c r="AS324" i="7"/>
  <c r="P325" i="7"/>
  <c r="BN325" i="7"/>
  <c r="AK326" i="7"/>
  <c r="BP324" i="7"/>
  <c r="AM325" i="7"/>
  <c r="AW324" i="7"/>
  <c r="T325" i="7"/>
  <c r="BQ324" i="7"/>
  <c r="AN325" i="7"/>
  <c r="BB325" i="7"/>
  <c r="Y326" i="7"/>
  <c r="AT325" i="7"/>
  <c r="Q326" i="7"/>
  <c r="BC344" i="7"/>
  <c r="Z345" i="7"/>
  <c r="BJ325" i="7"/>
  <c r="AG326" i="7"/>
  <c r="BS344" i="7"/>
  <c r="AP345" i="7"/>
  <c r="BT325" i="7"/>
  <c r="AQ326" i="7"/>
  <c r="J100" i="7"/>
  <c r="AI169" i="7"/>
  <c r="BL168" i="7"/>
  <c r="AO149" i="7"/>
  <c r="BR148" i="7"/>
  <c r="AR103" i="7"/>
  <c r="BU102" i="7"/>
  <c r="AE164" i="7"/>
  <c r="BH163" i="7"/>
  <c r="AR147" i="7"/>
  <c r="BU146" i="7"/>
  <c r="AQ146" i="7"/>
  <c r="BT145" i="7"/>
  <c r="J145" i="7" s="1"/>
  <c r="AQ102" i="7"/>
  <c r="BT101" i="7"/>
  <c r="J101" i="7" s="1"/>
  <c r="L167" i="7"/>
  <c r="A166" i="7"/>
  <c r="AO104" i="7"/>
  <c r="BR103" i="7"/>
  <c r="S149" i="7"/>
  <c r="AV148" i="7"/>
  <c r="BA148" i="7"/>
  <c r="X149" i="7"/>
  <c r="Z149" i="7"/>
  <c r="BC148" i="7"/>
  <c r="AA149" i="7"/>
  <c r="BD148" i="7"/>
  <c r="AZ148" i="7"/>
  <c r="W149" i="7"/>
  <c r="Y149" i="7"/>
  <c r="BB148" i="7"/>
  <c r="T149" i="7"/>
  <c r="AW148" i="7"/>
  <c r="AU148" i="7"/>
  <c r="R149" i="7"/>
  <c r="AY148" i="7"/>
  <c r="V149" i="7"/>
  <c r="AX148" i="7"/>
  <c r="U149" i="7"/>
  <c r="P149" i="7"/>
  <c r="AS148" i="7"/>
  <c r="AT148" i="7"/>
  <c r="Q149" i="7"/>
  <c r="AP169" i="7"/>
  <c r="BS169" i="7" s="1"/>
  <c r="P23" i="6"/>
  <c r="J22" i="6"/>
  <c r="B17" i="5"/>
  <c r="B18" i="5"/>
  <c r="B19" i="5"/>
  <c r="B20" i="5"/>
  <c r="B21" i="5"/>
  <c r="B22" i="5"/>
  <c r="B23" i="5"/>
  <c r="B25" i="5"/>
  <c r="B26" i="5"/>
  <c r="B27" i="5"/>
  <c r="B16" i="5"/>
  <c r="BU323" i="7" l="1"/>
  <c r="J323" i="7" s="1"/>
  <c r="AR324" i="7"/>
  <c r="BT326" i="7"/>
  <c r="AQ327" i="7"/>
  <c r="BJ326" i="7"/>
  <c r="AG327" i="7"/>
  <c r="AT326" i="7"/>
  <c r="Q327" i="7"/>
  <c r="BQ325" i="7"/>
  <c r="AN326" i="7"/>
  <c r="AM326" i="7"/>
  <c r="BP325" i="7"/>
  <c r="AE326" i="7"/>
  <c r="BH325" i="7"/>
  <c r="BF326" i="7"/>
  <c r="AC327" i="7"/>
  <c r="AV326" i="7"/>
  <c r="S327" i="7"/>
  <c r="BA325" i="7"/>
  <c r="X326" i="7"/>
  <c r="BK345" i="7"/>
  <c r="AH346" i="7"/>
  <c r="AX326" i="7"/>
  <c r="U327" i="7"/>
  <c r="BO345" i="7"/>
  <c r="AL346" i="7"/>
  <c r="A327" i="7"/>
  <c r="BG347" i="7"/>
  <c r="AD348" i="7"/>
  <c r="BS345" i="7"/>
  <c r="AP346" i="7"/>
  <c r="BC345" i="7"/>
  <c r="Z346" i="7"/>
  <c r="BB326" i="7"/>
  <c r="Y327" i="7"/>
  <c r="AW325" i="7"/>
  <c r="T326" i="7"/>
  <c r="BN326" i="7"/>
  <c r="AK327" i="7"/>
  <c r="AS325" i="7"/>
  <c r="P326" i="7"/>
  <c r="BR326" i="7"/>
  <c r="AO327" i="7"/>
  <c r="AY345" i="7"/>
  <c r="V346" i="7"/>
  <c r="BI325" i="7"/>
  <c r="AF326" i="7"/>
  <c r="BE325" i="7"/>
  <c r="AB326" i="7"/>
  <c r="AU346" i="7"/>
  <c r="R347" i="7"/>
  <c r="BM325" i="7"/>
  <c r="AJ326" i="7"/>
  <c r="W326" i="7"/>
  <c r="AZ325" i="7"/>
  <c r="BD326" i="7"/>
  <c r="AA327" i="7"/>
  <c r="BL325" i="7"/>
  <c r="AI326" i="7"/>
  <c r="AI170" i="7"/>
  <c r="BL169" i="7"/>
  <c r="AO150" i="7"/>
  <c r="BR149" i="7"/>
  <c r="L168" i="7"/>
  <c r="A167" i="7"/>
  <c r="AR148" i="7"/>
  <c r="BU147" i="7"/>
  <c r="BT102" i="7"/>
  <c r="J102" i="7" s="1"/>
  <c r="AQ103" i="7"/>
  <c r="AE165" i="7"/>
  <c r="BH164" i="7"/>
  <c r="AQ147" i="7"/>
  <c r="BT146" i="7"/>
  <c r="J146" i="7" s="1"/>
  <c r="AO105" i="7"/>
  <c r="AO106" i="7" s="1"/>
  <c r="BR104" i="7"/>
  <c r="AR104" i="7"/>
  <c r="BU103" i="7"/>
  <c r="BD149" i="7"/>
  <c r="AA150" i="7"/>
  <c r="T150" i="7"/>
  <c r="AW149" i="7"/>
  <c r="Z150" i="7"/>
  <c r="BC149" i="7"/>
  <c r="Y150" i="7"/>
  <c r="BB149" i="7"/>
  <c r="BA149" i="7"/>
  <c r="X150" i="7"/>
  <c r="W150" i="7"/>
  <c r="AZ149" i="7"/>
  <c r="R150" i="7"/>
  <c r="AU149" i="7"/>
  <c r="S150" i="7"/>
  <c r="AV149" i="7"/>
  <c r="V150" i="7"/>
  <c r="AY149" i="7"/>
  <c r="AX149" i="7"/>
  <c r="U150" i="7"/>
  <c r="P150" i="7"/>
  <c r="AS149" i="7"/>
  <c r="AT149" i="7"/>
  <c r="Q150" i="7"/>
  <c r="AP170" i="7"/>
  <c r="BS170" i="7" s="1"/>
  <c r="P24" i="6"/>
  <c r="J23" i="6"/>
  <c r="M16" i="5"/>
  <c r="E16" i="5" s="1"/>
  <c r="M17" i="5"/>
  <c r="E17" i="5" s="1"/>
  <c r="M18" i="5"/>
  <c r="E18" i="5" s="1"/>
  <c r="M19" i="5"/>
  <c r="E19" i="5" s="1"/>
  <c r="M20" i="5"/>
  <c r="E20" i="5" s="1"/>
  <c r="M21" i="5"/>
  <c r="M22" i="5"/>
  <c r="E22" i="5" s="1"/>
  <c r="M23" i="5"/>
  <c r="E23" i="5" s="1"/>
  <c r="M25" i="5"/>
  <c r="E25" i="5" s="1"/>
  <c r="M26" i="5"/>
  <c r="M27" i="5"/>
  <c r="E27" i="5" s="1"/>
  <c r="M11" i="5"/>
  <c r="C24" i="5" s="1"/>
  <c r="M9" i="5"/>
  <c r="B9" i="5" s="1"/>
  <c r="O27" i="5"/>
  <c r="A27" i="5"/>
  <c r="O26" i="5"/>
  <c r="E26" i="5"/>
  <c r="A26" i="5"/>
  <c r="O25" i="5"/>
  <c r="A25" i="5"/>
  <c r="O23" i="5"/>
  <c r="A23" i="5"/>
  <c r="O22" i="5"/>
  <c r="A22" i="5"/>
  <c r="O21" i="5"/>
  <c r="E21" i="5"/>
  <c r="A21" i="5"/>
  <c r="O20" i="5"/>
  <c r="A20" i="5"/>
  <c r="O19" i="5"/>
  <c r="A19" i="5"/>
  <c r="O18" i="5"/>
  <c r="A18" i="5"/>
  <c r="AA17" i="5"/>
  <c r="AA18" i="5" s="1"/>
  <c r="AA19" i="5" s="1"/>
  <c r="AA20" i="5" s="1"/>
  <c r="AA21" i="5" s="1"/>
  <c r="AA22" i="5" s="1"/>
  <c r="AA23" i="5" s="1"/>
  <c r="AA24" i="5" s="1"/>
  <c r="AA25" i="5" s="1"/>
  <c r="AA26" i="5" s="1"/>
  <c r="AA27" i="5" s="1"/>
  <c r="Z17" i="5"/>
  <c r="Z18" i="5" s="1"/>
  <c r="Z19" i="5" s="1"/>
  <c r="Z20" i="5" s="1"/>
  <c r="Z21" i="5" s="1"/>
  <c r="Z22" i="5" s="1"/>
  <c r="Z23" i="5" s="1"/>
  <c r="Z24" i="5" s="1"/>
  <c r="Z25" i="5" s="1"/>
  <c r="Z26" i="5" s="1"/>
  <c r="Z27" i="5" s="1"/>
  <c r="Y17" i="5"/>
  <c r="Y18" i="5" s="1"/>
  <c r="Y19" i="5" s="1"/>
  <c r="Y20" i="5" s="1"/>
  <c r="Y21" i="5" s="1"/>
  <c r="Y22" i="5" s="1"/>
  <c r="Y23" i="5" s="1"/>
  <c r="Y24" i="5" s="1"/>
  <c r="Y25" i="5" s="1"/>
  <c r="Y26" i="5" s="1"/>
  <c r="Y27" i="5" s="1"/>
  <c r="V17" i="5"/>
  <c r="V18" i="5" s="1"/>
  <c r="V19" i="5" s="1"/>
  <c r="V20" i="5" s="1"/>
  <c r="V21" i="5" s="1"/>
  <c r="V22" i="5" s="1"/>
  <c r="U17" i="5"/>
  <c r="U18" i="5" s="1"/>
  <c r="U19" i="5" s="1"/>
  <c r="U20" i="5" s="1"/>
  <c r="U21" i="5" s="1"/>
  <c r="U22" i="5" s="1"/>
  <c r="T17" i="5"/>
  <c r="T18" i="5" s="1"/>
  <c r="T19" i="5" s="1"/>
  <c r="T20" i="5" s="1"/>
  <c r="T21" i="5" s="1"/>
  <c r="T22" i="5" s="1"/>
  <c r="S17" i="5"/>
  <c r="S18" i="5" s="1"/>
  <c r="S19" i="5" s="1"/>
  <c r="S20" i="5" s="1"/>
  <c r="S21" i="5" s="1"/>
  <c r="S22" i="5" s="1"/>
  <c r="R17" i="5"/>
  <c r="R18" i="5" s="1"/>
  <c r="R19" i="5" s="1"/>
  <c r="R20" i="5" s="1"/>
  <c r="R21" i="5" s="1"/>
  <c r="R22" i="5" s="1"/>
  <c r="Q17" i="5"/>
  <c r="Q18" i="5" s="1"/>
  <c r="Q19" i="5" s="1"/>
  <c r="Q20" i="5" s="1"/>
  <c r="Q21" i="5" s="1"/>
  <c r="Q22" i="5" s="1"/>
  <c r="P17" i="5"/>
  <c r="P18" i="5" s="1"/>
  <c r="P19" i="5" s="1"/>
  <c r="O17" i="5"/>
  <c r="A17" i="5"/>
  <c r="AD16" i="5"/>
  <c r="AD17" i="5" s="1"/>
  <c r="AD18" i="5" s="1"/>
  <c r="AD19" i="5" s="1"/>
  <c r="AD20" i="5" s="1"/>
  <c r="AD21" i="5" s="1"/>
  <c r="AD22" i="5" s="1"/>
  <c r="AD23" i="5" s="1"/>
  <c r="AD24" i="5" s="1"/>
  <c r="AD25" i="5" s="1"/>
  <c r="AD26" i="5" s="1"/>
  <c r="AD27" i="5" s="1"/>
  <c r="AC16" i="5"/>
  <c r="AC17" i="5" s="1"/>
  <c r="AC18" i="5" s="1"/>
  <c r="AC19" i="5" s="1"/>
  <c r="AC20" i="5" s="1"/>
  <c r="AC21" i="5" s="1"/>
  <c r="AC22" i="5" s="1"/>
  <c r="AC23" i="5" s="1"/>
  <c r="AC24" i="5" s="1"/>
  <c r="AC25" i="5" s="1"/>
  <c r="AC26" i="5" s="1"/>
  <c r="AC27" i="5" s="1"/>
  <c r="AB16" i="5"/>
  <c r="AB17" i="5" s="1"/>
  <c r="AB18" i="5" s="1"/>
  <c r="AB19" i="5" s="1"/>
  <c r="AB20" i="5" s="1"/>
  <c r="AB21" i="5" s="1"/>
  <c r="AB22" i="5" s="1"/>
  <c r="AB23" i="5" s="1"/>
  <c r="AB24" i="5" s="1"/>
  <c r="AB25" i="5" s="1"/>
  <c r="AB26" i="5" s="1"/>
  <c r="AB27" i="5" s="1"/>
  <c r="O16" i="5"/>
  <c r="A16" i="5"/>
  <c r="J13" i="5"/>
  <c r="I13" i="5"/>
  <c r="H13" i="5"/>
  <c r="G13" i="5"/>
  <c r="F13" i="5"/>
  <c r="E13" i="5"/>
  <c r="D13" i="5"/>
  <c r="C13" i="5"/>
  <c r="B13" i="5"/>
  <c r="AD12" i="5"/>
  <c r="AC12" i="5"/>
  <c r="AB12" i="5"/>
  <c r="AA12" i="5"/>
  <c r="Z12" i="5"/>
  <c r="Y12" i="5"/>
  <c r="V12" i="5"/>
  <c r="U12" i="5"/>
  <c r="T12" i="5"/>
  <c r="S12" i="5"/>
  <c r="R12" i="5"/>
  <c r="Q12" i="5"/>
  <c r="AO107" i="7" l="1"/>
  <c r="BR106" i="7"/>
  <c r="BU324" i="7"/>
  <c r="J324" i="7" s="1"/>
  <c r="AR325" i="7"/>
  <c r="BL326" i="7"/>
  <c r="AI327" i="7"/>
  <c r="BI326" i="7"/>
  <c r="AF327" i="7"/>
  <c r="W327" i="7"/>
  <c r="AZ326" i="7"/>
  <c r="AE327" i="7"/>
  <c r="BH326" i="7"/>
  <c r="AM327" i="7"/>
  <c r="BP326" i="7"/>
  <c r="AU347" i="7"/>
  <c r="R348" i="7"/>
  <c r="BR327" i="7"/>
  <c r="AO328" i="7"/>
  <c r="BN327" i="7"/>
  <c r="AK328" i="7"/>
  <c r="BB327" i="7"/>
  <c r="Y328" i="7"/>
  <c r="BS346" i="7"/>
  <c r="AP347" i="7"/>
  <c r="A328" i="7"/>
  <c r="AX327" i="7"/>
  <c r="U328" i="7"/>
  <c r="BA326" i="7"/>
  <c r="X327" i="7"/>
  <c r="BF327" i="7"/>
  <c r="AC328" i="7"/>
  <c r="BQ326" i="7"/>
  <c r="AN327" i="7"/>
  <c r="BJ327" i="7"/>
  <c r="AG328" i="7"/>
  <c r="AA328" i="7"/>
  <c r="BD327" i="7"/>
  <c r="BM326" i="7"/>
  <c r="AJ327" i="7"/>
  <c r="BE326" i="7"/>
  <c r="AB327" i="7"/>
  <c r="AY346" i="7"/>
  <c r="V347" i="7"/>
  <c r="AS326" i="7"/>
  <c r="P327" i="7"/>
  <c r="AW326" i="7"/>
  <c r="T327" i="7"/>
  <c r="BC346" i="7"/>
  <c r="Z347" i="7"/>
  <c r="BG348" i="7"/>
  <c r="AD349" i="7"/>
  <c r="BO346" i="7"/>
  <c r="AL347" i="7"/>
  <c r="BK346" i="7"/>
  <c r="AH347" i="7"/>
  <c r="S328" i="7"/>
  <c r="AV327" i="7"/>
  <c r="AT327" i="7"/>
  <c r="Q328" i="7"/>
  <c r="AQ328" i="7"/>
  <c r="BT327" i="7"/>
  <c r="BR105" i="7"/>
  <c r="AI171" i="7"/>
  <c r="BL170" i="7"/>
  <c r="AO151" i="7"/>
  <c r="BR150" i="7"/>
  <c r="AR105" i="7"/>
  <c r="AR106" i="7" s="1"/>
  <c r="BU104" i="7"/>
  <c r="AR149" i="7"/>
  <c r="BU148" i="7"/>
  <c r="L169" i="7"/>
  <c r="A168" i="7"/>
  <c r="AE166" i="7"/>
  <c r="BH165" i="7"/>
  <c r="BT103" i="7"/>
  <c r="J103" i="7" s="1"/>
  <c r="AQ104" i="7"/>
  <c r="AQ148" i="7"/>
  <c r="BT147" i="7"/>
  <c r="J147" i="7" s="1"/>
  <c r="S151" i="7"/>
  <c r="AV150" i="7"/>
  <c r="AU150" i="7"/>
  <c r="R151" i="7"/>
  <c r="Z151" i="7"/>
  <c r="BC150" i="7"/>
  <c r="Y151" i="7"/>
  <c r="BB150" i="7"/>
  <c r="W151" i="7"/>
  <c r="AZ150" i="7"/>
  <c r="T151" i="7"/>
  <c r="AW150" i="7"/>
  <c r="X151" i="7"/>
  <c r="BA150" i="7"/>
  <c r="BD150" i="7"/>
  <c r="AA151" i="7"/>
  <c r="V151" i="7"/>
  <c r="AY150" i="7"/>
  <c r="U151" i="7"/>
  <c r="AX150" i="7"/>
  <c r="AS150" i="7"/>
  <c r="P151" i="7"/>
  <c r="Q151" i="7"/>
  <c r="AT150" i="7"/>
  <c r="AP171" i="7"/>
  <c r="BS171" i="7" s="1"/>
  <c r="P25" i="6"/>
  <c r="J24" i="6"/>
  <c r="S23" i="5"/>
  <c r="S25" i="5" s="1"/>
  <c r="S26" i="5" s="1"/>
  <c r="S27" i="5" s="1"/>
  <c r="S24" i="5"/>
  <c r="U23" i="5"/>
  <c r="U25" i="5" s="1"/>
  <c r="U26" i="5" s="1"/>
  <c r="U27" i="5" s="1"/>
  <c r="U24" i="5"/>
  <c r="T23" i="5"/>
  <c r="T25" i="5" s="1"/>
  <c r="T26" i="5" s="1"/>
  <c r="T27" i="5" s="1"/>
  <c r="T24" i="5"/>
  <c r="Q23" i="5"/>
  <c r="Q25" i="5" s="1"/>
  <c r="Q26" i="5" s="1"/>
  <c r="Q27" i="5" s="1"/>
  <c r="Q24" i="5"/>
  <c r="R23" i="5"/>
  <c r="R25" i="5" s="1"/>
  <c r="R26" i="5" s="1"/>
  <c r="R27" i="5" s="1"/>
  <c r="R24" i="5"/>
  <c r="V23" i="5"/>
  <c r="V25" i="5" s="1"/>
  <c r="V26" i="5" s="1"/>
  <c r="V27" i="5" s="1"/>
  <c r="V24" i="5"/>
  <c r="J19" i="5"/>
  <c r="J18" i="5"/>
  <c r="C23" i="5"/>
  <c r="J17" i="5"/>
  <c r="P20" i="5"/>
  <c r="C21" i="5"/>
  <c r="C22" i="5"/>
  <c r="J16" i="5"/>
  <c r="C17" i="5"/>
  <c r="C16" i="5"/>
  <c r="C18" i="5"/>
  <c r="C25" i="5"/>
  <c r="M12" i="5"/>
  <c r="D24" i="5" s="1"/>
  <c r="C19" i="5"/>
  <c r="C20" i="5"/>
  <c r="C26" i="5"/>
  <c r="C27" i="5"/>
  <c r="O29" i="1"/>
  <c r="E29" i="1"/>
  <c r="B29" i="1"/>
  <c r="A29" i="1"/>
  <c r="BU106" i="7" l="1"/>
  <c r="AR107" i="7"/>
  <c r="BU325" i="7"/>
  <c r="J325" i="7" s="1"/>
  <c r="AR326" i="7"/>
  <c r="AO108" i="7"/>
  <c r="BR108" i="7" s="1"/>
  <c r="BR107" i="7"/>
  <c r="AQ329" i="7"/>
  <c r="BT328" i="7"/>
  <c r="S329" i="7"/>
  <c r="AV328" i="7"/>
  <c r="AA329" i="7"/>
  <c r="BD328" i="7"/>
  <c r="BH327" i="7"/>
  <c r="AE328" i="7"/>
  <c r="AT328" i="7"/>
  <c r="Q329" i="7"/>
  <c r="BK347" i="7"/>
  <c r="AH348" i="7"/>
  <c r="AW327" i="7"/>
  <c r="T328" i="7"/>
  <c r="AY347" i="7"/>
  <c r="V348" i="7"/>
  <c r="BM327" i="7"/>
  <c r="AJ328" i="7"/>
  <c r="BJ328" i="7"/>
  <c r="AG329" i="7"/>
  <c r="BA327" i="7"/>
  <c r="X328" i="7"/>
  <c r="A329" i="7"/>
  <c r="BB328" i="7"/>
  <c r="Y329" i="7"/>
  <c r="BR328" i="7"/>
  <c r="AO329" i="7"/>
  <c r="BP327" i="7"/>
  <c r="AM328" i="7"/>
  <c r="AZ327" i="7"/>
  <c r="W328" i="7"/>
  <c r="AI328" i="7"/>
  <c r="BL327" i="7"/>
  <c r="BG349" i="7"/>
  <c r="AD350" i="7"/>
  <c r="BO347" i="7"/>
  <c r="AL348" i="7"/>
  <c r="BC347" i="7"/>
  <c r="Z348" i="7"/>
  <c r="AS327" i="7"/>
  <c r="P328" i="7"/>
  <c r="BE327" i="7"/>
  <c r="AB328" i="7"/>
  <c r="BQ327" i="7"/>
  <c r="AN328" i="7"/>
  <c r="BF328" i="7"/>
  <c r="AC329" i="7"/>
  <c r="AX328" i="7"/>
  <c r="U329" i="7"/>
  <c r="BS347" i="7"/>
  <c r="AP348" i="7"/>
  <c r="BN328" i="7"/>
  <c r="AK329" i="7"/>
  <c r="AU348" i="7"/>
  <c r="R349" i="7"/>
  <c r="BI327" i="7"/>
  <c r="AF328" i="7"/>
  <c r="BU105" i="7"/>
  <c r="AI172" i="7"/>
  <c r="BL171" i="7"/>
  <c r="AO152" i="7"/>
  <c r="BR151" i="7"/>
  <c r="AQ149" i="7"/>
  <c r="BT148" i="7"/>
  <c r="J148" i="7" s="1"/>
  <c r="L170" i="7"/>
  <c r="A169" i="7"/>
  <c r="AR150" i="7"/>
  <c r="BU149" i="7"/>
  <c r="AE167" i="7"/>
  <c r="BH166" i="7"/>
  <c r="BT104" i="7"/>
  <c r="J104" i="7" s="1"/>
  <c r="AQ105" i="7"/>
  <c r="AQ106" i="7" s="1"/>
  <c r="Y152" i="7"/>
  <c r="BB151" i="7"/>
  <c r="Z152" i="7"/>
  <c r="BC151" i="7"/>
  <c r="AU151" i="7"/>
  <c r="R152" i="7"/>
  <c r="AZ151" i="7"/>
  <c r="W152" i="7"/>
  <c r="X152" i="7"/>
  <c r="BA151" i="7"/>
  <c r="T152" i="7"/>
  <c r="AW151" i="7"/>
  <c r="BD151" i="7"/>
  <c r="AA152" i="7"/>
  <c r="S152" i="7"/>
  <c r="AV151" i="7"/>
  <c r="AY151" i="7"/>
  <c r="V152" i="7"/>
  <c r="AX151" i="7"/>
  <c r="U152" i="7"/>
  <c r="P152" i="7"/>
  <c r="AS151" i="7"/>
  <c r="Q152" i="7"/>
  <c r="AT151" i="7"/>
  <c r="AP172" i="7"/>
  <c r="BS172" i="7" s="1"/>
  <c r="P26" i="6"/>
  <c r="J25" i="6"/>
  <c r="D27" i="5"/>
  <c r="D22" i="5"/>
  <c r="D25" i="5"/>
  <c r="D18" i="5"/>
  <c r="D16" i="5"/>
  <c r="D17" i="5"/>
  <c r="D23" i="5"/>
  <c r="D21" i="5"/>
  <c r="D26" i="5"/>
  <c r="D20" i="5"/>
  <c r="D19" i="5"/>
  <c r="P21" i="5"/>
  <c r="J20" i="5"/>
  <c r="B31" i="4"/>
  <c r="B30" i="4"/>
  <c r="B29" i="4"/>
  <c r="B28" i="4"/>
  <c r="B27" i="4"/>
  <c r="B26" i="4"/>
  <c r="B25" i="4"/>
  <c r="B24" i="4"/>
  <c r="B23" i="4"/>
  <c r="B22" i="4"/>
  <c r="B21" i="4"/>
  <c r="B20" i="4"/>
  <c r="B19" i="4"/>
  <c r="B18" i="4"/>
  <c r="B17" i="4"/>
  <c r="BU326" i="7" l="1"/>
  <c r="J326" i="7" s="1"/>
  <c r="AR327" i="7"/>
  <c r="BT106" i="7"/>
  <c r="J106" i="7" s="1"/>
  <c r="AQ107" i="7"/>
  <c r="AR108" i="7"/>
  <c r="BU108" i="7" s="1"/>
  <c r="BU107" i="7"/>
  <c r="BI328" i="7"/>
  <c r="AF329" i="7"/>
  <c r="BN329" i="7"/>
  <c r="AK330" i="7"/>
  <c r="BQ328" i="7"/>
  <c r="AN329" i="7"/>
  <c r="AS328" i="7"/>
  <c r="P329" i="7"/>
  <c r="BP328" i="7"/>
  <c r="AM329" i="7"/>
  <c r="BB329" i="7"/>
  <c r="Y330" i="7"/>
  <c r="BA328" i="7"/>
  <c r="X329" i="7"/>
  <c r="BJ329" i="7"/>
  <c r="AG330" i="7"/>
  <c r="AY348" i="7"/>
  <c r="V349" i="7"/>
  <c r="BK348" i="7"/>
  <c r="AH349" i="7"/>
  <c r="BH328" i="7"/>
  <c r="AE329" i="7"/>
  <c r="AI329" i="7"/>
  <c r="BL328" i="7"/>
  <c r="AV329" i="7"/>
  <c r="S330" i="7"/>
  <c r="AU349" i="7"/>
  <c r="R350" i="7"/>
  <c r="BS348" i="7"/>
  <c r="AP349" i="7"/>
  <c r="BF329" i="7"/>
  <c r="AC330" i="7"/>
  <c r="BE328" i="7"/>
  <c r="AB329" i="7"/>
  <c r="BC348" i="7"/>
  <c r="Z349" i="7"/>
  <c r="BG350" i="7"/>
  <c r="AD351" i="7"/>
  <c r="AZ328" i="7"/>
  <c r="W329" i="7"/>
  <c r="BR329" i="7"/>
  <c r="AO330" i="7"/>
  <c r="A330" i="7"/>
  <c r="BM328" i="7"/>
  <c r="AJ329" i="7"/>
  <c r="AW328" i="7"/>
  <c r="T329" i="7"/>
  <c r="AT329" i="7"/>
  <c r="Q330" i="7"/>
  <c r="AX329" i="7"/>
  <c r="U330" i="7"/>
  <c r="BO348" i="7"/>
  <c r="AL349" i="7"/>
  <c r="BD329" i="7"/>
  <c r="AA330" i="7"/>
  <c r="BT329" i="7"/>
  <c r="AQ330" i="7"/>
  <c r="BT105" i="7"/>
  <c r="J105" i="7" s="1"/>
  <c r="AI173" i="7"/>
  <c r="BL172" i="7"/>
  <c r="AO153" i="7"/>
  <c r="BR152" i="7"/>
  <c r="AR151" i="7"/>
  <c r="BU150" i="7"/>
  <c r="L171" i="7"/>
  <c r="A170" i="7"/>
  <c r="AE168" i="7"/>
  <c r="BH167" i="7"/>
  <c r="AQ150" i="7"/>
  <c r="BT149" i="7"/>
  <c r="J149" i="7" s="1"/>
  <c r="W153" i="7"/>
  <c r="AZ152" i="7"/>
  <c r="S153" i="7"/>
  <c r="AV152" i="7"/>
  <c r="R153" i="7"/>
  <c r="AU152" i="7"/>
  <c r="AA153" i="7"/>
  <c r="BD152" i="7"/>
  <c r="AW152" i="7"/>
  <c r="T153" i="7"/>
  <c r="Z153" i="7"/>
  <c r="BC152" i="7"/>
  <c r="X153" i="7"/>
  <c r="BA152" i="7"/>
  <c r="BB152" i="7"/>
  <c r="Y153" i="7"/>
  <c r="V153" i="7"/>
  <c r="AY152" i="7"/>
  <c r="U153" i="7"/>
  <c r="AX152" i="7"/>
  <c r="AS152" i="7"/>
  <c r="P153" i="7"/>
  <c r="AT152" i="7"/>
  <c r="Q153" i="7"/>
  <c r="AP173" i="7"/>
  <c r="BS173" i="7" s="1"/>
  <c r="P27" i="6"/>
  <c r="J26" i="6"/>
  <c r="J21" i="5"/>
  <c r="P22" i="5"/>
  <c r="P24" i="5" s="1"/>
  <c r="J24" i="5" s="1"/>
  <c r="M11" i="4"/>
  <c r="AD17" i="4"/>
  <c r="AD18" i="4" s="1"/>
  <c r="AD19" i="4" s="1"/>
  <c r="AD20" i="4" s="1"/>
  <c r="AD21" i="4" s="1"/>
  <c r="AD22" i="4" s="1"/>
  <c r="AD23" i="4" s="1"/>
  <c r="AD24" i="4" s="1"/>
  <c r="AD25" i="4" s="1"/>
  <c r="AD26" i="4" s="1"/>
  <c r="AD27" i="4" s="1"/>
  <c r="AD28" i="4" s="1"/>
  <c r="AD29" i="4" s="1"/>
  <c r="AD30" i="4" s="1"/>
  <c r="AD31" i="4" s="1"/>
  <c r="AC17" i="4"/>
  <c r="AC18" i="4" s="1"/>
  <c r="AC19" i="4" s="1"/>
  <c r="AC20" i="4" s="1"/>
  <c r="AC21" i="4" s="1"/>
  <c r="AC22" i="4" s="1"/>
  <c r="AC23" i="4" s="1"/>
  <c r="AC24" i="4" s="1"/>
  <c r="AC25" i="4" s="1"/>
  <c r="AC26" i="4" s="1"/>
  <c r="AC27" i="4" s="1"/>
  <c r="AC28" i="4" s="1"/>
  <c r="AC29" i="4" s="1"/>
  <c r="AC30" i="4" s="1"/>
  <c r="AC31" i="4" s="1"/>
  <c r="AB17" i="4"/>
  <c r="AB18" i="4" s="1"/>
  <c r="AB19" i="4" s="1"/>
  <c r="AB20" i="4" s="1"/>
  <c r="AB21" i="4" s="1"/>
  <c r="AB22" i="4" s="1"/>
  <c r="AB23" i="4" s="1"/>
  <c r="AB24" i="4" s="1"/>
  <c r="AB25" i="4" s="1"/>
  <c r="AB26" i="4" s="1"/>
  <c r="AB27" i="4" s="1"/>
  <c r="AB28" i="4" s="1"/>
  <c r="AB29" i="4" s="1"/>
  <c r="AB30" i="4" s="1"/>
  <c r="AB31" i="4" s="1"/>
  <c r="AA17" i="4"/>
  <c r="AA18" i="4" s="1"/>
  <c r="AA19" i="4" s="1"/>
  <c r="AA20" i="4" s="1"/>
  <c r="AA21" i="4" s="1"/>
  <c r="AA22" i="4" s="1"/>
  <c r="AA23" i="4" s="1"/>
  <c r="AA24" i="4" s="1"/>
  <c r="AA25" i="4" s="1"/>
  <c r="AA26" i="4" s="1"/>
  <c r="AA27" i="4" s="1"/>
  <c r="AA28" i="4" s="1"/>
  <c r="AA29" i="4" s="1"/>
  <c r="AA30" i="4" s="1"/>
  <c r="AA31" i="4" s="1"/>
  <c r="Z17" i="4"/>
  <c r="Z18" i="4" s="1"/>
  <c r="Z19" i="4" s="1"/>
  <c r="Z20" i="4" s="1"/>
  <c r="Z21" i="4" s="1"/>
  <c r="Z22" i="4" s="1"/>
  <c r="Z23" i="4" s="1"/>
  <c r="Z24" i="4" s="1"/>
  <c r="Z25" i="4" s="1"/>
  <c r="Z26" i="4" s="1"/>
  <c r="Z27" i="4" s="1"/>
  <c r="Z28" i="4" s="1"/>
  <c r="Z29" i="4" s="1"/>
  <c r="Z30" i="4" s="1"/>
  <c r="Z31" i="4" s="1"/>
  <c r="Y17" i="4"/>
  <c r="Y18" i="4" s="1"/>
  <c r="Y19" i="4" s="1"/>
  <c r="Y20" i="4" s="1"/>
  <c r="Y21" i="4" s="1"/>
  <c r="Y22" i="4" s="1"/>
  <c r="Y23" i="4" s="1"/>
  <c r="Y24" i="4" s="1"/>
  <c r="Y25" i="4" s="1"/>
  <c r="Y26" i="4" s="1"/>
  <c r="Y27" i="4" s="1"/>
  <c r="Y28" i="4" s="1"/>
  <c r="Y29" i="4" s="1"/>
  <c r="Y30" i="4" s="1"/>
  <c r="Y31" i="4" s="1"/>
  <c r="P17" i="4"/>
  <c r="AF17" i="4"/>
  <c r="AF26" i="4"/>
  <c r="AF28" i="4"/>
  <c r="AF19" i="4"/>
  <c r="AF22" i="4"/>
  <c r="AF24" i="4"/>
  <c r="AF25" i="4"/>
  <c r="AF29" i="4"/>
  <c r="AF31" i="4"/>
  <c r="AF20" i="4"/>
  <c r="AF21" i="4"/>
  <c r="AF23" i="4"/>
  <c r="AF27" i="4"/>
  <c r="AF18" i="4"/>
  <c r="AF30" i="4"/>
  <c r="AF16" i="4"/>
  <c r="AQ108" i="7" l="1"/>
  <c r="BT108" i="7" s="1"/>
  <c r="J108" i="7" s="1"/>
  <c r="BT107" i="7"/>
  <c r="J107" i="7" s="1"/>
  <c r="BU327" i="7"/>
  <c r="J327" i="7" s="1"/>
  <c r="AR328" i="7"/>
  <c r="BL329" i="7"/>
  <c r="AI330" i="7"/>
  <c r="BK349" i="7"/>
  <c r="AH350" i="7"/>
  <c r="BJ330" i="7"/>
  <c r="AG331" i="7"/>
  <c r="BB330" i="7"/>
  <c r="Y331" i="7"/>
  <c r="BN330" i="7"/>
  <c r="AK331" i="7"/>
  <c r="BD330" i="7"/>
  <c r="AA331" i="7"/>
  <c r="AW329" i="7"/>
  <c r="T330" i="7"/>
  <c r="BR330" i="7"/>
  <c r="AO331" i="7"/>
  <c r="BE329" i="7"/>
  <c r="AB330" i="7"/>
  <c r="AE330" i="7"/>
  <c r="BH329" i="7"/>
  <c r="AY349" i="7"/>
  <c r="V350" i="7"/>
  <c r="BA329" i="7"/>
  <c r="X330" i="7"/>
  <c r="AM330" i="7"/>
  <c r="BP329" i="7"/>
  <c r="BQ329" i="7"/>
  <c r="AN330" i="7"/>
  <c r="BI329" i="7"/>
  <c r="AF330" i="7"/>
  <c r="AS329" i="7"/>
  <c r="P330" i="7"/>
  <c r="AX330" i="7"/>
  <c r="U331" i="7"/>
  <c r="BG351" i="7"/>
  <c r="AD352" i="7"/>
  <c r="BS349" i="7"/>
  <c r="AP350" i="7"/>
  <c r="AV330" i="7"/>
  <c r="S331" i="7"/>
  <c r="BT330" i="7"/>
  <c r="AQ331" i="7"/>
  <c r="BO349" i="7"/>
  <c r="AL350" i="7"/>
  <c r="AT330" i="7"/>
  <c r="Q331" i="7"/>
  <c r="BM329" i="7"/>
  <c r="AJ330" i="7"/>
  <c r="A331" i="7"/>
  <c r="W330" i="7"/>
  <c r="AZ329" i="7"/>
  <c r="BC349" i="7"/>
  <c r="Z350" i="7"/>
  <c r="BF330" i="7"/>
  <c r="AC331" i="7"/>
  <c r="AU350" i="7"/>
  <c r="R351" i="7"/>
  <c r="AI174" i="7"/>
  <c r="BL173" i="7"/>
  <c r="AO154" i="7"/>
  <c r="BR153" i="7"/>
  <c r="AE169" i="7"/>
  <c r="BH168" i="7"/>
  <c r="AQ151" i="7"/>
  <c r="BT150" i="7"/>
  <c r="J150" i="7" s="1"/>
  <c r="L172" i="7"/>
  <c r="A171" i="7"/>
  <c r="AR152" i="7"/>
  <c r="BU151" i="7"/>
  <c r="BB153" i="7"/>
  <c r="Y154" i="7"/>
  <c r="AA154" i="7"/>
  <c r="BD153" i="7"/>
  <c r="Z154" i="7"/>
  <c r="BC153" i="7"/>
  <c r="S154" i="7"/>
  <c r="AV153" i="7"/>
  <c r="R154" i="7"/>
  <c r="AU153" i="7"/>
  <c r="AW153" i="7"/>
  <c r="T154" i="7"/>
  <c r="X154" i="7"/>
  <c r="BA153" i="7"/>
  <c r="AZ153" i="7"/>
  <c r="W154" i="7"/>
  <c r="V154" i="7"/>
  <c r="AY153" i="7"/>
  <c r="AX153" i="7"/>
  <c r="U154" i="7"/>
  <c r="AS153" i="7"/>
  <c r="P154" i="7"/>
  <c r="Q154" i="7"/>
  <c r="AT153" i="7"/>
  <c r="AP174" i="7"/>
  <c r="BS174" i="7" s="1"/>
  <c r="P28" i="6"/>
  <c r="J27" i="6"/>
  <c r="P23" i="5"/>
  <c r="J22" i="5"/>
  <c r="P18" i="4"/>
  <c r="M12" i="4"/>
  <c r="M9" i="4"/>
  <c r="BU328" i="7" l="1"/>
  <c r="J328" i="7" s="1"/>
  <c r="AR329" i="7"/>
  <c r="BR331" i="7"/>
  <c r="AO332" i="7"/>
  <c r="AA332" i="7"/>
  <c r="BD331" i="7"/>
  <c r="BK350" i="7"/>
  <c r="AH351" i="7"/>
  <c r="BF331" i="7"/>
  <c r="AC332" i="7"/>
  <c r="BM330" i="7"/>
  <c r="AJ331" i="7"/>
  <c r="S332" i="7"/>
  <c r="AV331" i="7"/>
  <c r="AX331" i="7"/>
  <c r="U332" i="7"/>
  <c r="W331" i="7"/>
  <c r="AZ330" i="7"/>
  <c r="AM331" i="7"/>
  <c r="BP330" i="7"/>
  <c r="BE330" i="7"/>
  <c r="AB331" i="7"/>
  <c r="AW330" i="7"/>
  <c r="T331" i="7"/>
  <c r="BN331" i="7"/>
  <c r="AK332" i="7"/>
  <c r="BJ331" i="7"/>
  <c r="AG332" i="7"/>
  <c r="BL330" i="7"/>
  <c r="AI331" i="7"/>
  <c r="AE331" i="7"/>
  <c r="BH330" i="7"/>
  <c r="BB331" i="7"/>
  <c r="Y332" i="7"/>
  <c r="BO350" i="7"/>
  <c r="AL351" i="7"/>
  <c r="BG352" i="7"/>
  <c r="AD353" i="7"/>
  <c r="BI330" i="7"/>
  <c r="AF331" i="7"/>
  <c r="AY350" i="7"/>
  <c r="V351" i="7"/>
  <c r="AU351" i="7"/>
  <c r="R352" i="7"/>
  <c r="BC350" i="7"/>
  <c r="Z351" i="7"/>
  <c r="A332" i="7"/>
  <c r="AT331" i="7"/>
  <c r="Q332" i="7"/>
  <c r="AQ332" i="7"/>
  <c r="BT331" i="7"/>
  <c r="BS350" i="7"/>
  <c r="AP351" i="7"/>
  <c r="AS330" i="7"/>
  <c r="P331" i="7"/>
  <c r="BQ330" i="7"/>
  <c r="AN331" i="7"/>
  <c r="BA330" i="7"/>
  <c r="X331" i="7"/>
  <c r="J28" i="6"/>
  <c r="P29" i="6"/>
  <c r="AI175" i="7"/>
  <c r="BL174" i="7"/>
  <c r="AO155" i="7"/>
  <c r="BR154" i="7"/>
  <c r="AQ152" i="7"/>
  <c r="BT151" i="7"/>
  <c r="J151" i="7" s="1"/>
  <c r="AE170" i="7"/>
  <c r="BH169" i="7"/>
  <c r="AR153" i="7"/>
  <c r="BU152" i="7"/>
  <c r="L173" i="7"/>
  <c r="A172" i="7"/>
  <c r="Y155" i="7"/>
  <c r="BB154" i="7"/>
  <c r="S155" i="7"/>
  <c r="AV154" i="7"/>
  <c r="X155" i="7"/>
  <c r="BA154" i="7"/>
  <c r="T155" i="7"/>
  <c r="AW154" i="7"/>
  <c r="BC154" i="7"/>
  <c r="Z155" i="7"/>
  <c r="BD154" i="7"/>
  <c r="AA155" i="7"/>
  <c r="R155" i="7"/>
  <c r="AU154" i="7"/>
  <c r="W155" i="7"/>
  <c r="AZ154" i="7"/>
  <c r="AY154" i="7"/>
  <c r="V155" i="7"/>
  <c r="U155" i="7"/>
  <c r="AX154" i="7"/>
  <c r="P155" i="7"/>
  <c r="AS154" i="7"/>
  <c r="AT154" i="7"/>
  <c r="Q155" i="7"/>
  <c r="AP175" i="7"/>
  <c r="BS175" i="7" s="1"/>
  <c r="P25" i="5"/>
  <c r="J23" i="5"/>
  <c r="P19" i="4"/>
  <c r="W30" i="4"/>
  <c r="W18" i="4"/>
  <c r="W27" i="4"/>
  <c r="W23" i="4"/>
  <c r="W21" i="4"/>
  <c r="W20" i="4"/>
  <c r="W31" i="4"/>
  <c r="W29" i="4"/>
  <c r="W25" i="4"/>
  <c r="W24" i="4"/>
  <c r="W22" i="4"/>
  <c r="W19" i="4"/>
  <c r="W28" i="4"/>
  <c r="W26" i="4"/>
  <c r="W17" i="4"/>
  <c r="W16" i="4"/>
  <c r="O30" i="4"/>
  <c r="M30" i="4"/>
  <c r="O18" i="4"/>
  <c r="M18" i="4"/>
  <c r="O27" i="4"/>
  <c r="M27" i="4"/>
  <c r="O23" i="4"/>
  <c r="M23" i="4"/>
  <c r="O21" i="4"/>
  <c r="M21" i="4"/>
  <c r="O20" i="4"/>
  <c r="M20" i="4"/>
  <c r="O31" i="4"/>
  <c r="M31" i="4"/>
  <c r="O29" i="4"/>
  <c r="M29" i="4"/>
  <c r="O25" i="4"/>
  <c r="M25" i="4"/>
  <c r="O24" i="4"/>
  <c r="M24" i="4"/>
  <c r="O22" i="4"/>
  <c r="M22" i="4"/>
  <c r="O19" i="4"/>
  <c r="M19" i="4"/>
  <c r="O28" i="4"/>
  <c r="M28" i="4"/>
  <c r="O26" i="4"/>
  <c r="M26" i="4"/>
  <c r="O17" i="4"/>
  <c r="M17" i="4"/>
  <c r="O16" i="4"/>
  <c r="M16" i="4"/>
  <c r="AR330" i="7" l="1"/>
  <c r="BU329" i="7"/>
  <c r="J329" i="7" s="1"/>
  <c r="BA331" i="7"/>
  <c r="X332" i="7"/>
  <c r="AS331" i="7"/>
  <c r="P332" i="7"/>
  <c r="AT332" i="7"/>
  <c r="Q333" i="7"/>
  <c r="BC351" i="7"/>
  <c r="Z352" i="7"/>
  <c r="AY351" i="7"/>
  <c r="V352" i="7"/>
  <c r="BB332" i="7"/>
  <c r="Y333" i="7"/>
  <c r="AI332" i="7"/>
  <c r="BL331" i="7"/>
  <c r="BN332" i="7"/>
  <c r="AK333" i="7"/>
  <c r="BE331" i="7"/>
  <c r="AB332" i="7"/>
  <c r="AZ331" i="7"/>
  <c r="W332" i="7"/>
  <c r="S333" i="7"/>
  <c r="AV332" i="7"/>
  <c r="AA333" i="7"/>
  <c r="BD332" i="7"/>
  <c r="BQ331" i="7"/>
  <c r="AN332" i="7"/>
  <c r="A333" i="7"/>
  <c r="AU352" i="7"/>
  <c r="R353" i="7"/>
  <c r="BI331" i="7"/>
  <c r="AF332" i="7"/>
  <c r="BO351" i="7"/>
  <c r="AL352" i="7"/>
  <c r="BJ332" i="7"/>
  <c r="AG333" i="7"/>
  <c r="AW331" i="7"/>
  <c r="T332" i="7"/>
  <c r="AX332" i="7"/>
  <c r="U333" i="7"/>
  <c r="BM331" i="7"/>
  <c r="AJ332" i="7"/>
  <c r="BK351" i="7"/>
  <c r="AH352" i="7"/>
  <c r="BR332" i="7"/>
  <c r="AO333" i="7"/>
  <c r="BS351" i="7"/>
  <c r="AP352" i="7"/>
  <c r="BG353" i="7"/>
  <c r="AD354" i="7"/>
  <c r="BF332" i="7"/>
  <c r="AC333" i="7"/>
  <c r="AQ333" i="7"/>
  <c r="BT332" i="7"/>
  <c r="BH331" i="7"/>
  <c r="AE332" i="7"/>
  <c r="BP331" i="7"/>
  <c r="AM332" i="7"/>
  <c r="P30" i="6"/>
  <c r="J29" i="6"/>
  <c r="AI176" i="7"/>
  <c r="BL175" i="7"/>
  <c r="AO156" i="7"/>
  <c r="BR155" i="7"/>
  <c r="AR154" i="7"/>
  <c r="BU153" i="7"/>
  <c r="L174" i="7"/>
  <c r="A173" i="7"/>
  <c r="AQ153" i="7"/>
  <c r="BT152" i="7"/>
  <c r="J152" i="7" s="1"/>
  <c r="AE171" i="7"/>
  <c r="BH170" i="7"/>
  <c r="AW155" i="7"/>
  <c r="T156" i="7"/>
  <c r="X156" i="7"/>
  <c r="BA155" i="7"/>
  <c r="BD155" i="7"/>
  <c r="AA156" i="7"/>
  <c r="AV155" i="7"/>
  <c r="S156" i="7"/>
  <c r="AU155" i="7"/>
  <c r="R156" i="7"/>
  <c r="BC155" i="7"/>
  <c r="Z156" i="7"/>
  <c r="W156" i="7"/>
  <c r="AZ155" i="7"/>
  <c r="BB155" i="7"/>
  <c r="Y156" i="7"/>
  <c r="AY155" i="7"/>
  <c r="V156" i="7"/>
  <c r="AX155" i="7"/>
  <c r="U156" i="7"/>
  <c r="P156" i="7"/>
  <c r="AS155" i="7"/>
  <c r="AT155" i="7"/>
  <c r="Q156" i="7"/>
  <c r="AP176" i="7"/>
  <c r="BS176" i="7" s="1"/>
  <c r="P26" i="5"/>
  <c r="J25" i="5"/>
  <c r="P20" i="4"/>
  <c r="Z17" i="1"/>
  <c r="AA17" i="1"/>
  <c r="Y17" i="1"/>
  <c r="AR331" i="7" l="1"/>
  <c r="BU330" i="7"/>
  <c r="J330" i="7" s="1"/>
  <c r="BT333" i="7"/>
  <c r="AQ334" i="7"/>
  <c r="AK334" i="7"/>
  <c r="BN333" i="7"/>
  <c r="Y334" i="7"/>
  <c r="BB333" i="7"/>
  <c r="AS332" i="7"/>
  <c r="P333" i="7"/>
  <c r="BH332" i="7"/>
  <c r="AE333" i="7"/>
  <c r="BS352" i="7"/>
  <c r="AP353" i="7"/>
  <c r="U334" i="7"/>
  <c r="AX333" i="7"/>
  <c r="BI332" i="7"/>
  <c r="AF333" i="7"/>
  <c r="A334" i="7"/>
  <c r="BQ332" i="7"/>
  <c r="AN333" i="7"/>
  <c r="S334" i="7"/>
  <c r="AV333" i="7"/>
  <c r="BE332" i="7"/>
  <c r="AB333" i="7"/>
  <c r="AY352" i="7"/>
  <c r="V353" i="7"/>
  <c r="Q334" i="7"/>
  <c r="AT333" i="7"/>
  <c r="BA332" i="7"/>
  <c r="X333" i="7"/>
  <c r="AA334" i="7"/>
  <c r="BD333" i="7"/>
  <c r="BC352" i="7"/>
  <c r="Z353" i="7"/>
  <c r="AC334" i="7"/>
  <c r="BF333" i="7"/>
  <c r="BK352" i="7"/>
  <c r="AH353" i="7"/>
  <c r="AG334" i="7"/>
  <c r="BJ333" i="7"/>
  <c r="BP332" i="7"/>
  <c r="AM333" i="7"/>
  <c r="BG354" i="7"/>
  <c r="AD355" i="7"/>
  <c r="AO334" i="7"/>
  <c r="BR333" i="7"/>
  <c r="BM332" i="7"/>
  <c r="AJ333" i="7"/>
  <c r="AW332" i="7"/>
  <c r="T333" i="7"/>
  <c r="BO352" i="7"/>
  <c r="AL353" i="7"/>
  <c r="AU353" i="7"/>
  <c r="R354" i="7"/>
  <c r="AZ332" i="7"/>
  <c r="W333" i="7"/>
  <c r="AI333" i="7"/>
  <c r="BL332" i="7"/>
  <c r="Y19" i="1"/>
  <c r="Y21" i="1" s="1"/>
  <c r="Y22" i="1" s="1"/>
  <c r="Y23" i="1" s="1"/>
  <c r="Y24" i="1" s="1"/>
  <c r="Y25" i="1" s="1"/>
  <c r="Y26" i="1" s="1"/>
  <c r="Y27" i="1" s="1"/>
  <c r="Y28" i="1" s="1"/>
  <c r="Y29" i="1" s="1"/>
  <c r="Y30" i="1" s="1"/>
  <c r="Y18" i="1"/>
  <c r="Y20" i="1" s="1"/>
  <c r="P31" i="6"/>
  <c r="J30" i="6"/>
  <c r="BL176" i="7"/>
  <c r="AI177" i="7"/>
  <c r="AO157" i="7"/>
  <c r="BR156" i="7"/>
  <c r="AQ154" i="7"/>
  <c r="BT153" i="7"/>
  <c r="J153" i="7" s="1"/>
  <c r="L175" i="7"/>
  <c r="A174" i="7"/>
  <c r="AR155" i="7"/>
  <c r="BU154" i="7"/>
  <c r="AE172" i="7"/>
  <c r="BH171" i="7"/>
  <c r="AV156" i="7"/>
  <c r="S157" i="7"/>
  <c r="W157" i="7"/>
  <c r="AZ156" i="7"/>
  <c r="AU156" i="7"/>
  <c r="R157" i="7"/>
  <c r="BA156" i="7"/>
  <c r="X157" i="7"/>
  <c r="AW156" i="7"/>
  <c r="T157" i="7"/>
  <c r="BD156" i="7"/>
  <c r="AA157" i="7"/>
  <c r="BC156" i="7"/>
  <c r="Z157" i="7"/>
  <c r="Y157" i="7"/>
  <c r="BB156" i="7"/>
  <c r="AY156" i="7"/>
  <c r="V157" i="7"/>
  <c r="U157" i="7"/>
  <c r="AX156" i="7"/>
  <c r="AS156" i="7"/>
  <c r="P157" i="7"/>
  <c r="Q157" i="7"/>
  <c r="AT156" i="7"/>
  <c r="AP177" i="7"/>
  <c r="BS177" i="7" s="1"/>
  <c r="Z19" i="1"/>
  <c r="Z21" i="1" s="1"/>
  <c r="Z22" i="1" s="1"/>
  <c r="Z23" i="1" s="1"/>
  <c r="Z24" i="1" s="1"/>
  <c r="Z25" i="1" s="1"/>
  <c r="Z26" i="1" s="1"/>
  <c r="Z27" i="1" s="1"/>
  <c r="Z28" i="1" s="1"/>
  <c r="Z29" i="1" s="1"/>
  <c r="Z30" i="1" s="1"/>
  <c r="Z18" i="1"/>
  <c r="Z20" i="1" s="1"/>
  <c r="AA19" i="1"/>
  <c r="AA21" i="1" s="1"/>
  <c r="AA22" i="1" s="1"/>
  <c r="AA23" i="1" s="1"/>
  <c r="AA24" i="1" s="1"/>
  <c r="AA25" i="1" s="1"/>
  <c r="AA26" i="1" s="1"/>
  <c r="AA27" i="1" s="1"/>
  <c r="AA28" i="1" s="1"/>
  <c r="AA29" i="1" s="1"/>
  <c r="AA30" i="1" s="1"/>
  <c r="AA18" i="1"/>
  <c r="AA20" i="1" s="1"/>
  <c r="J26" i="5"/>
  <c r="P27" i="5"/>
  <c r="P21" i="4"/>
  <c r="B16" i="4"/>
  <c r="E28" i="4"/>
  <c r="E22" i="4"/>
  <c r="E24" i="4"/>
  <c r="E25" i="4"/>
  <c r="E29" i="4"/>
  <c r="E31" i="4"/>
  <c r="E18" i="4"/>
  <c r="E19" i="4"/>
  <c r="E30" i="4"/>
  <c r="A30" i="4"/>
  <c r="H18" i="4"/>
  <c r="A18" i="4"/>
  <c r="H27" i="4"/>
  <c r="A27" i="4"/>
  <c r="H23" i="4"/>
  <c r="A23" i="4"/>
  <c r="E21" i="4"/>
  <c r="H21" i="4"/>
  <c r="A21" i="4"/>
  <c r="E20" i="4"/>
  <c r="A20" i="4"/>
  <c r="A31" i="4"/>
  <c r="A29" i="4"/>
  <c r="A25" i="4"/>
  <c r="A24" i="4"/>
  <c r="A22" i="4"/>
  <c r="A19" i="4"/>
  <c r="H28" i="4"/>
  <c r="A28" i="4"/>
  <c r="E26" i="4"/>
  <c r="H26" i="4"/>
  <c r="A26" i="4"/>
  <c r="H17" i="4"/>
  <c r="A17" i="4"/>
  <c r="H16" i="4"/>
  <c r="E16" i="4" s="1"/>
  <c r="A16" i="4"/>
  <c r="J13" i="4"/>
  <c r="I13" i="4"/>
  <c r="H13" i="4"/>
  <c r="G13" i="4"/>
  <c r="F13" i="4"/>
  <c r="E13" i="4"/>
  <c r="D13" i="4"/>
  <c r="C13" i="4"/>
  <c r="B13" i="4"/>
  <c r="AD12" i="4"/>
  <c r="AC12" i="4"/>
  <c r="AB12" i="4"/>
  <c r="AA12" i="4"/>
  <c r="Z12" i="4"/>
  <c r="Y12" i="4"/>
  <c r="V12" i="4"/>
  <c r="U12" i="4"/>
  <c r="T12" i="4"/>
  <c r="S12" i="4"/>
  <c r="R12" i="4"/>
  <c r="Q12" i="4"/>
  <c r="B9" i="4"/>
  <c r="BU331" i="7" l="1"/>
  <c r="J331" i="7" s="1"/>
  <c r="AR332" i="7"/>
  <c r="AI334" i="7"/>
  <c r="BL333" i="7"/>
  <c r="AC335" i="7"/>
  <c r="BF334" i="7"/>
  <c r="BD334" i="7"/>
  <c r="AA335" i="7"/>
  <c r="AN334" i="7"/>
  <c r="BQ333" i="7"/>
  <c r="BI333" i="7"/>
  <c r="AF334" i="7"/>
  <c r="BS353" i="7"/>
  <c r="AP354" i="7"/>
  <c r="AS333" i="7"/>
  <c r="P334" i="7"/>
  <c r="W334" i="7"/>
  <c r="AZ333" i="7"/>
  <c r="AU354" i="7"/>
  <c r="R355" i="7"/>
  <c r="AW333" i="7"/>
  <c r="T334" i="7"/>
  <c r="AM334" i="7"/>
  <c r="BP333" i="7"/>
  <c r="BK353" i="7"/>
  <c r="AH354" i="7"/>
  <c r="BC353" i="7"/>
  <c r="Z354" i="7"/>
  <c r="X334" i="7"/>
  <c r="BA333" i="7"/>
  <c r="AY353" i="7"/>
  <c r="V354" i="7"/>
  <c r="AK335" i="7"/>
  <c r="BN334" i="7"/>
  <c r="AO335" i="7"/>
  <c r="BR334" i="7"/>
  <c r="S335" i="7"/>
  <c r="AV334" i="7"/>
  <c r="AE334" i="7"/>
  <c r="BH333" i="7"/>
  <c r="BT334" i="7"/>
  <c r="AQ335" i="7"/>
  <c r="AG335" i="7"/>
  <c r="BJ334" i="7"/>
  <c r="Q335" i="7"/>
  <c r="AT334" i="7"/>
  <c r="BO353" i="7"/>
  <c r="AL354" i="7"/>
  <c r="BM333" i="7"/>
  <c r="AJ334" i="7"/>
  <c r="BG355" i="7"/>
  <c r="AD356" i="7"/>
  <c r="AB334" i="7"/>
  <c r="BE333" i="7"/>
  <c r="A335" i="7"/>
  <c r="U335" i="7"/>
  <c r="AX334" i="7"/>
  <c r="Y335" i="7"/>
  <c r="BB334" i="7"/>
  <c r="J31" i="6"/>
  <c r="P32" i="6"/>
  <c r="BL177" i="7"/>
  <c r="AI178" i="7"/>
  <c r="AO158" i="7"/>
  <c r="BR157" i="7"/>
  <c r="AE173" i="7"/>
  <c r="BH172" i="7"/>
  <c r="AR156" i="7"/>
  <c r="BU155" i="7"/>
  <c r="L176" i="7"/>
  <c r="A175" i="7"/>
  <c r="AQ155" i="7"/>
  <c r="BT154" i="7"/>
  <c r="J154" i="7" s="1"/>
  <c r="Y158" i="7"/>
  <c r="BB157" i="7"/>
  <c r="Z158" i="7"/>
  <c r="BC157" i="7"/>
  <c r="AU157" i="7"/>
  <c r="R158" i="7"/>
  <c r="AZ157" i="7"/>
  <c r="W158" i="7"/>
  <c r="T158" i="7"/>
  <c r="AW157" i="7"/>
  <c r="AA158" i="7"/>
  <c r="BD157" i="7"/>
  <c r="S158" i="7"/>
  <c r="AV157" i="7"/>
  <c r="BA157" i="7"/>
  <c r="X158" i="7"/>
  <c r="V158" i="7"/>
  <c r="AY157" i="7"/>
  <c r="U158" i="7"/>
  <c r="AX157" i="7"/>
  <c r="AS157" i="7"/>
  <c r="P158" i="7"/>
  <c r="Q158" i="7"/>
  <c r="AT157" i="7"/>
  <c r="AP178" i="7"/>
  <c r="BS178" i="7" s="1"/>
  <c r="J27" i="5"/>
  <c r="J16" i="4"/>
  <c r="J17" i="4"/>
  <c r="J18" i="4"/>
  <c r="J19" i="4"/>
  <c r="J20" i="4"/>
  <c r="P22" i="4"/>
  <c r="J21" i="4"/>
  <c r="C23" i="4"/>
  <c r="E27" i="4"/>
  <c r="E23" i="4"/>
  <c r="E17" i="4"/>
  <c r="C28" i="4"/>
  <c r="C30" i="4"/>
  <c r="C26" i="4"/>
  <c r="C22" i="4"/>
  <c r="C25" i="4"/>
  <c r="C31" i="4"/>
  <c r="C21" i="4"/>
  <c r="C18" i="4"/>
  <c r="C16" i="4"/>
  <c r="C17" i="4"/>
  <c r="C27" i="4"/>
  <c r="C19" i="4"/>
  <c r="C24" i="4"/>
  <c r="C29" i="4"/>
  <c r="C20" i="4"/>
  <c r="P17" i="1"/>
  <c r="P18" i="1" s="1"/>
  <c r="P20" i="1" s="1"/>
  <c r="Q17" i="1"/>
  <c r="R17" i="1"/>
  <c r="S17" i="1"/>
  <c r="U17" i="1"/>
  <c r="V17" i="1"/>
  <c r="T17" i="1"/>
  <c r="A28" i="1"/>
  <c r="A30" i="1"/>
  <c r="BU332" i="7" l="1"/>
  <c r="J332" i="7" s="1"/>
  <c r="AR333" i="7"/>
  <c r="Y336" i="7"/>
  <c r="BB335" i="7"/>
  <c r="A336" i="7"/>
  <c r="Q336" i="7"/>
  <c r="AT335" i="7"/>
  <c r="AV335" i="7"/>
  <c r="S336" i="7"/>
  <c r="BK354" i="7"/>
  <c r="AH355" i="7"/>
  <c r="AW334" i="7"/>
  <c r="T335" i="7"/>
  <c r="BS354" i="7"/>
  <c r="AP355" i="7"/>
  <c r="BM334" i="7"/>
  <c r="AJ335" i="7"/>
  <c r="BA334" i="7"/>
  <c r="X335" i="7"/>
  <c r="W335" i="7"/>
  <c r="AZ334" i="7"/>
  <c r="BQ334" i="7"/>
  <c r="AN335" i="7"/>
  <c r="AC336" i="7"/>
  <c r="BF335" i="7"/>
  <c r="U336" i="7"/>
  <c r="AX335" i="7"/>
  <c r="BE334" i="7"/>
  <c r="AB335" i="7"/>
  <c r="AG336" i="7"/>
  <c r="BJ335" i="7"/>
  <c r="BH334" i="7"/>
  <c r="AE335" i="7"/>
  <c r="AO336" i="7"/>
  <c r="BR335" i="7"/>
  <c r="AY354" i="7"/>
  <c r="V355" i="7"/>
  <c r="BC354" i="7"/>
  <c r="Z355" i="7"/>
  <c r="AU355" i="7"/>
  <c r="R356" i="7"/>
  <c r="AS334" i="7"/>
  <c r="P335" i="7"/>
  <c r="BI334" i="7"/>
  <c r="AF335" i="7"/>
  <c r="BD335" i="7"/>
  <c r="AA336" i="7"/>
  <c r="AK336" i="7"/>
  <c r="BN335" i="7"/>
  <c r="BG356" i="7"/>
  <c r="AD357" i="7"/>
  <c r="BO354" i="7"/>
  <c r="AL355" i="7"/>
  <c r="BT335" i="7"/>
  <c r="AQ336" i="7"/>
  <c r="AM335" i="7"/>
  <c r="BP334" i="7"/>
  <c r="AI335" i="7"/>
  <c r="BL334" i="7"/>
  <c r="Q19" i="1"/>
  <c r="Q21" i="1" s="1"/>
  <c r="Q22" i="1" s="1"/>
  <c r="Q23" i="1" s="1"/>
  <c r="Q24" i="1" s="1"/>
  <c r="Q25" i="1" s="1"/>
  <c r="Q26" i="1" s="1"/>
  <c r="Q27" i="1" s="1"/>
  <c r="Q28" i="1" s="1"/>
  <c r="Q29" i="1" s="1"/>
  <c r="Q30" i="1" s="1"/>
  <c r="Q18" i="1"/>
  <c r="Q20" i="1" s="1"/>
  <c r="P33" i="6"/>
  <c r="J32" i="6"/>
  <c r="T19" i="1"/>
  <c r="T21" i="1" s="1"/>
  <c r="T22" i="1" s="1"/>
  <c r="T23" i="1" s="1"/>
  <c r="T24" i="1" s="1"/>
  <c r="T25" i="1" s="1"/>
  <c r="T26" i="1" s="1"/>
  <c r="T27" i="1" s="1"/>
  <c r="T28" i="1" s="1"/>
  <c r="T29" i="1" s="1"/>
  <c r="T30" i="1" s="1"/>
  <c r="T18" i="1"/>
  <c r="T20" i="1" s="1"/>
  <c r="BL178" i="7"/>
  <c r="AI179" i="7"/>
  <c r="AO159" i="7"/>
  <c r="BR158" i="7"/>
  <c r="AR157" i="7"/>
  <c r="BU156" i="7"/>
  <c r="L177" i="7"/>
  <c r="L178" i="7" s="1"/>
  <c r="A176" i="7"/>
  <c r="AQ156" i="7"/>
  <c r="BT155" i="7"/>
  <c r="J155" i="7" s="1"/>
  <c r="AE174" i="7"/>
  <c r="BH173" i="7"/>
  <c r="AU158" i="7"/>
  <c r="R159" i="7"/>
  <c r="W159" i="7"/>
  <c r="AZ158" i="7"/>
  <c r="X159" i="7"/>
  <c r="BA158" i="7"/>
  <c r="S159" i="7"/>
  <c r="AV158" i="7"/>
  <c r="BD158" i="7"/>
  <c r="AA159" i="7"/>
  <c r="BC158" i="7"/>
  <c r="Z159" i="7"/>
  <c r="T159" i="7"/>
  <c r="AW158" i="7"/>
  <c r="BB158" i="7"/>
  <c r="Y159" i="7"/>
  <c r="AY158" i="7"/>
  <c r="V159" i="7"/>
  <c r="U159" i="7"/>
  <c r="AX158" i="7"/>
  <c r="P159" i="7"/>
  <c r="AS158" i="7"/>
  <c r="AT158" i="7"/>
  <c r="Q159" i="7"/>
  <c r="AP179" i="7"/>
  <c r="BS179" i="7" s="1"/>
  <c r="V19" i="1"/>
  <c r="V21" i="1" s="1"/>
  <c r="V22" i="1" s="1"/>
  <c r="V23" i="1" s="1"/>
  <c r="V24" i="1" s="1"/>
  <c r="V25" i="1" s="1"/>
  <c r="V26" i="1" s="1"/>
  <c r="V27" i="1" s="1"/>
  <c r="V28" i="1" s="1"/>
  <c r="V29" i="1" s="1"/>
  <c r="V30" i="1" s="1"/>
  <c r="V18" i="1"/>
  <c r="V20" i="1" s="1"/>
  <c r="U19" i="1"/>
  <c r="U21" i="1" s="1"/>
  <c r="U22" i="1" s="1"/>
  <c r="U23" i="1" s="1"/>
  <c r="U24" i="1" s="1"/>
  <c r="U25" i="1" s="1"/>
  <c r="U26" i="1" s="1"/>
  <c r="U27" i="1" s="1"/>
  <c r="U28" i="1" s="1"/>
  <c r="U29" i="1" s="1"/>
  <c r="U30" i="1" s="1"/>
  <c r="U18" i="1"/>
  <c r="U20" i="1" s="1"/>
  <c r="S19" i="1"/>
  <c r="S21" i="1" s="1"/>
  <c r="S22" i="1" s="1"/>
  <c r="S23" i="1" s="1"/>
  <c r="S24" i="1" s="1"/>
  <c r="S25" i="1" s="1"/>
  <c r="S26" i="1" s="1"/>
  <c r="S27" i="1" s="1"/>
  <c r="S28" i="1" s="1"/>
  <c r="S29" i="1" s="1"/>
  <c r="S30" i="1" s="1"/>
  <c r="S18" i="1"/>
  <c r="S20" i="1" s="1"/>
  <c r="R19" i="1"/>
  <c r="R21" i="1" s="1"/>
  <c r="R22" i="1" s="1"/>
  <c r="R23" i="1" s="1"/>
  <c r="R24" i="1" s="1"/>
  <c r="R25" i="1" s="1"/>
  <c r="R26" i="1" s="1"/>
  <c r="R27" i="1" s="1"/>
  <c r="R28" i="1" s="1"/>
  <c r="R29" i="1" s="1"/>
  <c r="R30" i="1" s="1"/>
  <c r="R18" i="1"/>
  <c r="R20" i="1" s="1"/>
  <c r="P19" i="1"/>
  <c r="P23" i="4"/>
  <c r="J22" i="4"/>
  <c r="D27" i="4"/>
  <c r="D17" i="4"/>
  <c r="D16" i="4"/>
  <c r="D18" i="4"/>
  <c r="D21" i="4"/>
  <c r="D31" i="4"/>
  <c r="D25" i="4"/>
  <c r="D22" i="4"/>
  <c r="D26" i="4"/>
  <c r="D30" i="4"/>
  <c r="D28" i="4"/>
  <c r="D23" i="4"/>
  <c r="D20" i="4"/>
  <c r="D29" i="4"/>
  <c r="D24" i="4"/>
  <c r="D19" i="4"/>
  <c r="A17" i="1"/>
  <c r="A19" i="1"/>
  <c r="A21" i="1"/>
  <c r="A22" i="1"/>
  <c r="A23" i="1"/>
  <c r="A24" i="1"/>
  <c r="A25" i="1"/>
  <c r="A26" i="1"/>
  <c r="A27" i="1"/>
  <c r="A16" i="1"/>
  <c r="L179" i="7" l="1"/>
  <c r="A178" i="7"/>
  <c r="BU333" i="7"/>
  <c r="J333" i="7" s="1"/>
  <c r="AR334" i="7"/>
  <c r="AI336" i="7"/>
  <c r="BL335" i="7"/>
  <c r="AQ337" i="7"/>
  <c r="BT336" i="7"/>
  <c r="AA337" i="7"/>
  <c r="BD336" i="7"/>
  <c r="AS335" i="7"/>
  <c r="P336" i="7"/>
  <c r="BE335" i="7"/>
  <c r="AB336" i="7"/>
  <c r="BM335" i="7"/>
  <c r="AJ336" i="7"/>
  <c r="S337" i="7"/>
  <c r="AV336" i="7"/>
  <c r="BR336" i="7"/>
  <c r="AO337" i="7"/>
  <c r="BJ336" i="7"/>
  <c r="AG337" i="7"/>
  <c r="BF336" i="7"/>
  <c r="AC337" i="7"/>
  <c r="W336" i="7"/>
  <c r="AZ335" i="7"/>
  <c r="BO355" i="7"/>
  <c r="AL356" i="7"/>
  <c r="BI335" i="7"/>
  <c r="AF336" i="7"/>
  <c r="AU356" i="7"/>
  <c r="R357" i="7"/>
  <c r="AY355" i="7"/>
  <c r="V356" i="7"/>
  <c r="AE336" i="7"/>
  <c r="BH335" i="7"/>
  <c r="BQ335" i="7"/>
  <c r="AN336" i="7"/>
  <c r="BA335" i="7"/>
  <c r="X336" i="7"/>
  <c r="BS355" i="7"/>
  <c r="AP356" i="7"/>
  <c r="BK355" i="7"/>
  <c r="AH356" i="7"/>
  <c r="AD358" i="7"/>
  <c r="BG357" i="7"/>
  <c r="BC355" i="7"/>
  <c r="Z356" i="7"/>
  <c r="AW335" i="7"/>
  <c r="T336" i="7"/>
  <c r="A337" i="7"/>
  <c r="AM336" i="7"/>
  <c r="BP335" i="7"/>
  <c r="BN336" i="7"/>
  <c r="AK337" i="7"/>
  <c r="AX336" i="7"/>
  <c r="U337" i="7"/>
  <c r="AT336" i="7"/>
  <c r="Q337" i="7"/>
  <c r="BB336" i="7"/>
  <c r="Y337" i="7"/>
  <c r="P34" i="6"/>
  <c r="J33" i="6"/>
  <c r="AI180" i="7"/>
  <c r="BL179" i="7"/>
  <c r="AO160" i="7"/>
  <c r="BR159" i="7"/>
  <c r="AE175" i="7"/>
  <c r="BH174" i="7"/>
  <c r="A177" i="7"/>
  <c r="AQ157" i="7"/>
  <c r="BT156" i="7"/>
  <c r="J156" i="7" s="1"/>
  <c r="AR158" i="7"/>
  <c r="BU157" i="7"/>
  <c r="T160" i="7"/>
  <c r="AW159" i="7"/>
  <c r="X160" i="7"/>
  <c r="BA159" i="7"/>
  <c r="AV159" i="7"/>
  <c r="S160" i="7"/>
  <c r="Z160" i="7"/>
  <c r="BC159" i="7"/>
  <c r="AZ159" i="7"/>
  <c r="W160" i="7"/>
  <c r="R160" i="7"/>
  <c r="AU159" i="7"/>
  <c r="BD159" i="7"/>
  <c r="AA160" i="7"/>
  <c r="BB159" i="7"/>
  <c r="Y160" i="7"/>
  <c r="V160" i="7"/>
  <c r="AY159" i="7"/>
  <c r="AX159" i="7"/>
  <c r="U160" i="7"/>
  <c r="P160" i="7"/>
  <c r="AS159" i="7"/>
  <c r="Q160" i="7"/>
  <c r="AT159" i="7"/>
  <c r="AP180" i="7"/>
  <c r="BS180" i="7" s="1"/>
  <c r="P24" i="4"/>
  <c r="J23" i="4"/>
  <c r="P21" i="1"/>
  <c r="B17" i="1"/>
  <c r="B19" i="1"/>
  <c r="B21" i="1"/>
  <c r="B22" i="1"/>
  <c r="B23" i="1"/>
  <c r="B24" i="1"/>
  <c r="B25" i="1"/>
  <c r="B26" i="1"/>
  <c r="B27" i="1"/>
  <c r="B28" i="1"/>
  <c r="B30" i="1"/>
  <c r="B16" i="1"/>
  <c r="AR335" i="7" l="1"/>
  <c r="BU334" i="7"/>
  <c r="J334" i="7" s="1"/>
  <c r="L180" i="7"/>
  <c r="L181" i="7" s="1"/>
  <c r="L182" i="7" s="1"/>
  <c r="L183" i="7" s="1"/>
  <c r="L184" i="7" s="1"/>
  <c r="L185" i="7" s="1"/>
  <c r="L186" i="7" s="1"/>
  <c r="L187" i="7" s="1"/>
  <c r="L188" i="7" s="1"/>
  <c r="L189" i="7" s="1"/>
  <c r="L190" i="7" s="1"/>
  <c r="L191" i="7" s="1"/>
  <c r="L192" i="7" s="1"/>
  <c r="L194" i="7" s="1"/>
  <c r="L195" i="7" s="1"/>
  <c r="L196" i="7" s="1"/>
  <c r="L197" i="7" s="1"/>
  <c r="L198" i="7" s="1"/>
  <c r="L199" i="7" s="1"/>
  <c r="L200" i="7" s="1"/>
  <c r="L201" i="7" s="1"/>
  <c r="A179" i="7"/>
  <c r="BP336" i="7"/>
  <c r="AM337" i="7"/>
  <c r="BG358" i="7"/>
  <c r="AD359" i="7"/>
  <c r="BH336" i="7"/>
  <c r="AE337" i="7"/>
  <c r="BN337" i="7"/>
  <c r="AK338" i="7"/>
  <c r="BC356" i="7"/>
  <c r="Z357" i="7"/>
  <c r="BA336" i="7"/>
  <c r="X337" i="7"/>
  <c r="AY356" i="7"/>
  <c r="V357" i="7"/>
  <c r="BT337" i="7"/>
  <c r="AQ338" i="7"/>
  <c r="AZ336" i="7"/>
  <c r="W337" i="7"/>
  <c r="BE336" i="7"/>
  <c r="AB337" i="7"/>
  <c r="BM336" i="7"/>
  <c r="AJ337" i="7"/>
  <c r="AS336" i="7"/>
  <c r="P337" i="7"/>
  <c r="AT337" i="7"/>
  <c r="Q338" i="7"/>
  <c r="A338" i="7"/>
  <c r="BK356" i="7"/>
  <c r="AH357" i="7"/>
  <c r="BI336" i="7"/>
  <c r="AF337" i="7"/>
  <c r="BJ337" i="7"/>
  <c r="AG338" i="7"/>
  <c r="BB337" i="7"/>
  <c r="Y338" i="7"/>
  <c r="AX337" i="7"/>
  <c r="U338" i="7"/>
  <c r="AW336" i="7"/>
  <c r="T337" i="7"/>
  <c r="BS356" i="7"/>
  <c r="AP357" i="7"/>
  <c r="BQ336" i="7"/>
  <c r="AN337" i="7"/>
  <c r="AU357" i="7"/>
  <c r="R358" i="7"/>
  <c r="BO356" i="7"/>
  <c r="AL357" i="7"/>
  <c r="AC338" i="7"/>
  <c r="BF337" i="7"/>
  <c r="BR337" i="7"/>
  <c r="AO338" i="7"/>
  <c r="S338" i="7"/>
  <c r="AV337" i="7"/>
  <c r="AA338" i="7"/>
  <c r="BD337" i="7"/>
  <c r="AI337" i="7"/>
  <c r="BL336" i="7"/>
  <c r="J34" i="6"/>
  <c r="P35" i="6"/>
  <c r="AI181" i="7"/>
  <c r="BL180" i="7"/>
  <c r="AO161" i="7"/>
  <c r="BR160" i="7"/>
  <c r="A180" i="7"/>
  <c r="AE176" i="7"/>
  <c r="BH175" i="7"/>
  <c r="AR159" i="7"/>
  <c r="BU158" i="7"/>
  <c r="AQ158" i="7"/>
  <c r="BT157" i="7"/>
  <c r="J157" i="7" s="1"/>
  <c r="AA161" i="7"/>
  <c r="BD160" i="7"/>
  <c r="S161" i="7"/>
  <c r="AV160" i="7"/>
  <c r="R161" i="7"/>
  <c r="AU160" i="7"/>
  <c r="X161" i="7"/>
  <c r="BA160" i="7"/>
  <c r="Z161" i="7"/>
  <c r="BC160" i="7"/>
  <c r="W161" i="7"/>
  <c r="AZ160" i="7"/>
  <c r="AW160" i="7"/>
  <c r="T161" i="7"/>
  <c r="BB160" i="7"/>
  <c r="Y161" i="7"/>
  <c r="AY160" i="7"/>
  <c r="V161" i="7"/>
  <c r="U161" i="7"/>
  <c r="AX160" i="7"/>
  <c r="AS160" i="7"/>
  <c r="P161" i="7"/>
  <c r="Q161" i="7"/>
  <c r="AT160" i="7"/>
  <c r="AP181" i="7"/>
  <c r="BS181" i="7" s="1"/>
  <c r="P22" i="1"/>
  <c r="P25" i="4"/>
  <c r="J24" i="4"/>
  <c r="M11" i="1"/>
  <c r="L202" i="7" l="1"/>
  <c r="A201" i="7"/>
  <c r="BU335" i="7"/>
  <c r="J335" i="7" s="1"/>
  <c r="AR336" i="7"/>
  <c r="AP358" i="7"/>
  <c r="BS357" i="7"/>
  <c r="BJ338" i="7"/>
  <c r="AG339" i="7"/>
  <c r="AB338" i="7"/>
  <c r="BE337" i="7"/>
  <c r="AI338" i="7"/>
  <c r="BL337" i="7"/>
  <c r="S339" i="7"/>
  <c r="AV338" i="7"/>
  <c r="BF338" i="7"/>
  <c r="AC339" i="7"/>
  <c r="X338" i="7"/>
  <c r="BA337" i="7"/>
  <c r="BN338" i="7"/>
  <c r="AK339" i="7"/>
  <c r="BR338" i="7"/>
  <c r="AO339" i="7"/>
  <c r="AL358" i="7"/>
  <c r="BO357" i="7"/>
  <c r="AN338" i="7"/>
  <c r="BQ337" i="7"/>
  <c r="AW337" i="7"/>
  <c r="T338" i="7"/>
  <c r="BB338" i="7"/>
  <c r="Y339" i="7"/>
  <c r="BI337" i="7"/>
  <c r="AF338" i="7"/>
  <c r="BK357" i="7"/>
  <c r="AH358" i="7"/>
  <c r="AT338" i="7"/>
  <c r="Q339" i="7"/>
  <c r="BM337" i="7"/>
  <c r="AJ338" i="7"/>
  <c r="W338" i="7"/>
  <c r="AZ337" i="7"/>
  <c r="R359" i="7"/>
  <c r="AU358" i="7"/>
  <c r="AX338" i="7"/>
  <c r="U339" i="7"/>
  <c r="AS337" i="7"/>
  <c r="P338" i="7"/>
  <c r="BT338" i="7"/>
  <c r="AQ339" i="7"/>
  <c r="A339" i="7"/>
  <c r="N258" i="7"/>
  <c r="BG359" i="7"/>
  <c r="AD360" i="7"/>
  <c r="BD338" i="7"/>
  <c r="AA339" i="7"/>
  <c r="V358" i="7"/>
  <c r="AY357" i="7"/>
  <c r="Z358" i="7"/>
  <c r="BC357" i="7"/>
  <c r="AE338" i="7"/>
  <c r="BH337" i="7"/>
  <c r="AM338" i="7"/>
  <c r="BP337" i="7"/>
  <c r="P36" i="6"/>
  <c r="J35" i="6"/>
  <c r="AI182" i="7"/>
  <c r="BL181" i="7"/>
  <c r="AO162" i="7"/>
  <c r="BR161" i="7"/>
  <c r="AE177" i="7"/>
  <c r="BH176" i="7"/>
  <c r="AQ159" i="7"/>
  <c r="BT158" i="7"/>
  <c r="J158" i="7" s="1"/>
  <c r="AR160" i="7"/>
  <c r="BU159" i="7"/>
  <c r="A181" i="7"/>
  <c r="AU161" i="7"/>
  <c r="R162" i="7"/>
  <c r="BA161" i="7"/>
  <c r="X162" i="7"/>
  <c r="T162" i="7"/>
  <c r="AW161" i="7"/>
  <c r="W162" i="7"/>
  <c r="AZ161" i="7"/>
  <c r="AV161" i="7"/>
  <c r="S162" i="7"/>
  <c r="BC161" i="7"/>
  <c r="Z162" i="7"/>
  <c r="BD161" i="7"/>
  <c r="AA162" i="7"/>
  <c r="BB161" i="7"/>
  <c r="Y162" i="7"/>
  <c r="AY161" i="7"/>
  <c r="V162" i="7"/>
  <c r="U162" i="7"/>
  <c r="AX161" i="7"/>
  <c r="AS161" i="7"/>
  <c r="P162" i="7"/>
  <c r="AT161" i="7"/>
  <c r="Q162" i="7"/>
  <c r="AP182" i="7"/>
  <c r="BS182" i="7" s="1"/>
  <c r="C18" i="1"/>
  <c r="C20" i="1"/>
  <c r="C29" i="1"/>
  <c r="P26" i="4"/>
  <c r="J25" i="4"/>
  <c r="P23" i="1"/>
  <c r="E28" i="1"/>
  <c r="O28" i="1"/>
  <c r="BU336" i="7" l="1"/>
  <c r="J336" i="7" s="1"/>
  <c r="AR337" i="7"/>
  <c r="L203" i="7"/>
  <c r="A202" i="7"/>
  <c r="W339" i="7"/>
  <c r="AZ338" i="7"/>
  <c r="AL359" i="7"/>
  <c r="BO358" i="7"/>
  <c r="BF339" i="7"/>
  <c r="AC340" i="7"/>
  <c r="BJ339" i="7"/>
  <c r="AG340" i="7"/>
  <c r="BG360" i="7"/>
  <c r="AD361" i="7"/>
  <c r="AQ340" i="7"/>
  <c r="BT339" i="7"/>
  <c r="BM338" i="7"/>
  <c r="AJ339" i="7"/>
  <c r="AH359" i="7"/>
  <c r="BK358" i="7"/>
  <c r="BB339" i="7"/>
  <c r="Y340" i="7"/>
  <c r="BR339" i="7"/>
  <c r="AO340" i="7"/>
  <c r="BL338" i="7"/>
  <c r="AI339" i="7"/>
  <c r="BH338" i="7"/>
  <c r="AE339" i="7"/>
  <c r="V359" i="7"/>
  <c r="AY358" i="7"/>
  <c r="AU359" i="7"/>
  <c r="R360" i="7"/>
  <c r="AN339" i="7"/>
  <c r="BQ338" i="7"/>
  <c r="X339" i="7"/>
  <c r="BA338" i="7"/>
  <c r="AM339" i="7"/>
  <c r="BP338" i="7"/>
  <c r="Z359" i="7"/>
  <c r="BC358" i="7"/>
  <c r="AA340" i="7"/>
  <c r="BD339" i="7"/>
  <c r="AS338" i="7"/>
  <c r="P339" i="7"/>
  <c r="AX339" i="7"/>
  <c r="U340" i="7"/>
  <c r="AT339" i="7"/>
  <c r="Q340" i="7"/>
  <c r="BI338" i="7"/>
  <c r="AF339" i="7"/>
  <c r="AW338" i="7"/>
  <c r="T339" i="7"/>
  <c r="BN339" i="7"/>
  <c r="AK340" i="7"/>
  <c r="S340" i="7"/>
  <c r="AV339" i="7"/>
  <c r="AB339" i="7"/>
  <c r="BE338" i="7"/>
  <c r="AP359" i="7"/>
  <c r="BS358" i="7"/>
  <c r="J36" i="6"/>
  <c r="P37" i="6"/>
  <c r="J37" i="6" s="1"/>
  <c r="AI183" i="7"/>
  <c r="BL182" i="7"/>
  <c r="AO163" i="7"/>
  <c r="BR162" i="7"/>
  <c r="AQ160" i="7"/>
  <c r="BT159" i="7"/>
  <c r="J159" i="7" s="1"/>
  <c r="AR161" i="7"/>
  <c r="BU160" i="7"/>
  <c r="A182" i="7"/>
  <c r="AE178" i="7"/>
  <c r="BH177" i="7"/>
  <c r="BB162" i="7"/>
  <c r="Y163" i="7"/>
  <c r="W163" i="7"/>
  <c r="AZ162" i="7"/>
  <c r="BC162" i="7"/>
  <c r="Z163" i="7"/>
  <c r="X163" i="7"/>
  <c r="BA162" i="7"/>
  <c r="T163" i="7"/>
  <c r="AW162" i="7"/>
  <c r="S163" i="7"/>
  <c r="AV162" i="7"/>
  <c r="R163" i="7"/>
  <c r="AU162" i="7"/>
  <c r="AA163" i="7"/>
  <c r="BD162" i="7"/>
  <c r="AY162" i="7"/>
  <c r="V163" i="7"/>
  <c r="U163" i="7"/>
  <c r="AX162" i="7"/>
  <c r="P163" i="7"/>
  <c r="AS162" i="7"/>
  <c r="Q163" i="7"/>
  <c r="AT162" i="7"/>
  <c r="AP183" i="7"/>
  <c r="BS183" i="7" s="1"/>
  <c r="P24" i="1"/>
  <c r="P27" i="4"/>
  <c r="J26" i="4"/>
  <c r="M12" i="1"/>
  <c r="L204" i="7" l="1"/>
  <c r="A203" i="7"/>
  <c r="AR338" i="7"/>
  <c r="BU337" i="7"/>
  <c r="J337" i="7" s="1"/>
  <c r="AK341" i="7"/>
  <c r="BN340" i="7"/>
  <c r="AF340" i="7"/>
  <c r="BI339" i="7"/>
  <c r="AX340" i="7"/>
  <c r="U341" i="7"/>
  <c r="AE340" i="7"/>
  <c r="BH339" i="7"/>
  <c r="AO341" i="7"/>
  <c r="BR340" i="7"/>
  <c r="BJ340" i="7"/>
  <c r="AG341" i="7"/>
  <c r="AB340" i="7"/>
  <c r="BE339" i="7"/>
  <c r="AA341" i="7"/>
  <c r="BD340" i="7"/>
  <c r="AM340" i="7"/>
  <c r="BP339" i="7"/>
  <c r="BQ339" i="7"/>
  <c r="AN340" i="7"/>
  <c r="BK359" i="7"/>
  <c r="AH360" i="7"/>
  <c r="AQ341" i="7"/>
  <c r="BT340" i="7"/>
  <c r="BO359" i="7"/>
  <c r="AL360" i="7"/>
  <c r="AW339" i="7"/>
  <c r="T340" i="7"/>
  <c r="Q341" i="7"/>
  <c r="AT340" i="7"/>
  <c r="P340" i="7"/>
  <c r="AS339" i="7"/>
  <c r="AU360" i="7"/>
  <c r="R361" i="7"/>
  <c r="AI340" i="7"/>
  <c r="BL339" i="7"/>
  <c r="Y341" i="7"/>
  <c r="BB340" i="7"/>
  <c r="BM339" i="7"/>
  <c r="AJ340" i="7"/>
  <c r="BG361" i="7"/>
  <c r="AD362" i="7"/>
  <c r="AC341" i="7"/>
  <c r="BF340" i="7"/>
  <c r="BS359" i="7"/>
  <c r="AP360" i="7"/>
  <c r="S341" i="7"/>
  <c r="AV340" i="7"/>
  <c r="BC359" i="7"/>
  <c r="Z360" i="7"/>
  <c r="BA339" i="7"/>
  <c r="X340" i="7"/>
  <c r="AY359" i="7"/>
  <c r="V360" i="7"/>
  <c r="W340" i="7"/>
  <c r="AZ339" i="7"/>
  <c r="AI184" i="7"/>
  <c r="BL183" i="7"/>
  <c r="AO164" i="7"/>
  <c r="BR163" i="7"/>
  <c r="AE179" i="7"/>
  <c r="BH178" i="7"/>
  <c r="A183" i="7"/>
  <c r="AR162" i="7"/>
  <c r="BU161" i="7"/>
  <c r="AQ161" i="7"/>
  <c r="BT160" i="7"/>
  <c r="J160" i="7" s="1"/>
  <c r="AA164" i="7"/>
  <c r="BD163" i="7"/>
  <c r="BA163" i="7"/>
  <c r="X164" i="7"/>
  <c r="Z164" i="7"/>
  <c r="BC163" i="7"/>
  <c r="AV163" i="7"/>
  <c r="S164" i="7"/>
  <c r="R164" i="7"/>
  <c r="AU163" i="7"/>
  <c r="AZ163" i="7"/>
  <c r="W164" i="7"/>
  <c r="T164" i="7"/>
  <c r="AW163" i="7"/>
  <c r="Y164" i="7"/>
  <c r="BB163" i="7"/>
  <c r="AY163" i="7"/>
  <c r="V164" i="7"/>
  <c r="AX163" i="7"/>
  <c r="U164" i="7"/>
  <c r="AS163" i="7"/>
  <c r="P164" i="7"/>
  <c r="AT163" i="7"/>
  <c r="Q164" i="7"/>
  <c r="AP184" i="7"/>
  <c r="BS184" i="7" s="1"/>
  <c r="D18" i="1"/>
  <c r="D20" i="1"/>
  <c r="D29" i="1"/>
  <c r="P28" i="4"/>
  <c r="J27" i="4"/>
  <c r="P25" i="1"/>
  <c r="D28" i="1"/>
  <c r="C28" i="1"/>
  <c r="M9" i="1"/>
  <c r="BU338" i="7" l="1"/>
  <c r="J338" i="7" s="1"/>
  <c r="AR339" i="7"/>
  <c r="L205" i="7"/>
  <c r="A204" i="7"/>
  <c r="AY360" i="7"/>
  <c r="V361" i="7"/>
  <c r="Y342" i="7"/>
  <c r="BB341" i="7"/>
  <c r="Q342" i="7"/>
  <c r="AT341" i="7"/>
  <c r="AA342" i="7"/>
  <c r="BD341" i="7"/>
  <c r="AE341" i="7"/>
  <c r="BH340" i="7"/>
  <c r="BI340" i="7"/>
  <c r="AF341" i="7"/>
  <c r="X341" i="7"/>
  <c r="BA340" i="7"/>
  <c r="AJ341" i="7"/>
  <c r="BM340" i="7"/>
  <c r="T341" i="7"/>
  <c r="AW340" i="7"/>
  <c r="U342" i="7"/>
  <c r="AX341" i="7"/>
  <c r="W341" i="7"/>
  <c r="AZ340" i="7"/>
  <c r="S342" i="7"/>
  <c r="AV341" i="7"/>
  <c r="BF341" i="7"/>
  <c r="AC342" i="7"/>
  <c r="AI341" i="7"/>
  <c r="BL340" i="7"/>
  <c r="P341" i="7"/>
  <c r="AS340" i="7"/>
  <c r="AQ342" i="7"/>
  <c r="BT341" i="7"/>
  <c r="AM341" i="7"/>
  <c r="BP340" i="7"/>
  <c r="AB341" i="7"/>
  <c r="BE340" i="7"/>
  <c r="BR341" i="7"/>
  <c r="AO342" i="7"/>
  <c r="AK342" i="7"/>
  <c r="BN341" i="7"/>
  <c r="BC360" i="7"/>
  <c r="Z361" i="7"/>
  <c r="BS360" i="7"/>
  <c r="AP361" i="7"/>
  <c r="BG362" i="7"/>
  <c r="AD363" i="7"/>
  <c r="AU361" i="7"/>
  <c r="R362" i="7"/>
  <c r="BO360" i="7"/>
  <c r="AL361" i="7"/>
  <c r="BK360" i="7"/>
  <c r="AH361" i="7"/>
  <c r="AN341" i="7"/>
  <c r="BQ340" i="7"/>
  <c r="AG342" i="7"/>
  <c r="BJ341" i="7"/>
  <c r="BL184" i="7"/>
  <c r="AI185" i="7"/>
  <c r="AO165" i="7"/>
  <c r="BR164" i="7"/>
  <c r="AR163" i="7"/>
  <c r="BU162" i="7"/>
  <c r="AQ162" i="7"/>
  <c r="BT161" i="7"/>
  <c r="J161" i="7" s="1"/>
  <c r="A184" i="7"/>
  <c r="AE180" i="7"/>
  <c r="BH179" i="7"/>
  <c r="BB164" i="7"/>
  <c r="Y165" i="7"/>
  <c r="BC164" i="7"/>
  <c r="Z165" i="7"/>
  <c r="AW164" i="7"/>
  <c r="T165" i="7"/>
  <c r="BA164" i="7"/>
  <c r="X165" i="7"/>
  <c r="AU164" i="7"/>
  <c r="R165" i="7"/>
  <c r="W165" i="7"/>
  <c r="AZ164" i="7"/>
  <c r="AV164" i="7"/>
  <c r="S165" i="7"/>
  <c r="BD164" i="7"/>
  <c r="AA165" i="7"/>
  <c r="V165" i="7"/>
  <c r="AY164" i="7"/>
  <c r="U165" i="7"/>
  <c r="AX164" i="7"/>
  <c r="P165" i="7"/>
  <c r="AS164" i="7"/>
  <c r="Q165" i="7"/>
  <c r="AT164" i="7"/>
  <c r="AP185" i="7"/>
  <c r="BS185" i="7" s="1"/>
  <c r="P26" i="1"/>
  <c r="P29" i="4"/>
  <c r="J28" i="4"/>
  <c r="O17" i="1"/>
  <c r="O19" i="1"/>
  <c r="O21" i="1"/>
  <c r="O22" i="1"/>
  <c r="O23" i="1"/>
  <c r="O24" i="1"/>
  <c r="O25" i="1"/>
  <c r="O26" i="1"/>
  <c r="O27" i="1"/>
  <c r="O16" i="1"/>
  <c r="L206" i="7" l="1"/>
  <c r="A205" i="7"/>
  <c r="AR340" i="7"/>
  <c r="BU339" i="7"/>
  <c r="J339" i="7" s="1"/>
  <c r="BG363" i="7"/>
  <c r="AD364" i="7"/>
  <c r="BC361" i="7"/>
  <c r="Z362" i="7"/>
  <c r="AO343" i="7"/>
  <c r="BR342" i="7"/>
  <c r="AM342" i="7"/>
  <c r="BP341" i="7"/>
  <c r="BK361" i="7"/>
  <c r="AH362" i="7"/>
  <c r="AU362" i="7"/>
  <c r="R363" i="7"/>
  <c r="BS361" i="7"/>
  <c r="AP362" i="7"/>
  <c r="AC343" i="7"/>
  <c r="BF342" i="7"/>
  <c r="AJ342" i="7"/>
  <c r="BM341" i="7"/>
  <c r="AA343" i="7"/>
  <c r="BD342" i="7"/>
  <c r="Y343" i="7"/>
  <c r="BB342" i="7"/>
  <c r="BO361" i="7"/>
  <c r="AL362" i="7"/>
  <c r="X342" i="7"/>
  <c r="BA341" i="7"/>
  <c r="AE342" i="7"/>
  <c r="BH341" i="7"/>
  <c r="AT342" i="7"/>
  <c r="Q343" i="7"/>
  <c r="BQ341" i="7"/>
  <c r="AN342" i="7"/>
  <c r="AQ343" i="7"/>
  <c r="BT342" i="7"/>
  <c r="AI342" i="7"/>
  <c r="BL341" i="7"/>
  <c r="S343" i="7"/>
  <c r="AV342" i="7"/>
  <c r="AX342" i="7"/>
  <c r="U343" i="7"/>
  <c r="AF342" i="7"/>
  <c r="BI341" i="7"/>
  <c r="AG343" i="7"/>
  <c r="BJ342" i="7"/>
  <c r="AK343" i="7"/>
  <c r="BN342" i="7"/>
  <c r="AB342" i="7"/>
  <c r="BE341" i="7"/>
  <c r="P342" i="7"/>
  <c r="AS341" i="7"/>
  <c r="W342" i="7"/>
  <c r="AZ341" i="7"/>
  <c r="AW341" i="7"/>
  <c r="T342" i="7"/>
  <c r="AY361" i="7"/>
  <c r="V362" i="7"/>
  <c r="BL185" i="7"/>
  <c r="AI186" i="7"/>
  <c r="AO166" i="7"/>
  <c r="BR165" i="7"/>
  <c r="AQ163" i="7"/>
  <c r="BT162" i="7"/>
  <c r="J162" i="7" s="1"/>
  <c r="AR164" i="7"/>
  <c r="BU163" i="7"/>
  <c r="AE181" i="7"/>
  <c r="BH180" i="7"/>
  <c r="A185" i="7"/>
  <c r="BD165" i="7"/>
  <c r="AA166" i="7"/>
  <c r="X166" i="7"/>
  <c r="BA165" i="7"/>
  <c r="AW165" i="7"/>
  <c r="T166" i="7"/>
  <c r="Z166" i="7"/>
  <c r="BC165" i="7"/>
  <c r="R166" i="7"/>
  <c r="AU165" i="7"/>
  <c r="Y166" i="7"/>
  <c r="BB165" i="7"/>
  <c r="AV165" i="7"/>
  <c r="S166" i="7"/>
  <c r="W166" i="7"/>
  <c r="AZ165" i="7"/>
  <c r="AY165" i="7"/>
  <c r="V166" i="7"/>
  <c r="AX165" i="7"/>
  <c r="U166" i="7"/>
  <c r="AS165" i="7"/>
  <c r="P166" i="7"/>
  <c r="Q166" i="7"/>
  <c r="AT165" i="7"/>
  <c r="AP186" i="7"/>
  <c r="BS186" i="7" s="1"/>
  <c r="P30" i="4"/>
  <c r="J29" i="4"/>
  <c r="P27" i="1"/>
  <c r="D13" i="1"/>
  <c r="E13" i="1"/>
  <c r="F13" i="1"/>
  <c r="G13" i="1"/>
  <c r="H13" i="1"/>
  <c r="I13" i="1"/>
  <c r="J13" i="1"/>
  <c r="AR341" i="7" l="1"/>
  <c r="BU340" i="7"/>
  <c r="J340" i="7" s="1"/>
  <c r="L207" i="7"/>
  <c r="A206" i="7"/>
  <c r="P343" i="7"/>
  <c r="AS342" i="7"/>
  <c r="BE342" i="7"/>
  <c r="AB343" i="7"/>
  <c r="AG344" i="7"/>
  <c r="BJ343" i="7"/>
  <c r="AA344" i="7"/>
  <c r="BD343" i="7"/>
  <c r="BF343" i="7"/>
  <c r="AC344" i="7"/>
  <c r="BC362" i="7"/>
  <c r="Z363" i="7"/>
  <c r="AY362" i="7"/>
  <c r="V363" i="7"/>
  <c r="Q344" i="7"/>
  <c r="AT343" i="7"/>
  <c r="AM343" i="7"/>
  <c r="BP342" i="7"/>
  <c r="W343" i="7"/>
  <c r="AZ342" i="7"/>
  <c r="AK344" i="7"/>
  <c r="BN343" i="7"/>
  <c r="AF343" i="7"/>
  <c r="BI342" i="7"/>
  <c r="S344" i="7"/>
  <c r="AV343" i="7"/>
  <c r="AQ344" i="7"/>
  <c r="BT343" i="7"/>
  <c r="X343" i="7"/>
  <c r="BA342" i="7"/>
  <c r="BB343" i="7"/>
  <c r="Y344" i="7"/>
  <c r="AJ343" i="7"/>
  <c r="BM342" i="7"/>
  <c r="BS362" i="7"/>
  <c r="AP363" i="7"/>
  <c r="BK362" i="7"/>
  <c r="AH363" i="7"/>
  <c r="BG364" i="7"/>
  <c r="AD365" i="7"/>
  <c r="AI343" i="7"/>
  <c r="BL342" i="7"/>
  <c r="AE343" i="7"/>
  <c r="BH342" i="7"/>
  <c r="AU363" i="7"/>
  <c r="R364" i="7"/>
  <c r="T343" i="7"/>
  <c r="AW342" i="7"/>
  <c r="U344" i="7"/>
  <c r="AX343" i="7"/>
  <c r="AN343" i="7"/>
  <c r="BQ342" i="7"/>
  <c r="BO362" i="7"/>
  <c r="AL363" i="7"/>
  <c r="AO344" i="7"/>
  <c r="BR343" i="7"/>
  <c r="BL186" i="7"/>
  <c r="AI187" i="7"/>
  <c r="AO167" i="7"/>
  <c r="BR166" i="7"/>
  <c r="A186" i="7"/>
  <c r="AE182" i="7"/>
  <c r="BH181" i="7"/>
  <c r="AR165" i="7"/>
  <c r="BU164" i="7"/>
  <c r="AQ164" i="7"/>
  <c r="BT163" i="7"/>
  <c r="J163" i="7" s="1"/>
  <c r="W167" i="7"/>
  <c r="AZ166" i="7"/>
  <c r="BC166" i="7"/>
  <c r="Z167" i="7"/>
  <c r="AW166" i="7"/>
  <c r="T167" i="7"/>
  <c r="BB166" i="7"/>
  <c r="Y167" i="7"/>
  <c r="BD166" i="7"/>
  <c r="AA167" i="7"/>
  <c r="S167" i="7"/>
  <c r="AV166" i="7"/>
  <c r="BA166" i="7"/>
  <c r="X167" i="7"/>
  <c r="AU166" i="7"/>
  <c r="R167" i="7"/>
  <c r="AY166" i="7"/>
  <c r="V167" i="7"/>
  <c r="U167" i="7"/>
  <c r="AX166" i="7"/>
  <c r="AS166" i="7"/>
  <c r="P167" i="7"/>
  <c r="Q167" i="7"/>
  <c r="AT166" i="7"/>
  <c r="AP187" i="7"/>
  <c r="BS187" i="7" s="1"/>
  <c r="P28" i="1"/>
  <c r="P29" i="1" s="1"/>
  <c r="P30" i="1" s="1"/>
  <c r="P31" i="4"/>
  <c r="J31" i="4" s="1"/>
  <c r="J30" i="4"/>
  <c r="D17" i="1"/>
  <c r="D19" i="1"/>
  <c r="D21" i="1"/>
  <c r="D22" i="1"/>
  <c r="D23" i="1"/>
  <c r="D24" i="1"/>
  <c r="D25" i="1"/>
  <c r="D26" i="1"/>
  <c r="D27" i="1"/>
  <c r="D30" i="1"/>
  <c r="D16" i="1"/>
  <c r="L208" i="7" l="1"/>
  <c r="A207" i="7"/>
  <c r="AR342" i="7"/>
  <c r="BU341" i="7"/>
  <c r="J341" i="7" s="1"/>
  <c r="BK363" i="7"/>
  <c r="AH364" i="7"/>
  <c r="AI344" i="7"/>
  <c r="BL343" i="7"/>
  <c r="BM343" i="7"/>
  <c r="AJ344" i="7"/>
  <c r="X344" i="7"/>
  <c r="BA343" i="7"/>
  <c r="S345" i="7"/>
  <c r="AV344" i="7"/>
  <c r="BN344" i="7"/>
  <c r="AK345" i="7"/>
  <c r="W344" i="7"/>
  <c r="AZ343" i="7"/>
  <c r="Q345" i="7"/>
  <c r="AT344" i="7"/>
  <c r="AA345" i="7"/>
  <c r="BD344" i="7"/>
  <c r="AO345" i="7"/>
  <c r="BR344" i="7"/>
  <c r="BQ343" i="7"/>
  <c r="AN344" i="7"/>
  <c r="BG365" i="7"/>
  <c r="AD366" i="7"/>
  <c r="BS363" i="7"/>
  <c r="AP364" i="7"/>
  <c r="Y345" i="7"/>
  <c r="BB344" i="7"/>
  <c r="AY363" i="7"/>
  <c r="V364" i="7"/>
  <c r="AC345" i="7"/>
  <c r="BF344" i="7"/>
  <c r="U345" i="7"/>
  <c r="AX344" i="7"/>
  <c r="R365" i="7"/>
  <c r="AU364" i="7"/>
  <c r="BC363" i="7"/>
  <c r="Z364" i="7"/>
  <c r="AB344" i="7"/>
  <c r="BE343" i="7"/>
  <c r="BO363" i="7"/>
  <c r="AL364" i="7"/>
  <c r="T344" i="7"/>
  <c r="AW343" i="7"/>
  <c r="AE344" i="7"/>
  <c r="BH343" i="7"/>
  <c r="AQ345" i="7"/>
  <c r="BT344" i="7"/>
  <c r="AF344" i="7"/>
  <c r="BI343" i="7"/>
  <c r="AM344" i="7"/>
  <c r="BP343" i="7"/>
  <c r="AG345" i="7"/>
  <c r="BJ344" i="7"/>
  <c r="P344" i="7"/>
  <c r="AS343" i="7"/>
  <c r="AI188" i="7"/>
  <c r="BL187" i="7"/>
  <c r="AO168" i="7"/>
  <c r="BR167" i="7"/>
  <c r="AE183" i="7"/>
  <c r="BH182" i="7"/>
  <c r="AQ165" i="7"/>
  <c r="BT164" i="7"/>
  <c r="J164" i="7" s="1"/>
  <c r="AR166" i="7"/>
  <c r="BU165" i="7"/>
  <c r="A187" i="7"/>
  <c r="X168" i="7"/>
  <c r="BA167" i="7"/>
  <c r="AW167" i="7"/>
  <c r="T168" i="7"/>
  <c r="AV167" i="7"/>
  <c r="S168" i="7"/>
  <c r="Z168" i="7"/>
  <c r="BC167" i="7"/>
  <c r="BD167" i="7"/>
  <c r="AA168" i="7"/>
  <c r="AU167" i="7"/>
  <c r="R168" i="7"/>
  <c r="BB167" i="7"/>
  <c r="Y168" i="7"/>
  <c r="W168" i="7"/>
  <c r="AZ167" i="7"/>
  <c r="AY167" i="7"/>
  <c r="V168" i="7"/>
  <c r="AX167" i="7"/>
  <c r="U168" i="7"/>
  <c r="P168" i="7"/>
  <c r="AS167" i="7"/>
  <c r="AT167" i="7"/>
  <c r="Q168" i="7"/>
  <c r="AP188" i="7"/>
  <c r="BS188" i="7" s="1"/>
  <c r="B9" i="1"/>
  <c r="T12" i="1"/>
  <c r="U12" i="1"/>
  <c r="V12" i="1"/>
  <c r="AR343" i="7" l="1"/>
  <c r="BU342" i="7"/>
  <c r="J342" i="7" s="1"/>
  <c r="L209" i="7"/>
  <c r="A208" i="7"/>
  <c r="AG346" i="7"/>
  <c r="BJ345" i="7"/>
  <c r="AQ346" i="7"/>
  <c r="BT345" i="7"/>
  <c r="T345" i="7"/>
  <c r="AW344" i="7"/>
  <c r="AB345" i="7"/>
  <c r="BE344" i="7"/>
  <c r="R366" i="7"/>
  <c r="AU365" i="7"/>
  <c r="BG366" i="7"/>
  <c r="AD367" i="7"/>
  <c r="AK346" i="7"/>
  <c r="BN345" i="7"/>
  <c r="AL365" i="7"/>
  <c r="BO364" i="7"/>
  <c r="BC364" i="7"/>
  <c r="Z365" i="7"/>
  <c r="AC346" i="7"/>
  <c r="BF345" i="7"/>
  <c r="BB345" i="7"/>
  <c r="Y346" i="7"/>
  <c r="AO346" i="7"/>
  <c r="BR345" i="7"/>
  <c r="Q346" i="7"/>
  <c r="AT345" i="7"/>
  <c r="X345" i="7"/>
  <c r="BA344" i="7"/>
  <c r="AI345" i="7"/>
  <c r="BL344" i="7"/>
  <c r="AS344" i="7"/>
  <c r="P345" i="7"/>
  <c r="AM345" i="7"/>
  <c r="BP344" i="7"/>
  <c r="AF345" i="7"/>
  <c r="BI344" i="7"/>
  <c r="AE345" i="7"/>
  <c r="BH344" i="7"/>
  <c r="U346" i="7"/>
  <c r="AX345" i="7"/>
  <c r="V365" i="7"/>
  <c r="AY364" i="7"/>
  <c r="BS364" i="7"/>
  <c r="AP365" i="7"/>
  <c r="AN345" i="7"/>
  <c r="BQ344" i="7"/>
  <c r="AJ345" i="7"/>
  <c r="BM344" i="7"/>
  <c r="AH365" i="7"/>
  <c r="BK364" i="7"/>
  <c r="AA346" i="7"/>
  <c r="BD345" i="7"/>
  <c r="W345" i="7"/>
  <c r="AZ344" i="7"/>
  <c r="S346" i="7"/>
  <c r="AV345" i="7"/>
  <c r="AI189" i="7"/>
  <c r="BL188" i="7"/>
  <c r="AO169" i="7"/>
  <c r="BR168" i="7"/>
  <c r="A188" i="7"/>
  <c r="AQ166" i="7"/>
  <c r="BT165" i="7"/>
  <c r="J165" i="7" s="1"/>
  <c r="AR167" i="7"/>
  <c r="BU166" i="7"/>
  <c r="AE184" i="7"/>
  <c r="BH183" i="7"/>
  <c r="AZ168" i="7"/>
  <c r="W169" i="7"/>
  <c r="Z169" i="7"/>
  <c r="BC168" i="7"/>
  <c r="BB168" i="7"/>
  <c r="Y169" i="7"/>
  <c r="S169" i="7"/>
  <c r="AV168" i="7"/>
  <c r="AU168" i="7"/>
  <c r="R169" i="7"/>
  <c r="T169" i="7"/>
  <c r="AW168" i="7"/>
  <c r="BD168" i="7"/>
  <c r="AA169" i="7"/>
  <c r="X169" i="7"/>
  <c r="BA168" i="7"/>
  <c r="V169" i="7"/>
  <c r="AY168" i="7"/>
  <c r="AX168" i="7"/>
  <c r="U169" i="7"/>
  <c r="AS168" i="7"/>
  <c r="P169" i="7"/>
  <c r="Q169" i="7"/>
  <c r="AT168" i="7"/>
  <c r="AP189" i="7"/>
  <c r="BS189" i="7" s="1"/>
  <c r="AC16" i="1"/>
  <c r="AC17" i="1" s="1"/>
  <c r="AD16" i="1"/>
  <c r="AD17" i="1" s="1"/>
  <c r="AB16" i="1"/>
  <c r="AB17" i="1" s="1"/>
  <c r="AC12" i="1"/>
  <c r="AD12" i="1"/>
  <c r="AB12" i="1"/>
  <c r="Z12" i="1"/>
  <c r="AA12" i="1"/>
  <c r="Y12" i="1"/>
  <c r="R12" i="1"/>
  <c r="S12" i="1"/>
  <c r="Q12" i="1"/>
  <c r="E22" i="1"/>
  <c r="E23" i="1"/>
  <c r="E24" i="1"/>
  <c r="E25" i="1"/>
  <c r="E26" i="1"/>
  <c r="E27" i="1"/>
  <c r="L210" i="7" l="1"/>
  <c r="A209" i="7"/>
  <c r="BU343" i="7"/>
  <c r="J343" i="7" s="1"/>
  <c r="AR344" i="7"/>
  <c r="W346" i="7"/>
  <c r="AZ345" i="7"/>
  <c r="AH366" i="7"/>
  <c r="BK365" i="7"/>
  <c r="AN346" i="7"/>
  <c r="BQ345" i="7"/>
  <c r="V366" i="7"/>
  <c r="AY365" i="7"/>
  <c r="AE346" i="7"/>
  <c r="BH345" i="7"/>
  <c r="AM346" i="7"/>
  <c r="BP345" i="7"/>
  <c r="AI346" i="7"/>
  <c r="BL345" i="7"/>
  <c r="Q347" i="7"/>
  <c r="AT346" i="7"/>
  <c r="BS365" i="7"/>
  <c r="AP366" i="7"/>
  <c r="P346" i="7"/>
  <c r="AS345" i="7"/>
  <c r="AK347" i="7"/>
  <c r="BN346" i="7"/>
  <c r="R367" i="7"/>
  <c r="AU366" i="7"/>
  <c r="T346" i="7"/>
  <c r="AW345" i="7"/>
  <c r="S347" i="7"/>
  <c r="AV346" i="7"/>
  <c r="AA347" i="7"/>
  <c r="BD346" i="7"/>
  <c r="BM345" i="7"/>
  <c r="AJ346" i="7"/>
  <c r="U347" i="7"/>
  <c r="AX346" i="7"/>
  <c r="AF346" i="7"/>
  <c r="BI345" i="7"/>
  <c r="BA345" i="7"/>
  <c r="X346" i="7"/>
  <c r="BR346" i="7"/>
  <c r="AO347" i="7"/>
  <c r="AC347" i="7"/>
  <c r="BF346" i="7"/>
  <c r="AL366" i="7"/>
  <c r="BO365" i="7"/>
  <c r="BG367" i="7"/>
  <c r="AD368" i="7"/>
  <c r="Y347" i="7"/>
  <c r="BB346" i="7"/>
  <c r="BC365" i="7"/>
  <c r="Z366" i="7"/>
  <c r="AB346" i="7"/>
  <c r="BE345" i="7"/>
  <c r="AQ347" i="7"/>
  <c r="BT346" i="7"/>
  <c r="BJ346" i="7"/>
  <c r="AG347" i="7"/>
  <c r="AB19" i="1"/>
  <c r="AB21" i="1" s="1"/>
  <c r="AB22" i="1" s="1"/>
  <c r="AB23" i="1" s="1"/>
  <c r="AB24" i="1" s="1"/>
  <c r="AB25" i="1" s="1"/>
  <c r="AB26" i="1" s="1"/>
  <c r="AB27" i="1" s="1"/>
  <c r="AB28" i="1" s="1"/>
  <c r="AB29" i="1" s="1"/>
  <c r="AB30" i="1" s="1"/>
  <c r="AB18" i="1"/>
  <c r="AB20" i="1" s="1"/>
  <c r="AI190" i="7"/>
  <c r="BL189" i="7"/>
  <c r="AO170" i="7"/>
  <c r="BR169" i="7"/>
  <c r="AE185" i="7"/>
  <c r="BH184" i="7"/>
  <c r="AR168" i="7"/>
  <c r="BU167" i="7"/>
  <c r="AQ167" i="7"/>
  <c r="BT166" i="7"/>
  <c r="J166" i="7" s="1"/>
  <c r="A189" i="7"/>
  <c r="S170" i="7"/>
  <c r="AV169" i="7"/>
  <c r="AA170" i="7"/>
  <c r="BD169" i="7"/>
  <c r="BB169" i="7"/>
  <c r="Y170" i="7"/>
  <c r="BA169" i="7"/>
  <c r="X170" i="7"/>
  <c r="AW169" i="7"/>
  <c r="T170" i="7"/>
  <c r="BC169" i="7"/>
  <c r="Z170" i="7"/>
  <c r="W170" i="7"/>
  <c r="AZ169" i="7"/>
  <c r="AU169" i="7"/>
  <c r="R170" i="7"/>
  <c r="AY169" i="7"/>
  <c r="V170" i="7"/>
  <c r="AX169" i="7"/>
  <c r="U170" i="7"/>
  <c r="AS169" i="7"/>
  <c r="P170" i="7"/>
  <c r="Q170" i="7"/>
  <c r="AT169" i="7"/>
  <c r="AP190" i="7"/>
  <c r="BS190" i="7" s="1"/>
  <c r="AD19" i="1"/>
  <c r="AD21" i="1" s="1"/>
  <c r="AD22" i="1" s="1"/>
  <c r="AD23" i="1" s="1"/>
  <c r="AD24" i="1" s="1"/>
  <c r="AD25" i="1" s="1"/>
  <c r="AD26" i="1" s="1"/>
  <c r="AD27" i="1" s="1"/>
  <c r="AD28" i="1" s="1"/>
  <c r="AD29" i="1" s="1"/>
  <c r="AD30" i="1" s="1"/>
  <c r="AD18" i="1"/>
  <c r="AD20" i="1" s="1"/>
  <c r="AC19" i="1"/>
  <c r="AC21" i="1" s="1"/>
  <c r="AC22" i="1" s="1"/>
  <c r="AC23" i="1" s="1"/>
  <c r="AC24" i="1" s="1"/>
  <c r="AC25" i="1" s="1"/>
  <c r="AC26" i="1" s="1"/>
  <c r="AC27" i="1" s="1"/>
  <c r="AC28" i="1" s="1"/>
  <c r="AC29" i="1" s="1"/>
  <c r="AC30" i="1" s="1"/>
  <c r="AC18" i="1"/>
  <c r="J16" i="1"/>
  <c r="J17" i="1"/>
  <c r="J24" i="1"/>
  <c r="J28" i="1"/>
  <c r="C30" i="1"/>
  <c r="E30" i="1"/>
  <c r="E19" i="1"/>
  <c r="E21" i="1"/>
  <c r="E16" i="1"/>
  <c r="C26" i="1"/>
  <c r="C22" i="1"/>
  <c r="C25" i="1"/>
  <c r="C24" i="1"/>
  <c r="C27" i="1"/>
  <c r="C23" i="1"/>
  <c r="E17" i="1"/>
  <c r="B13" i="1"/>
  <c r="C13" i="1"/>
  <c r="J27" i="1" l="1"/>
  <c r="J23" i="1"/>
  <c r="J19" i="1"/>
  <c r="AR345" i="7"/>
  <c r="BU344" i="7"/>
  <c r="J344" i="7" s="1"/>
  <c r="L211" i="7"/>
  <c r="A210" i="7"/>
  <c r="BG368" i="7"/>
  <c r="AD369" i="7"/>
  <c r="T347" i="7"/>
  <c r="AW346" i="7"/>
  <c r="BN347" i="7"/>
  <c r="AK348" i="7"/>
  <c r="AN347" i="7"/>
  <c r="BQ346" i="7"/>
  <c r="AG348" i="7"/>
  <c r="BJ347" i="7"/>
  <c r="BR347" i="7"/>
  <c r="AO348" i="7"/>
  <c r="AX347" i="7"/>
  <c r="U348" i="7"/>
  <c r="BD347" i="7"/>
  <c r="AA348" i="7"/>
  <c r="R368" i="7"/>
  <c r="AU367" i="7"/>
  <c r="P347" i="7"/>
  <c r="AS346" i="7"/>
  <c r="Q348" i="7"/>
  <c r="AT347" i="7"/>
  <c r="AM347" i="7"/>
  <c r="BP346" i="7"/>
  <c r="V367" i="7"/>
  <c r="AY366" i="7"/>
  <c r="AH367" i="7"/>
  <c r="BK366" i="7"/>
  <c r="BC366" i="7"/>
  <c r="Z367" i="7"/>
  <c r="X347" i="7"/>
  <c r="BA346" i="7"/>
  <c r="AF347" i="7"/>
  <c r="BI346" i="7"/>
  <c r="AV347" i="7"/>
  <c r="S348" i="7"/>
  <c r="AI347" i="7"/>
  <c r="BL346" i="7"/>
  <c r="AE347" i="7"/>
  <c r="BH346" i="7"/>
  <c r="W347" i="7"/>
  <c r="AZ346" i="7"/>
  <c r="BT347" i="7"/>
  <c r="AQ348" i="7"/>
  <c r="BF347" i="7"/>
  <c r="AC348" i="7"/>
  <c r="AB347" i="7"/>
  <c r="BE346" i="7"/>
  <c r="BB347" i="7"/>
  <c r="Y348" i="7"/>
  <c r="AL367" i="7"/>
  <c r="BO366" i="7"/>
  <c r="AJ347" i="7"/>
  <c r="BM346" i="7"/>
  <c r="BS366" i="7"/>
  <c r="AP367" i="7"/>
  <c r="J22" i="1"/>
  <c r="J26" i="1"/>
  <c r="J25" i="1"/>
  <c r="J30" i="1"/>
  <c r="J29" i="1"/>
  <c r="J21" i="1"/>
  <c r="AI191" i="7"/>
  <c r="BL190" i="7"/>
  <c r="AO171" i="7"/>
  <c r="BR170" i="7"/>
  <c r="AR169" i="7"/>
  <c r="BU168" i="7"/>
  <c r="AE186" i="7"/>
  <c r="BH185" i="7"/>
  <c r="A190" i="7"/>
  <c r="AQ168" i="7"/>
  <c r="BT167" i="7"/>
  <c r="J167" i="7" s="1"/>
  <c r="W171" i="7"/>
  <c r="AZ170" i="7"/>
  <c r="BB170" i="7"/>
  <c r="Y171" i="7"/>
  <c r="AW170" i="7"/>
  <c r="T171" i="7"/>
  <c r="AA171" i="7"/>
  <c r="BD170" i="7"/>
  <c r="Z171" i="7"/>
  <c r="BC170" i="7"/>
  <c r="AU170" i="7"/>
  <c r="R171" i="7"/>
  <c r="X171" i="7"/>
  <c r="BA170" i="7"/>
  <c r="AV170" i="7"/>
  <c r="S171" i="7"/>
  <c r="V171" i="7"/>
  <c r="AY170" i="7"/>
  <c r="U171" i="7"/>
  <c r="AX170" i="7"/>
  <c r="P171" i="7"/>
  <c r="AS170" i="7"/>
  <c r="AT170" i="7"/>
  <c r="Q171" i="7"/>
  <c r="AP191" i="7"/>
  <c r="BS191" i="7" s="1"/>
  <c r="AC20" i="1"/>
  <c r="J20" i="1" s="1"/>
  <c r="J18" i="1"/>
  <c r="C21" i="1"/>
  <c r="C19" i="1"/>
  <c r="C17" i="1"/>
  <c r="C16" i="1"/>
  <c r="L212" i="7" l="1"/>
  <c r="A211" i="7"/>
  <c r="AR346" i="7"/>
  <c r="BU345" i="7"/>
  <c r="J345" i="7" s="1"/>
  <c r="BB348" i="7"/>
  <c r="Y349" i="7"/>
  <c r="BF348" i="7"/>
  <c r="AC349" i="7"/>
  <c r="AJ348" i="7"/>
  <c r="BM347" i="7"/>
  <c r="AZ347" i="7"/>
  <c r="W348" i="7"/>
  <c r="BL347" i="7"/>
  <c r="AI348" i="7"/>
  <c r="AF348" i="7"/>
  <c r="BI347" i="7"/>
  <c r="V368" i="7"/>
  <c r="AY367" i="7"/>
  <c r="AT348" i="7"/>
  <c r="Q349" i="7"/>
  <c r="R369" i="7"/>
  <c r="AU368" i="7"/>
  <c r="BS367" i="7"/>
  <c r="AP368" i="7"/>
  <c r="BT348" i="7"/>
  <c r="AQ349" i="7"/>
  <c r="AV348" i="7"/>
  <c r="S349" i="7"/>
  <c r="U349" i="7"/>
  <c r="AX348" i="7"/>
  <c r="AN348" i="7"/>
  <c r="BQ347" i="7"/>
  <c r="T348" i="7"/>
  <c r="AW347" i="7"/>
  <c r="AL368" i="7"/>
  <c r="BO367" i="7"/>
  <c r="AB348" i="7"/>
  <c r="BE347" i="7"/>
  <c r="BH347" i="7"/>
  <c r="AE348" i="7"/>
  <c r="X348" i="7"/>
  <c r="BA347" i="7"/>
  <c r="AH368" i="7"/>
  <c r="BK367" i="7"/>
  <c r="BP347" i="7"/>
  <c r="AM348" i="7"/>
  <c r="P348" i="7"/>
  <c r="AS347" i="7"/>
  <c r="BJ348" i="7"/>
  <c r="AG349" i="7"/>
  <c r="AK349" i="7"/>
  <c r="BN348" i="7"/>
  <c r="BG369" i="7"/>
  <c r="AD370" i="7"/>
  <c r="BC367" i="7"/>
  <c r="Z368" i="7"/>
  <c r="BD348" i="7"/>
  <c r="AA349" i="7"/>
  <c r="BR348" i="7"/>
  <c r="AO349" i="7"/>
  <c r="AI192" i="7"/>
  <c r="BL191" i="7"/>
  <c r="AO172" i="7"/>
  <c r="BR171" i="7"/>
  <c r="A191" i="7"/>
  <c r="AQ169" i="7"/>
  <c r="BT168" i="7"/>
  <c r="J168" i="7" s="1"/>
  <c r="AE187" i="7"/>
  <c r="BH186" i="7"/>
  <c r="AR170" i="7"/>
  <c r="BU169" i="7"/>
  <c r="T172" i="7"/>
  <c r="AW171" i="7"/>
  <c r="BA171" i="7"/>
  <c r="X172" i="7"/>
  <c r="BD171" i="7"/>
  <c r="AA172" i="7"/>
  <c r="R172" i="7"/>
  <c r="AU171" i="7"/>
  <c r="BC171" i="7"/>
  <c r="Z172" i="7"/>
  <c r="AZ171" i="7"/>
  <c r="W172" i="7"/>
  <c r="BB171" i="7"/>
  <c r="Y172" i="7"/>
  <c r="AV171" i="7"/>
  <c r="S172" i="7"/>
  <c r="AY171" i="7"/>
  <c r="V172" i="7"/>
  <c r="U172" i="7"/>
  <c r="AX171" i="7"/>
  <c r="P172" i="7"/>
  <c r="AS171" i="7"/>
  <c r="Q172" i="7"/>
  <c r="AT171" i="7"/>
  <c r="AP192" i="7"/>
  <c r="BS192" i="7" s="1"/>
  <c r="AR347" i="7" l="1"/>
  <c r="BU346" i="7"/>
  <c r="J346" i="7" s="1"/>
  <c r="L213" i="7"/>
  <c r="A212" i="7"/>
  <c r="BD349" i="7"/>
  <c r="AA350" i="7"/>
  <c r="BG370" i="7"/>
  <c r="AD371" i="7"/>
  <c r="BJ349" i="7"/>
  <c r="AG350" i="7"/>
  <c r="P349" i="7"/>
  <c r="AS348" i="7"/>
  <c r="AH369" i="7"/>
  <c r="BK368" i="7"/>
  <c r="AL369" i="7"/>
  <c r="BO368" i="7"/>
  <c r="AN349" i="7"/>
  <c r="BQ348" i="7"/>
  <c r="AV349" i="7"/>
  <c r="S350" i="7"/>
  <c r="BS368" i="7"/>
  <c r="AP369" i="7"/>
  <c r="AT349" i="7"/>
  <c r="Q350" i="7"/>
  <c r="AZ348" i="7"/>
  <c r="W349" i="7"/>
  <c r="BF349" i="7"/>
  <c r="AC350" i="7"/>
  <c r="BR349" i="7"/>
  <c r="AO350" i="7"/>
  <c r="BC368" i="7"/>
  <c r="Z369" i="7"/>
  <c r="BP348" i="7"/>
  <c r="AM349" i="7"/>
  <c r="AF349" i="7"/>
  <c r="BI348" i="7"/>
  <c r="BN349" i="7"/>
  <c r="AK350" i="7"/>
  <c r="X349" i="7"/>
  <c r="BA348" i="7"/>
  <c r="AB349" i="7"/>
  <c r="BE348" i="7"/>
  <c r="T349" i="7"/>
  <c r="AW348" i="7"/>
  <c r="AX349" i="7"/>
  <c r="U350" i="7"/>
  <c r="BT349" i="7"/>
  <c r="AQ350" i="7"/>
  <c r="BL348" i="7"/>
  <c r="AI349" i="7"/>
  <c r="BB349" i="7"/>
  <c r="Y350" i="7"/>
  <c r="BH348" i="7"/>
  <c r="AE349" i="7"/>
  <c r="R370" i="7"/>
  <c r="AU369" i="7"/>
  <c r="V369" i="7"/>
  <c r="AY368" i="7"/>
  <c r="AJ349" i="7"/>
  <c r="BM348" i="7"/>
  <c r="BL192" i="7"/>
  <c r="AI193" i="7"/>
  <c r="AO173" i="7"/>
  <c r="BR172" i="7"/>
  <c r="AR171" i="7"/>
  <c r="BU170" i="7"/>
  <c r="AQ170" i="7"/>
  <c r="BT169" i="7"/>
  <c r="J169" i="7" s="1"/>
  <c r="AE188" i="7"/>
  <c r="BH187" i="7"/>
  <c r="A192" i="7"/>
  <c r="R173" i="7"/>
  <c r="AU172" i="7"/>
  <c r="Y173" i="7"/>
  <c r="BB172" i="7"/>
  <c r="BD172" i="7"/>
  <c r="AA173" i="7"/>
  <c r="BA172" i="7"/>
  <c r="X173" i="7"/>
  <c r="AW172" i="7"/>
  <c r="T173" i="7"/>
  <c r="AZ172" i="7"/>
  <c r="W173" i="7"/>
  <c r="Z173" i="7"/>
  <c r="BC172" i="7"/>
  <c r="AV172" i="7"/>
  <c r="S173" i="7"/>
  <c r="AY172" i="7"/>
  <c r="V173" i="7"/>
  <c r="U173" i="7"/>
  <c r="AX172" i="7"/>
  <c r="P173" i="7"/>
  <c r="AS172" i="7"/>
  <c r="Q173" i="7"/>
  <c r="AT172" i="7"/>
  <c r="AP193" i="7"/>
  <c r="BS193" i="7" s="1"/>
  <c r="L214" i="7" l="1"/>
  <c r="A213" i="7"/>
  <c r="AR348" i="7"/>
  <c r="BU347" i="7"/>
  <c r="J347" i="7" s="1"/>
  <c r="BL349" i="7"/>
  <c r="AI350" i="7"/>
  <c r="BC369" i="7"/>
  <c r="Z370" i="7"/>
  <c r="BF350" i="7"/>
  <c r="AC351" i="7"/>
  <c r="AT350" i="7"/>
  <c r="Q351" i="7"/>
  <c r="AV350" i="7"/>
  <c r="S351" i="7"/>
  <c r="BG371" i="7"/>
  <c r="AD372" i="7"/>
  <c r="V370" i="7"/>
  <c r="AY369" i="7"/>
  <c r="AB350" i="7"/>
  <c r="BE349" i="7"/>
  <c r="AF350" i="7"/>
  <c r="BI349" i="7"/>
  <c r="AL370" i="7"/>
  <c r="BO369" i="7"/>
  <c r="P350" i="7"/>
  <c r="AS349" i="7"/>
  <c r="BB350" i="7"/>
  <c r="Y351" i="7"/>
  <c r="BT350" i="7"/>
  <c r="AQ351" i="7"/>
  <c r="AK351" i="7"/>
  <c r="BN350" i="7"/>
  <c r="BP349" i="7"/>
  <c r="AM350" i="7"/>
  <c r="BR350" i="7"/>
  <c r="AO351" i="7"/>
  <c r="AZ349" i="7"/>
  <c r="W350" i="7"/>
  <c r="BS369" i="7"/>
  <c r="AP370" i="7"/>
  <c r="BJ350" i="7"/>
  <c r="AG351" i="7"/>
  <c r="BD350" i="7"/>
  <c r="AA351" i="7"/>
  <c r="BH349" i="7"/>
  <c r="AE350" i="7"/>
  <c r="U351" i="7"/>
  <c r="AX350" i="7"/>
  <c r="AJ350" i="7"/>
  <c r="BM349" i="7"/>
  <c r="R371" i="7"/>
  <c r="AU370" i="7"/>
  <c r="T350" i="7"/>
  <c r="AW349" i="7"/>
  <c r="X350" i="7"/>
  <c r="BA349" i="7"/>
  <c r="AN350" i="7"/>
  <c r="BQ349" i="7"/>
  <c r="AH370" i="7"/>
  <c r="BK369" i="7"/>
  <c r="BL193" i="7"/>
  <c r="AI194" i="7"/>
  <c r="AO174" i="7"/>
  <c r="BR173" i="7"/>
  <c r="A193" i="7"/>
  <c r="AE189" i="7"/>
  <c r="BH188" i="7"/>
  <c r="AR172" i="7"/>
  <c r="BU171" i="7"/>
  <c r="AQ171" i="7"/>
  <c r="BT170" i="7"/>
  <c r="J170" i="7" s="1"/>
  <c r="AA174" i="7"/>
  <c r="BD173" i="7"/>
  <c r="Z174" i="7"/>
  <c r="BC173" i="7"/>
  <c r="AZ173" i="7"/>
  <c r="W174" i="7"/>
  <c r="BB173" i="7"/>
  <c r="Y174" i="7"/>
  <c r="T174" i="7"/>
  <c r="AW173" i="7"/>
  <c r="S174" i="7"/>
  <c r="AV173" i="7"/>
  <c r="BA173" i="7"/>
  <c r="X174" i="7"/>
  <c r="AU173" i="7"/>
  <c r="R174" i="7"/>
  <c r="AY173" i="7"/>
  <c r="V174" i="7"/>
  <c r="U174" i="7"/>
  <c r="AX173" i="7"/>
  <c r="P174" i="7"/>
  <c r="AS173" i="7"/>
  <c r="AT173" i="7"/>
  <c r="Q174" i="7"/>
  <c r="AP194" i="7"/>
  <c r="BS194" i="7" s="1"/>
  <c r="BU348" i="7" l="1"/>
  <c r="J348" i="7" s="1"/>
  <c r="AR349" i="7"/>
  <c r="L215" i="7"/>
  <c r="A214" i="7"/>
  <c r="AF351" i="7"/>
  <c r="BI350" i="7"/>
  <c r="AT351" i="7"/>
  <c r="Q352" i="7"/>
  <c r="BD351" i="7"/>
  <c r="AA352" i="7"/>
  <c r="BS370" i="7"/>
  <c r="AP371" i="7"/>
  <c r="AO352" i="7"/>
  <c r="BR351" i="7"/>
  <c r="Y352" i="7"/>
  <c r="BB351" i="7"/>
  <c r="AH371" i="7"/>
  <c r="BK370" i="7"/>
  <c r="X351" i="7"/>
  <c r="BA350" i="7"/>
  <c r="R372" i="7"/>
  <c r="AU371" i="7"/>
  <c r="AX351" i="7"/>
  <c r="U352" i="7"/>
  <c r="BN351" i="7"/>
  <c r="AK352" i="7"/>
  <c r="AL371" i="7"/>
  <c r="BO370" i="7"/>
  <c r="V371" i="7"/>
  <c r="AY370" i="7"/>
  <c r="AV351" i="7"/>
  <c r="S352" i="7"/>
  <c r="BF351" i="7"/>
  <c r="AC352" i="7"/>
  <c r="BL350" i="7"/>
  <c r="AI351" i="7"/>
  <c r="AN351" i="7"/>
  <c r="BQ350" i="7"/>
  <c r="T351" i="7"/>
  <c r="AW350" i="7"/>
  <c r="AJ351" i="7"/>
  <c r="BM350" i="7"/>
  <c r="P351" i="7"/>
  <c r="AS350" i="7"/>
  <c r="AB351" i="7"/>
  <c r="BE350" i="7"/>
  <c r="BC370" i="7"/>
  <c r="Z371" i="7"/>
  <c r="BH350" i="7"/>
  <c r="AE351" i="7"/>
  <c r="BJ351" i="7"/>
  <c r="AG352" i="7"/>
  <c r="AZ350" i="7"/>
  <c r="W351" i="7"/>
  <c r="BP350" i="7"/>
  <c r="AM351" i="7"/>
  <c r="BT351" i="7"/>
  <c r="AQ352" i="7"/>
  <c r="BG372" i="7"/>
  <c r="AD373" i="7"/>
  <c r="BL194" i="7"/>
  <c r="AI195" i="7"/>
  <c r="AO175" i="7"/>
  <c r="BR174" i="7"/>
  <c r="AR173" i="7"/>
  <c r="BU172" i="7"/>
  <c r="AE190" i="7"/>
  <c r="BH189" i="7"/>
  <c r="AQ172" i="7"/>
  <c r="BT171" i="7"/>
  <c r="J171" i="7" s="1"/>
  <c r="A194" i="7"/>
  <c r="X175" i="7"/>
  <c r="BA174" i="7"/>
  <c r="W175" i="7"/>
  <c r="AZ174" i="7"/>
  <c r="AV174" i="7"/>
  <c r="S175" i="7"/>
  <c r="BC174" i="7"/>
  <c r="Z175" i="7"/>
  <c r="T175" i="7"/>
  <c r="AW174" i="7"/>
  <c r="AA175" i="7"/>
  <c r="BD174" i="7"/>
  <c r="AU174" i="7"/>
  <c r="R175" i="7"/>
  <c r="BB174" i="7"/>
  <c r="Y175" i="7"/>
  <c r="AY174" i="7"/>
  <c r="V175" i="7"/>
  <c r="AX174" i="7"/>
  <c r="U175" i="7"/>
  <c r="P175" i="7"/>
  <c r="AS174" i="7"/>
  <c r="AT174" i="7"/>
  <c r="Q175" i="7"/>
  <c r="AP195" i="7"/>
  <c r="BS195" i="7" s="1"/>
  <c r="A215" i="7" l="1"/>
  <c r="L216" i="7"/>
  <c r="AR350" i="7"/>
  <c r="BU349" i="7"/>
  <c r="J349" i="7" s="1"/>
  <c r="BT352" i="7"/>
  <c r="AQ353" i="7"/>
  <c r="BH351" i="7"/>
  <c r="AE352" i="7"/>
  <c r="AC353" i="7"/>
  <c r="BF352" i="7"/>
  <c r="AX352" i="7"/>
  <c r="U353" i="7"/>
  <c r="BS371" i="7"/>
  <c r="AP372" i="7"/>
  <c r="AT352" i="7"/>
  <c r="Q353" i="7"/>
  <c r="BG373" i="7"/>
  <c r="AD374" i="7"/>
  <c r="AB352" i="7"/>
  <c r="BE351" i="7"/>
  <c r="AJ352" i="7"/>
  <c r="BM351" i="7"/>
  <c r="AN352" i="7"/>
  <c r="BQ351" i="7"/>
  <c r="V372" i="7"/>
  <c r="AY371" i="7"/>
  <c r="AL372" i="7"/>
  <c r="BO371" i="7"/>
  <c r="X352" i="7"/>
  <c r="BA351" i="7"/>
  <c r="BB352" i="7"/>
  <c r="Y353" i="7"/>
  <c r="BP351" i="7"/>
  <c r="AM352" i="7"/>
  <c r="BJ352" i="7"/>
  <c r="AG353" i="7"/>
  <c r="BC371" i="7"/>
  <c r="Z372" i="7"/>
  <c r="BL351" i="7"/>
  <c r="AI352" i="7"/>
  <c r="AV352" i="7"/>
  <c r="S353" i="7"/>
  <c r="BN352" i="7"/>
  <c r="AK353" i="7"/>
  <c r="BD352" i="7"/>
  <c r="AA353" i="7"/>
  <c r="AZ351" i="7"/>
  <c r="W352" i="7"/>
  <c r="P352" i="7"/>
  <c r="AS351" i="7"/>
  <c r="T352" i="7"/>
  <c r="AW351" i="7"/>
  <c r="R373" i="7"/>
  <c r="AU372" i="7"/>
  <c r="AH372" i="7"/>
  <c r="BK371" i="7"/>
  <c r="BR352" i="7"/>
  <c r="AO353" i="7"/>
  <c r="AF352" i="7"/>
  <c r="BI351" i="7"/>
  <c r="BL195" i="7"/>
  <c r="AI196" i="7"/>
  <c r="AO176" i="7"/>
  <c r="BR175" i="7"/>
  <c r="A195" i="7"/>
  <c r="AE191" i="7"/>
  <c r="BH190" i="7"/>
  <c r="AQ173" i="7"/>
  <c r="BT172" i="7"/>
  <c r="J172" i="7" s="1"/>
  <c r="AR174" i="7"/>
  <c r="BU173" i="7"/>
  <c r="R176" i="7"/>
  <c r="AU175" i="7"/>
  <c r="AV175" i="7"/>
  <c r="S176" i="7"/>
  <c r="AZ175" i="7"/>
  <c r="W176" i="7"/>
  <c r="AW175" i="7"/>
  <c r="T176" i="7"/>
  <c r="BA175" i="7"/>
  <c r="X176" i="7"/>
  <c r="AA176" i="7"/>
  <c r="BD175" i="7"/>
  <c r="Y176" i="7"/>
  <c r="BB175" i="7"/>
  <c r="BC175" i="7"/>
  <c r="Z176" i="7"/>
  <c r="AY175" i="7"/>
  <c r="V176" i="7"/>
  <c r="AX175" i="7"/>
  <c r="U176" i="7"/>
  <c r="AS175" i="7"/>
  <c r="P176" i="7"/>
  <c r="Q176" i="7"/>
  <c r="AT175" i="7"/>
  <c r="AP196" i="7"/>
  <c r="BS196" i="7" s="1"/>
  <c r="AR351" i="7" l="1"/>
  <c r="BU350" i="7"/>
  <c r="J350" i="7" s="1"/>
  <c r="L217" i="7"/>
  <c r="A216" i="7"/>
  <c r="R374" i="7"/>
  <c r="AU373" i="7"/>
  <c r="T353" i="7"/>
  <c r="AW352" i="7"/>
  <c r="BJ353" i="7"/>
  <c r="AG354" i="7"/>
  <c r="AT353" i="7"/>
  <c r="Q354" i="7"/>
  <c r="AX353" i="7"/>
  <c r="U354" i="7"/>
  <c r="BD353" i="7"/>
  <c r="AA354" i="7"/>
  <c r="AV353" i="7"/>
  <c r="S354" i="7"/>
  <c r="AL373" i="7"/>
  <c r="BO372" i="7"/>
  <c r="AN353" i="7"/>
  <c r="BQ352" i="7"/>
  <c r="AB353" i="7"/>
  <c r="BE352" i="7"/>
  <c r="AF353" i="7"/>
  <c r="BI352" i="7"/>
  <c r="AH373" i="7"/>
  <c r="BK372" i="7"/>
  <c r="P353" i="7"/>
  <c r="AS352" i="7"/>
  <c r="BC372" i="7"/>
  <c r="Z373" i="7"/>
  <c r="BP352" i="7"/>
  <c r="AM353" i="7"/>
  <c r="AD375" i="7"/>
  <c r="BG374" i="7"/>
  <c r="BS372" i="7"/>
  <c r="AP373" i="7"/>
  <c r="BT353" i="7"/>
  <c r="AQ354" i="7"/>
  <c r="Y354" i="7"/>
  <c r="BB353" i="7"/>
  <c r="BH352" i="7"/>
  <c r="AE353" i="7"/>
  <c r="BR353" i="7"/>
  <c r="AO354" i="7"/>
  <c r="AZ352" i="7"/>
  <c r="W353" i="7"/>
  <c r="BN353" i="7"/>
  <c r="AK354" i="7"/>
  <c r="BL352" i="7"/>
  <c r="AI353" i="7"/>
  <c r="X353" i="7"/>
  <c r="BA352" i="7"/>
  <c r="V373" i="7"/>
  <c r="AY372" i="7"/>
  <c r="AJ353" i="7"/>
  <c r="BM352" i="7"/>
  <c r="BF353" i="7"/>
  <c r="AC354" i="7"/>
  <c r="BL196" i="7"/>
  <c r="AI197" i="7"/>
  <c r="AO177" i="7"/>
  <c r="BR176" i="7"/>
  <c r="AR175" i="7"/>
  <c r="BU174" i="7"/>
  <c r="AQ174" i="7"/>
  <c r="BT173" i="7"/>
  <c r="J173" i="7" s="1"/>
  <c r="AE192" i="7"/>
  <c r="BH191" i="7"/>
  <c r="A196" i="7"/>
  <c r="AZ176" i="7"/>
  <c r="W177" i="7"/>
  <c r="BB176" i="7"/>
  <c r="Y177" i="7"/>
  <c r="AA177" i="7"/>
  <c r="BD176" i="7"/>
  <c r="X177" i="7"/>
  <c r="BA176" i="7"/>
  <c r="R177" i="7"/>
  <c r="AU176" i="7"/>
  <c r="S177" i="7"/>
  <c r="AV176" i="7"/>
  <c r="BC176" i="7"/>
  <c r="Z177" i="7"/>
  <c r="T177" i="7"/>
  <c r="AW176" i="7"/>
  <c r="AY176" i="7"/>
  <c r="V177" i="7"/>
  <c r="AX176" i="7"/>
  <c r="U177" i="7"/>
  <c r="AS176" i="7"/>
  <c r="P177" i="7"/>
  <c r="AT176" i="7"/>
  <c r="Q177" i="7"/>
  <c r="AP197" i="7"/>
  <c r="BS197" i="7" s="1"/>
  <c r="L218" i="7" l="1"/>
  <c r="A217" i="7"/>
  <c r="AR352" i="7"/>
  <c r="BU351" i="7"/>
  <c r="J351" i="7" s="1"/>
  <c r="AB354" i="7"/>
  <c r="BE353" i="7"/>
  <c r="AC355" i="7"/>
  <c r="BF354" i="7"/>
  <c r="BL353" i="7"/>
  <c r="AI354" i="7"/>
  <c r="AZ353" i="7"/>
  <c r="W354" i="7"/>
  <c r="BH353" i="7"/>
  <c r="AE354" i="7"/>
  <c r="BT354" i="7"/>
  <c r="AQ355" i="7"/>
  <c r="BC373" i="7"/>
  <c r="Z374" i="7"/>
  <c r="AV354" i="7"/>
  <c r="S355" i="7"/>
  <c r="T354" i="7"/>
  <c r="AW353" i="7"/>
  <c r="V374" i="7"/>
  <c r="AY373" i="7"/>
  <c r="AD376" i="7"/>
  <c r="BG375" i="7"/>
  <c r="AF354" i="7"/>
  <c r="BI353" i="7"/>
  <c r="AN354" i="7"/>
  <c r="BQ353" i="7"/>
  <c r="AX354" i="7"/>
  <c r="U355" i="7"/>
  <c r="BJ354" i="7"/>
  <c r="AG355" i="7"/>
  <c r="AJ354" i="7"/>
  <c r="BM353" i="7"/>
  <c r="X354" i="7"/>
  <c r="BA353" i="7"/>
  <c r="BB354" i="7"/>
  <c r="Y355" i="7"/>
  <c r="P354" i="7"/>
  <c r="AS353" i="7"/>
  <c r="AH374" i="7"/>
  <c r="BK373" i="7"/>
  <c r="AL374" i="7"/>
  <c r="BO373" i="7"/>
  <c r="AT354" i="7"/>
  <c r="Q355" i="7"/>
  <c r="BN354" i="7"/>
  <c r="AK355" i="7"/>
  <c r="BR354" i="7"/>
  <c r="AO355" i="7"/>
  <c r="BS373" i="7"/>
  <c r="AP374" i="7"/>
  <c r="BP353" i="7"/>
  <c r="AM354" i="7"/>
  <c r="BD354" i="7"/>
  <c r="AA355" i="7"/>
  <c r="R375" i="7"/>
  <c r="AU374" i="7"/>
  <c r="AI198" i="7"/>
  <c r="BL197" i="7"/>
  <c r="AO178" i="7"/>
  <c r="BR177" i="7"/>
  <c r="A197" i="7"/>
  <c r="AQ175" i="7"/>
  <c r="BT174" i="7"/>
  <c r="J174" i="7" s="1"/>
  <c r="AE193" i="7"/>
  <c r="BH192" i="7"/>
  <c r="AR176" i="7"/>
  <c r="BU175" i="7"/>
  <c r="Z178" i="7"/>
  <c r="BC177" i="7"/>
  <c r="AA178" i="7"/>
  <c r="BD177" i="7"/>
  <c r="BA177" i="7"/>
  <c r="X178" i="7"/>
  <c r="AU177" i="7"/>
  <c r="R178" i="7"/>
  <c r="W178" i="7"/>
  <c r="AZ177" i="7"/>
  <c r="T178" i="7"/>
  <c r="AW177" i="7"/>
  <c r="Y178" i="7"/>
  <c r="BB177" i="7"/>
  <c r="S178" i="7"/>
  <c r="AV177" i="7"/>
  <c r="V178" i="7"/>
  <c r="AY177" i="7"/>
  <c r="AX177" i="7"/>
  <c r="U178" i="7"/>
  <c r="P178" i="7"/>
  <c r="AS177" i="7"/>
  <c r="Q178" i="7"/>
  <c r="AT177" i="7"/>
  <c r="AP198" i="7"/>
  <c r="BS198" i="7" s="1"/>
  <c r="AR353" i="7" l="1"/>
  <c r="BU352" i="7"/>
  <c r="J352" i="7" s="1"/>
  <c r="L219" i="7"/>
  <c r="A218" i="7"/>
  <c r="AP375" i="7"/>
  <c r="BS374" i="7"/>
  <c r="BN355" i="7"/>
  <c r="AK356" i="7"/>
  <c r="AG356" i="7"/>
  <c r="BJ355" i="7"/>
  <c r="AL375" i="7"/>
  <c r="BO374" i="7"/>
  <c r="P355" i="7"/>
  <c r="AS354" i="7"/>
  <c r="X355" i="7"/>
  <c r="BA354" i="7"/>
  <c r="AN355" i="7"/>
  <c r="BQ354" i="7"/>
  <c r="V375" i="7"/>
  <c r="AY374" i="7"/>
  <c r="BF355" i="7"/>
  <c r="AC356" i="7"/>
  <c r="R376" i="7"/>
  <c r="AU375" i="7"/>
  <c r="BP354" i="7"/>
  <c r="AM355" i="7"/>
  <c r="BR355" i="7"/>
  <c r="AO356" i="7"/>
  <c r="Q356" i="7"/>
  <c r="AT355" i="7"/>
  <c r="BB355" i="7"/>
  <c r="Y356" i="7"/>
  <c r="AX355" i="7"/>
  <c r="U356" i="7"/>
  <c r="Z375" i="7"/>
  <c r="BC374" i="7"/>
  <c r="BH354" i="7"/>
  <c r="AE355" i="7"/>
  <c r="BL354" i="7"/>
  <c r="AI355" i="7"/>
  <c r="AV355" i="7"/>
  <c r="S356" i="7"/>
  <c r="BT355" i="7"/>
  <c r="AQ356" i="7"/>
  <c r="AZ354" i="7"/>
  <c r="W355" i="7"/>
  <c r="BD355" i="7"/>
  <c r="AA356" i="7"/>
  <c r="AH375" i="7"/>
  <c r="BK374" i="7"/>
  <c r="AJ355" i="7"/>
  <c r="BM354" i="7"/>
  <c r="AF355" i="7"/>
  <c r="BI354" i="7"/>
  <c r="AD377" i="7"/>
  <c r="BG376" i="7"/>
  <c r="T355" i="7"/>
  <c r="AW354" i="7"/>
  <c r="AB355" i="7"/>
  <c r="BE354" i="7"/>
  <c r="AI199" i="7"/>
  <c r="BL198" i="7"/>
  <c r="AO179" i="7"/>
  <c r="BR178" i="7"/>
  <c r="AQ176" i="7"/>
  <c r="BT175" i="7"/>
  <c r="J175" i="7" s="1"/>
  <c r="AE194" i="7"/>
  <c r="BH193" i="7"/>
  <c r="AR177" i="7"/>
  <c r="BU176" i="7"/>
  <c r="A198" i="7"/>
  <c r="X179" i="7"/>
  <c r="BA178" i="7"/>
  <c r="S179" i="7"/>
  <c r="AV178" i="7"/>
  <c r="BB178" i="7"/>
  <c r="Y179" i="7"/>
  <c r="T179" i="7"/>
  <c r="AW178" i="7"/>
  <c r="AA179" i="7"/>
  <c r="BD178" i="7"/>
  <c r="W179" i="7"/>
  <c r="AZ178" i="7"/>
  <c r="R179" i="7"/>
  <c r="AU178" i="7"/>
  <c r="Z179" i="7"/>
  <c r="BC178" i="7"/>
  <c r="AY178" i="7"/>
  <c r="V179" i="7"/>
  <c r="U179" i="7"/>
  <c r="AX178" i="7"/>
  <c r="AS178" i="7"/>
  <c r="P179" i="7"/>
  <c r="AT178" i="7"/>
  <c r="Q179" i="7"/>
  <c r="AP199" i="7"/>
  <c r="BS199" i="7" s="1"/>
  <c r="L220" i="7" l="1"/>
  <c r="A219" i="7"/>
  <c r="AR354" i="7"/>
  <c r="BU353" i="7"/>
  <c r="J353" i="7" s="1"/>
  <c r="AB356" i="7"/>
  <c r="BE355" i="7"/>
  <c r="AD378" i="7"/>
  <c r="BG377" i="7"/>
  <c r="AJ356" i="7"/>
  <c r="BM355" i="7"/>
  <c r="R377" i="7"/>
  <c r="AU376" i="7"/>
  <c r="BJ356" i="7"/>
  <c r="AG357" i="7"/>
  <c r="AZ355" i="7"/>
  <c r="W356" i="7"/>
  <c r="BH355" i="7"/>
  <c r="AE356" i="7"/>
  <c r="BP355" i="7"/>
  <c r="AM356" i="7"/>
  <c r="BF356" i="7"/>
  <c r="AC357" i="7"/>
  <c r="AK357" i="7"/>
  <c r="BN356" i="7"/>
  <c r="T356" i="7"/>
  <c r="AW355" i="7"/>
  <c r="AF356" i="7"/>
  <c r="BI355" i="7"/>
  <c r="AH376" i="7"/>
  <c r="BK375" i="7"/>
  <c r="AT356" i="7"/>
  <c r="Q357" i="7"/>
  <c r="X356" i="7"/>
  <c r="BA355" i="7"/>
  <c r="AL376" i="7"/>
  <c r="BO375" i="7"/>
  <c r="Z376" i="7"/>
  <c r="BC375" i="7"/>
  <c r="V376" i="7"/>
  <c r="AY375" i="7"/>
  <c r="AN356" i="7"/>
  <c r="BQ355" i="7"/>
  <c r="P356" i="7"/>
  <c r="AS355" i="7"/>
  <c r="AP376" i="7"/>
  <c r="BS375" i="7"/>
  <c r="AV356" i="7"/>
  <c r="S357" i="7"/>
  <c r="U357" i="7"/>
  <c r="AX356" i="7"/>
  <c r="BD356" i="7"/>
  <c r="AA357" i="7"/>
  <c r="BT356" i="7"/>
  <c r="AQ357" i="7"/>
  <c r="BL355" i="7"/>
  <c r="AI356" i="7"/>
  <c r="BB356" i="7"/>
  <c r="Y357" i="7"/>
  <c r="BR356" i="7"/>
  <c r="AO357" i="7"/>
  <c r="AI200" i="7"/>
  <c r="BL199" i="7"/>
  <c r="AO180" i="7"/>
  <c r="BR179" i="7"/>
  <c r="AR178" i="7"/>
  <c r="BU177" i="7"/>
  <c r="A199" i="7"/>
  <c r="AE195" i="7"/>
  <c r="BH194" i="7"/>
  <c r="AQ177" i="7"/>
  <c r="BT176" i="7"/>
  <c r="J176" i="7" s="1"/>
  <c r="BC179" i="7"/>
  <c r="Z180" i="7"/>
  <c r="AW179" i="7"/>
  <c r="T180" i="7"/>
  <c r="BB179" i="7"/>
  <c r="Y180" i="7"/>
  <c r="AU179" i="7"/>
  <c r="R180" i="7"/>
  <c r="W180" i="7"/>
  <c r="AZ179" i="7"/>
  <c r="AV179" i="7"/>
  <c r="S180" i="7"/>
  <c r="BD179" i="7"/>
  <c r="AA180" i="7"/>
  <c r="X180" i="7"/>
  <c r="BA179" i="7"/>
  <c r="AY179" i="7"/>
  <c r="V180" i="7"/>
  <c r="U180" i="7"/>
  <c r="AX179" i="7"/>
  <c r="AS179" i="7"/>
  <c r="P180" i="7"/>
  <c r="Q180" i="7"/>
  <c r="AT179" i="7"/>
  <c r="AP200" i="7"/>
  <c r="BS200" i="7" s="1"/>
  <c r="AR355" i="7" l="1"/>
  <c r="BU354" i="7"/>
  <c r="J354" i="7" s="1"/>
  <c r="L221" i="7"/>
  <c r="A220" i="7"/>
  <c r="Q358" i="7"/>
  <c r="AT357" i="7"/>
  <c r="U358" i="7"/>
  <c r="AX357" i="7"/>
  <c r="AP377" i="7"/>
  <c r="BS376" i="7"/>
  <c r="AN357" i="7"/>
  <c r="BQ356" i="7"/>
  <c r="Z377" i="7"/>
  <c r="BC376" i="7"/>
  <c r="X357" i="7"/>
  <c r="BA356" i="7"/>
  <c r="AF357" i="7"/>
  <c r="BI356" i="7"/>
  <c r="AK358" i="7"/>
  <c r="BN357" i="7"/>
  <c r="R378" i="7"/>
  <c r="AU377" i="7"/>
  <c r="AD379" i="7"/>
  <c r="BG378" i="7"/>
  <c r="AO358" i="7"/>
  <c r="BR357" i="7"/>
  <c r="BL356" i="7"/>
  <c r="AI357" i="7"/>
  <c r="BD357" i="7"/>
  <c r="AA358" i="7"/>
  <c r="AV357" i="7"/>
  <c r="S358" i="7"/>
  <c r="BF357" i="7"/>
  <c r="AC358" i="7"/>
  <c r="BH356" i="7"/>
  <c r="AE357" i="7"/>
  <c r="AG358" i="7"/>
  <c r="BJ357" i="7"/>
  <c r="BB357" i="7"/>
  <c r="Y358" i="7"/>
  <c r="BT357" i="7"/>
  <c r="AQ358" i="7"/>
  <c r="BP356" i="7"/>
  <c r="AM357" i="7"/>
  <c r="AZ356" i="7"/>
  <c r="W357" i="7"/>
  <c r="P357" i="7"/>
  <c r="AS356" i="7"/>
  <c r="V377" i="7"/>
  <c r="AY376" i="7"/>
  <c r="AL377" i="7"/>
  <c r="BO376" i="7"/>
  <c r="AH377" i="7"/>
  <c r="BK376" i="7"/>
  <c r="T357" i="7"/>
  <c r="AW356" i="7"/>
  <c r="AJ357" i="7"/>
  <c r="BM356" i="7"/>
  <c r="AB357" i="7"/>
  <c r="BE356" i="7"/>
  <c r="BL200" i="7"/>
  <c r="AI201" i="7"/>
  <c r="AO181" i="7"/>
  <c r="BR180" i="7"/>
  <c r="AQ178" i="7"/>
  <c r="BT177" i="7"/>
  <c r="J177" i="7" s="1"/>
  <c r="AE196" i="7"/>
  <c r="BH195" i="7"/>
  <c r="A200" i="7"/>
  <c r="AR179" i="7"/>
  <c r="BU178" i="7"/>
  <c r="BB180" i="7"/>
  <c r="Y181" i="7"/>
  <c r="T181" i="7"/>
  <c r="AW180" i="7"/>
  <c r="AZ180" i="7"/>
  <c r="W181" i="7"/>
  <c r="BC180" i="7"/>
  <c r="Z181" i="7"/>
  <c r="X181" i="7"/>
  <c r="BA180" i="7"/>
  <c r="AA181" i="7"/>
  <c r="BD180" i="7"/>
  <c r="AV180" i="7"/>
  <c r="S181" i="7"/>
  <c r="R181" i="7"/>
  <c r="AU180" i="7"/>
  <c r="V181" i="7"/>
  <c r="AY180" i="7"/>
  <c r="AX180" i="7"/>
  <c r="U181" i="7"/>
  <c r="P181" i="7"/>
  <c r="AS180" i="7"/>
  <c r="AT180" i="7"/>
  <c r="Q181" i="7"/>
  <c r="AP201" i="7"/>
  <c r="BS201" i="7" s="1"/>
  <c r="A221" i="7" l="1"/>
  <c r="L222" i="7"/>
  <c r="AR356" i="7"/>
  <c r="BU355" i="7"/>
  <c r="J355" i="7" s="1"/>
  <c r="AJ358" i="7"/>
  <c r="BM357" i="7"/>
  <c r="AH378" i="7"/>
  <c r="BK377" i="7"/>
  <c r="AL378" i="7"/>
  <c r="BO377" i="7"/>
  <c r="P358" i="7"/>
  <c r="AS357" i="7"/>
  <c r="AV358" i="7"/>
  <c r="S359" i="7"/>
  <c r="BL357" i="7"/>
  <c r="AI358" i="7"/>
  <c r="AZ357" i="7"/>
  <c r="W358" i="7"/>
  <c r="BT358" i="7"/>
  <c r="AQ359" i="7"/>
  <c r="BF358" i="7"/>
  <c r="AC359" i="7"/>
  <c r="AD380" i="7"/>
  <c r="BG379" i="7"/>
  <c r="AK359" i="7"/>
  <c r="BN358" i="7"/>
  <c r="X358" i="7"/>
  <c r="BA357" i="7"/>
  <c r="AN358" i="7"/>
  <c r="BQ357" i="7"/>
  <c r="U359" i="7"/>
  <c r="AX358" i="7"/>
  <c r="AB358" i="7"/>
  <c r="BE357" i="7"/>
  <c r="T358" i="7"/>
  <c r="AW357" i="7"/>
  <c r="V378" i="7"/>
  <c r="AY377" i="7"/>
  <c r="AG359" i="7"/>
  <c r="BJ358" i="7"/>
  <c r="BD358" i="7"/>
  <c r="AA359" i="7"/>
  <c r="BP357" i="7"/>
  <c r="AM358" i="7"/>
  <c r="BB358" i="7"/>
  <c r="Y359" i="7"/>
  <c r="BH357" i="7"/>
  <c r="AE358" i="7"/>
  <c r="BR358" i="7"/>
  <c r="AO359" i="7"/>
  <c r="R379" i="7"/>
  <c r="AU378" i="7"/>
  <c r="AF358" i="7"/>
  <c r="BI357" i="7"/>
  <c r="Z378" i="7"/>
  <c r="BC377" i="7"/>
  <c r="AP378" i="7"/>
  <c r="BS377" i="7"/>
  <c r="Q359" i="7"/>
  <c r="AT358" i="7"/>
  <c r="AI202" i="7"/>
  <c r="BL201" i="7"/>
  <c r="AO182" i="7"/>
  <c r="BR181" i="7"/>
  <c r="AE197" i="7"/>
  <c r="BH196" i="7"/>
  <c r="AR180" i="7"/>
  <c r="BU179" i="7"/>
  <c r="AQ179" i="7"/>
  <c r="BT178" i="7"/>
  <c r="J178" i="7" s="1"/>
  <c r="R182" i="7"/>
  <c r="AU181" i="7"/>
  <c r="S182" i="7"/>
  <c r="AV181" i="7"/>
  <c r="AZ181" i="7"/>
  <c r="W182" i="7"/>
  <c r="AA182" i="7"/>
  <c r="BD181" i="7"/>
  <c r="T182" i="7"/>
  <c r="AW181" i="7"/>
  <c r="BB181" i="7"/>
  <c r="Y182" i="7"/>
  <c r="BA181" i="7"/>
  <c r="X182" i="7"/>
  <c r="BC181" i="7"/>
  <c r="Z182" i="7"/>
  <c r="AY181" i="7"/>
  <c r="V182" i="7"/>
  <c r="U182" i="7"/>
  <c r="AX181" i="7"/>
  <c r="AS181" i="7"/>
  <c r="P182" i="7"/>
  <c r="AT181" i="7"/>
  <c r="Q182" i="7"/>
  <c r="AP202" i="7"/>
  <c r="BS202" i="7" s="1"/>
  <c r="AR357" i="7" l="1"/>
  <c r="BU356" i="7"/>
  <c r="J356" i="7" s="1"/>
  <c r="L223" i="7"/>
  <c r="A222" i="7"/>
  <c r="AO360" i="7"/>
  <c r="BR359" i="7"/>
  <c r="Y360" i="7"/>
  <c r="BB359" i="7"/>
  <c r="AG360" i="7"/>
  <c r="BJ359" i="7"/>
  <c r="AB359" i="7"/>
  <c r="BE358" i="7"/>
  <c r="AN359" i="7"/>
  <c r="BQ358" i="7"/>
  <c r="BN359" i="7"/>
  <c r="AK360" i="7"/>
  <c r="AJ359" i="7"/>
  <c r="BM358" i="7"/>
  <c r="BL358" i="7"/>
  <c r="AI359" i="7"/>
  <c r="BH358" i="7"/>
  <c r="AE359" i="7"/>
  <c r="BP358" i="7"/>
  <c r="AM359" i="7"/>
  <c r="V379" i="7"/>
  <c r="AY378" i="7"/>
  <c r="T359" i="7"/>
  <c r="AW358" i="7"/>
  <c r="AX359" i="7"/>
  <c r="U360" i="7"/>
  <c r="X359" i="7"/>
  <c r="BA358" i="7"/>
  <c r="AD381" i="7"/>
  <c r="BG380" i="7"/>
  <c r="P359" i="7"/>
  <c r="AS358" i="7"/>
  <c r="AH379" i="7"/>
  <c r="BK378" i="7"/>
  <c r="AL379" i="7"/>
  <c r="BO378" i="7"/>
  <c r="AP379" i="7"/>
  <c r="BS378" i="7"/>
  <c r="AF359" i="7"/>
  <c r="BI358" i="7"/>
  <c r="BD359" i="7"/>
  <c r="AA360" i="7"/>
  <c r="BT359" i="7"/>
  <c r="AQ360" i="7"/>
  <c r="Q360" i="7"/>
  <c r="AT359" i="7"/>
  <c r="Z379" i="7"/>
  <c r="BC378" i="7"/>
  <c r="R380" i="7"/>
  <c r="AU379" i="7"/>
  <c r="BF359" i="7"/>
  <c r="AC360" i="7"/>
  <c r="AZ358" i="7"/>
  <c r="W359" i="7"/>
  <c r="AV359" i="7"/>
  <c r="S360" i="7"/>
  <c r="AI203" i="7"/>
  <c r="BL202" i="7"/>
  <c r="AO183" i="7"/>
  <c r="BR182" i="7"/>
  <c r="AR181" i="7"/>
  <c r="BU180" i="7"/>
  <c r="AQ180" i="7"/>
  <c r="BT179" i="7"/>
  <c r="J179" i="7" s="1"/>
  <c r="AE198" i="7"/>
  <c r="BH197" i="7"/>
  <c r="BD182" i="7"/>
  <c r="AA183" i="7"/>
  <c r="X183" i="7"/>
  <c r="BA182" i="7"/>
  <c r="W183" i="7"/>
  <c r="AZ182" i="7"/>
  <c r="AV182" i="7"/>
  <c r="S183" i="7"/>
  <c r="Y183" i="7"/>
  <c r="BB182" i="7"/>
  <c r="AW182" i="7"/>
  <c r="T183" i="7"/>
  <c r="BC182" i="7"/>
  <c r="Z183" i="7"/>
  <c r="AU182" i="7"/>
  <c r="R183" i="7"/>
  <c r="AY182" i="7"/>
  <c r="V183" i="7"/>
  <c r="AX182" i="7"/>
  <c r="U183" i="7"/>
  <c r="P183" i="7"/>
  <c r="AS182" i="7"/>
  <c r="AT182" i="7"/>
  <c r="Q183" i="7"/>
  <c r="AP203" i="7"/>
  <c r="BS203" i="7" s="1"/>
  <c r="L224" i="7" l="1"/>
  <c r="A223" i="7"/>
  <c r="AR358" i="7"/>
  <c r="BU357" i="7"/>
  <c r="J357" i="7" s="1"/>
  <c r="R381" i="7"/>
  <c r="AU380" i="7"/>
  <c r="AP380" i="7"/>
  <c r="BS379" i="7"/>
  <c r="P360" i="7"/>
  <c r="AS359" i="7"/>
  <c r="X360" i="7"/>
  <c r="BA359" i="7"/>
  <c r="T360" i="7"/>
  <c r="AW359" i="7"/>
  <c r="AB360" i="7"/>
  <c r="BE359" i="7"/>
  <c r="BB360" i="7"/>
  <c r="Y361" i="7"/>
  <c r="Z380" i="7"/>
  <c r="BC379" i="7"/>
  <c r="BT360" i="7"/>
  <c r="AQ361" i="7"/>
  <c r="U361" i="7"/>
  <c r="AX360" i="7"/>
  <c r="BH359" i="7"/>
  <c r="AE360" i="7"/>
  <c r="AT360" i="7"/>
  <c r="Q361" i="7"/>
  <c r="BD360" i="7"/>
  <c r="AA361" i="7"/>
  <c r="BP359" i="7"/>
  <c r="AM360" i="7"/>
  <c r="BL359" i="7"/>
  <c r="AI360" i="7"/>
  <c r="AK361" i="7"/>
  <c r="BN360" i="7"/>
  <c r="AV360" i="7"/>
  <c r="S361" i="7"/>
  <c r="AC361" i="7"/>
  <c r="BF360" i="7"/>
  <c r="AZ359" i="7"/>
  <c r="W360" i="7"/>
  <c r="AF360" i="7"/>
  <c r="BI359" i="7"/>
  <c r="AL380" i="7"/>
  <c r="BO379" i="7"/>
  <c r="AH380" i="7"/>
  <c r="BK379" i="7"/>
  <c r="BG381" i="7"/>
  <c r="AD382" i="7"/>
  <c r="V380" i="7"/>
  <c r="AY379" i="7"/>
  <c r="AJ360" i="7"/>
  <c r="BM359" i="7"/>
  <c r="AN360" i="7"/>
  <c r="BQ359" i="7"/>
  <c r="BJ360" i="7"/>
  <c r="AG361" i="7"/>
  <c r="BR360" i="7"/>
  <c r="AO361" i="7"/>
  <c r="AI204" i="7"/>
  <c r="BL203" i="7"/>
  <c r="AO184" i="7"/>
  <c r="BR183" i="7"/>
  <c r="AQ181" i="7"/>
  <c r="BT180" i="7"/>
  <c r="J180" i="7" s="1"/>
  <c r="AE199" i="7"/>
  <c r="BH198" i="7"/>
  <c r="AR182" i="7"/>
  <c r="BU181" i="7"/>
  <c r="T184" i="7"/>
  <c r="AW183" i="7"/>
  <c r="Y184" i="7"/>
  <c r="BB183" i="7"/>
  <c r="BD183" i="7"/>
  <c r="AA184" i="7"/>
  <c r="Z184" i="7"/>
  <c r="BC183" i="7"/>
  <c r="AZ183" i="7"/>
  <c r="W184" i="7"/>
  <c r="X184" i="7"/>
  <c r="BA183" i="7"/>
  <c r="AU183" i="7"/>
  <c r="R184" i="7"/>
  <c r="S184" i="7"/>
  <c r="AV183" i="7"/>
  <c r="V184" i="7"/>
  <c r="AY183" i="7"/>
  <c r="AX183" i="7"/>
  <c r="U184" i="7"/>
  <c r="P184" i="7"/>
  <c r="AS183" i="7"/>
  <c r="Q184" i="7"/>
  <c r="AT183" i="7"/>
  <c r="AP204" i="7"/>
  <c r="BS204" i="7" s="1"/>
  <c r="BU358" i="7" l="1"/>
  <c r="J358" i="7" s="1"/>
  <c r="AR359" i="7"/>
  <c r="L225" i="7"/>
  <c r="A224" i="7"/>
  <c r="BJ361" i="7"/>
  <c r="AG362" i="7"/>
  <c r="BG382" i="7"/>
  <c r="AD383" i="7"/>
  <c r="AZ360" i="7"/>
  <c r="W361" i="7"/>
  <c r="AV361" i="7"/>
  <c r="S362" i="7"/>
  <c r="BL360" i="7"/>
  <c r="AI361" i="7"/>
  <c r="Z381" i="7"/>
  <c r="BC380" i="7"/>
  <c r="AB361" i="7"/>
  <c r="BE360" i="7"/>
  <c r="X361" i="7"/>
  <c r="BA360" i="7"/>
  <c r="AU381" i="7"/>
  <c r="R382" i="7"/>
  <c r="AL381" i="7"/>
  <c r="BO380" i="7"/>
  <c r="BD361" i="7"/>
  <c r="AA362" i="7"/>
  <c r="BT361" i="7"/>
  <c r="AQ362" i="7"/>
  <c r="BB361" i="7"/>
  <c r="Y362" i="7"/>
  <c r="BR361" i="7"/>
  <c r="AO362" i="7"/>
  <c r="BP360" i="7"/>
  <c r="AM361" i="7"/>
  <c r="T361" i="7"/>
  <c r="AW360" i="7"/>
  <c r="P361" i="7"/>
  <c r="AS360" i="7"/>
  <c r="AP381" i="7"/>
  <c r="BS380" i="7"/>
  <c r="U362" i="7"/>
  <c r="AX361" i="7"/>
  <c r="AJ361" i="7"/>
  <c r="BM360" i="7"/>
  <c r="BH360" i="7"/>
  <c r="AE361" i="7"/>
  <c r="AN361" i="7"/>
  <c r="BQ360" i="7"/>
  <c r="V381" i="7"/>
  <c r="AY380" i="7"/>
  <c r="AH381" i="7"/>
  <c r="BK380" i="7"/>
  <c r="AF361" i="7"/>
  <c r="BI360" i="7"/>
  <c r="AC362" i="7"/>
  <c r="BF361" i="7"/>
  <c r="AK362" i="7"/>
  <c r="BN361" i="7"/>
  <c r="AT361" i="7"/>
  <c r="Q362" i="7"/>
  <c r="AI205" i="7"/>
  <c r="BL204" i="7"/>
  <c r="AO185" i="7"/>
  <c r="BR184" i="7"/>
  <c r="AR183" i="7"/>
  <c r="BU182" i="7"/>
  <c r="AQ182" i="7"/>
  <c r="BT181" i="7"/>
  <c r="J181" i="7" s="1"/>
  <c r="AE200" i="7"/>
  <c r="BH199" i="7"/>
  <c r="S185" i="7"/>
  <c r="AV184" i="7"/>
  <c r="BC184" i="7"/>
  <c r="Z185" i="7"/>
  <c r="R185" i="7"/>
  <c r="AU184" i="7"/>
  <c r="BD184" i="7"/>
  <c r="AA185" i="7"/>
  <c r="BA184" i="7"/>
  <c r="X185" i="7"/>
  <c r="BB184" i="7"/>
  <c r="Y185" i="7"/>
  <c r="AZ184" i="7"/>
  <c r="W185" i="7"/>
  <c r="T185" i="7"/>
  <c r="AW184" i="7"/>
  <c r="V185" i="7"/>
  <c r="AY184" i="7"/>
  <c r="U185" i="7"/>
  <c r="AX184" i="7"/>
  <c r="P185" i="7"/>
  <c r="AS184" i="7"/>
  <c r="Q185" i="7"/>
  <c r="AT184" i="7"/>
  <c r="AP205" i="7"/>
  <c r="BS205" i="7" s="1"/>
  <c r="L226" i="7" l="1"/>
  <c r="A225" i="7"/>
  <c r="AR360" i="7"/>
  <c r="BU359" i="7"/>
  <c r="J359" i="7" s="1"/>
  <c r="BN362" i="7"/>
  <c r="AK363" i="7"/>
  <c r="AF362" i="7"/>
  <c r="BI361" i="7"/>
  <c r="AY381" i="7"/>
  <c r="V382" i="7"/>
  <c r="BH361" i="7"/>
  <c r="AE362" i="7"/>
  <c r="AO363" i="7"/>
  <c r="BR362" i="7"/>
  <c r="BT362" i="7"/>
  <c r="AQ363" i="7"/>
  <c r="AV362" i="7"/>
  <c r="S363" i="7"/>
  <c r="BG383" i="7"/>
  <c r="AD384" i="7"/>
  <c r="Q363" i="7"/>
  <c r="AT362" i="7"/>
  <c r="BS381" i="7"/>
  <c r="AP382" i="7"/>
  <c r="T362" i="7"/>
  <c r="AW361" i="7"/>
  <c r="BO381" i="7"/>
  <c r="AL382" i="7"/>
  <c r="X362" i="7"/>
  <c r="BA361" i="7"/>
  <c r="BC381" i="7"/>
  <c r="Z382" i="7"/>
  <c r="BF362" i="7"/>
  <c r="AC363" i="7"/>
  <c r="BK381" i="7"/>
  <c r="AH382" i="7"/>
  <c r="AN362" i="7"/>
  <c r="BQ361" i="7"/>
  <c r="BP361" i="7"/>
  <c r="AM362" i="7"/>
  <c r="Y363" i="7"/>
  <c r="BB362" i="7"/>
  <c r="BD362" i="7"/>
  <c r="AA363" i="7"/>
  <c r="AU382" i="7"/>
  <c r="R383" i="7"/>
  <c r="BL361" i="7"/>
  <c r="AI362" i="7"/>
  <c r="AZ361" i="7"/>
  <c r="W362" i="7"/>
  <c r="AG363" i="7"/>
  <c r="BJ362" i="7"/>
  <c r="AJ362" i="7"/>
  <c r="BM361" i="7"/>
  <c r="AX362" i="7"/>
  <c r="U363" i="7"/>
  <c r="P362" i="7"/>
  <c r="AS361" i="7"/>
  <c r="AB362" i="7"/>
  <c r="BE361" i="7"/>
  <c r="AI206" i="7"/>
  <c r="BL205" i="7"/>
  <c r="AO186" i="7"/>
  <c r="BR185" i="7"/>
  <c r="AQ183" i="7"/>
  <c r="BT182" i="7"/>
  <c r="J182" i="7" s="1"/>
  <c r="AE201" i="7"/>
  <c r="BH200" i="7"/>
  <c r="AR184" i="7"/>
  <c r="BU183" i="7"/>
  <c r="T186" i="7"/>
  <c r="AW185" i="7"/>
  <c r="Z186" i="7"/>
  <c r="BC185" i="7"/>
  <c r="BA185" i="7"/>
  <c r="X186" i="7"/>
  <c r="W186" i="7"/>
  <c r="AZ185" i="7"/>
  <c r="R186" i="7"/>
  <c r="AU185" i="7"/>
  <c r="BB185" i="7"/>
  <c r="Y186" i="7"/>
  <c r="AA186" i="7"/>
  <c r="BD185" i="7"/>
  <c r="S186" i="7"/>
  <c r="AV185" i="7"/>
  <c r="AY185" i="7"/>
  <c r="V186" i="7"/>
  <c r="AX185" i="7"/>
  <c r="U186" i="7"/>
  <c r="P186" i="7"/>
  <c r="AS185" i="7"/>
  <c r="Q186" i="7"/>
  <c r="AT185" i="7"/>
  <c r="AP206" i="7"/>
  <c r="BS206" i="7" s="1"/>
  <c r="AR361" i="7" l="1"/>
  <c r="BU360" i="7"/>
  <c r="J360" i="7" s="1"/>
  <c r="L227" i="7"/>
  <c r="A226" i="7"/>
  <c r="AT363" i="7"/>
  <c r="Q364" i="7"/>
  <c r="P363" i="7"/>
  <c r="AS362" i="7"/>
  <c r="AC364" i="7"/>
  <c r="BF363" i="7"/>
  <c r="U364" i="7"/>
  <c r="AX363" i="7"/>
  <c r="BL362" i="7"/>
  <c r="AI363" i="7"/>
  <c r="BD363" i="7"/>
  <c r="AA364" i="7"/>
  <c r="BP362" i="7"/>
  <c r="AM363" i="7"/>
  <c r="AN363" i="7"/>
  <c r="BQ362" i="7"/>
  <c r="X363" i="7"/>
  <c r="BA362" i="7"/>
  <c r="T363" i="7"/>
  <c r="AW362" i="7"/>
  <c r="AF363" i="7"/>
  <c r="BI362" i="7"/>
  <c r="AZ362" i="7"/>
  <c r="W363" i="7"/>
  <c r="AU383" i="7"/>
  <c r="R384" i="7"/>
  <c r="BR363" i="7"/>
  <c r="AO364" i="7"/>
  <c r="AJ363" i="7"/>
  <c r="BM362" i="7"/>
  <c r="BB363" i="7"/>
  <c r="Y364" i="7"/>
  <c r="AD385" i="7"/>
  <c r="BG384" i="7"/>
  <c r="BT363" i="7"/>
  <c r="AQ364" i="7"/>
  <c r="BH362" i="7"/>
  <c r="AE363" i="7"/>
  <c r="AB363" i="7"/>
  <c r="BE362" i="7"/>
  <c r="BJ363" i="7"/>
  <c r="AG364" i="7"/>
  <c r="BK382" i="7"/>
  <c r="AH383" i="7"/>
  <c r="BC382" i="7"/>
  <c r="Z383" i="7"/>
  <c r="BO382" i="7"/>
  <c r="AL383" i="7"/>
  <c r="BS382" i="7"/>
  <c r="AP383" i="7"/>
  <c r="AV363" i="7"/>
  <c r="S364" i="7"/>
  <c r="AY382" i="7"/>
  <c r="V383" i="7"/>
  <c r="AK364" i="7"/>
  <c r="BN363" i="7"/>
  <c r="AI207" i="7"/>
  <c r="BL206" i="7"/>
  <c r="AO187" i="7"/>
  <c r="BR186" i="7"/>
  <c r="AR185" i="7"/>
  <c r="BU184" i="7"/>
  <c r="AE202" i="7"/>
  <c r="BH201" i="7"/>
  <c r="AQ184" i="7"/>
  <c r="BT183" i="7"/>
  <c r="J183" i="7" s="1"/>
  <c r="AZ186" i="7"/>
  <c r="W187" i="7"/>
  <c r="Y187" i="7"/>
  <c r="BB186" i="7"/>
  <c r="S187" i="7"/>
  <c r="AV186" i="7"/>
  <c r="X187" i="7"/>
  <c r="BA186" i="7"/>
  <c r="BD186" i="7"/>
  <c r="AA187" i="7"/>
  <c r="BC186" i="7"/>
  <c r="Z187" i="7"/>
  <c r="R187" i="7"/>
  <c r="AU186" i="7"/>
  <c r="T187" i="7"/>
  <c r="AW186" i="7"/>
  <c r="V187" i="7"/>
  <c r="AY186" i="7"/>
  <c r="AX186" i="7"/>
  <c r="U187" i="7"/>
  <c r="P187" i="7"/>
  <c r="AS186" i="7"/>
  <c r="AT186" i="7"/>
  <c r="Q187" i="7"/>
  <c r="AP207" i="7"/>
  <c r="BS207" i="7" s="1"/>
  <c r="L228" i="7" l="1"/>
  <c r="A227" i="7"/>
  <c r="AR362" i="7"/>
  <c r="BU361" i="7"/>
  <c r="J361" i="7" s="1"/>
  <c r="AY383" i="7"/>
  <c r="V384" i="7"/>
  <c r="BC383" i="7"/>
  <c r="Z384" i="7"/>
  <c r="AG365" i="7"/>
  <c r="BJ364" i="7"/>
  <c r="BH363" i="7"/>
  <c r="AE364" i="7"/>
  <c r="BD364" i="7"/>
  <c r="AA365" i="7"/>
  <c r="AD386" i="7"/>
  <c r="BG385" i="7"/>
  <c r="AJ364" i="7"/>
  <c r="BM363" i="7"/>
  <c r="AF364" i="7"/>
  <c r="BI363" i="7"/>
  <c r="T364" i="7"/>
  <c r="AW363" i="7"/>
  <c r="AN364" i="7"/>
  <c r="BQ363" i="7"/>
  <c r="U365" i="7"/>
  <c r="AX364" i="7"/>
  <c r="P364" i="7"/>
  <c r="AS363" i="7"/>
  <c r="AV364" i="7"/>
  <c r="S365" i="7"/>
  <c r="BO383" i="7"/>
  <c r="AL384" i="7"/>
  <c r="BK383" i="7"/>
  <c r="AH384" i="7"/>
  <c r="AQ365" i="7"/>
  <c r="BT364" i="7"/>
  <c r="Y365" i="7"/>
  <c r="BB364" i="7"/>
  <c r="AO365" i="7"/>
  <c r="BR364" i="7"/>
  <c r="AZ363" i="7"/>
  <c r="W364" i="7"/>
  <c r="BP363" i="7"/>
  <c r="AM364" i="7"/>
  <c r="BL363" i="7"/>
  <c r="AI364" i="7"/>
  <c r="Q365" i="7"/>
  <c r="AT364" i="7"/>
  <c r="BS383" i="7"/>
  <c r="AP384" i="7"/>
  <c r="R385" i="7"/>
  <c r="AU384" i="7"/>
  <c r="AK365" i="7"/>
  <c r="BN364" i="7"/>
  <c r="AB364" i="7"/>
  <c r="BE363" i="7"/>
  <c r="X364" i="7"/>
  <c r="BA363" i="7"/>
  <c r="AC365" i="7"/>
  <c r="BF364" i="7"/>
  <c r="AI208" i="7"/>
  <c r="BL207" i="7"/>
  <c r="AO188" i="7"/>
  <c r="BR187" i="7"/>
  <c r="AE203" i="7"/>
  <c r="BH202" i="7"/>
  <c r="AQ185" i="7"/>
  <c r="BT184" i="7"/>
  <c r="J184" i="7" s="1"/>
  <c r="AR186" i="7"/>
  <c r="BU185" i="7"/>
  <c r="AW187" i="7"/>
  <c r="T188" i="7"/>
  <c r="BA187" i="7"/>
  <c r="X188" i="7"/>
  <c r="AU187" i="7"/>
  <c r="R188" i="7"/>
  <c r="S188" i="7"/>
  <c r="AV187" i="7"/>
  <c r="BB187" i="7"/>
  <c r="Y188" i="7"/>
  <c r="Z188" i="7"/>
  <c r="BC187" i="7"/>
  <c r="BD187" i="7"/>
  <c r="AA188" i="7"/>
  <c r="W188" i="7"/>
  <c r="AZ187" i="7"/>
  <c r="V188" i="7"/>
  <c r="AY187" i="7"/>
  <c r="AX187" i="7"/>
  <c r="U188" i="7"/>
  <c r="P188" i="7"/>
  <c r="AS187" i="7"/>
  <c r="Q188" i="7"/>
  <c r="AT187" i="7"/>
  <c r="AP208" i="7"/>
  <c r="BS208" i="7" s="1"/>
  <c r="AR363" i="7" l="1"/>
  <c r="BU362" i="7"/>
  <c r="J362" i="7" s="1"/>
  <c r="A228" i="7"/>
  <c r="L229" i="7"/>
  <c r="AB365" i="7"/>
  <c r="BE364" i="7"/>
  <c r="R386" i="7"/>
  <c r="AU385" i="7"/>
  <c r="Q366" i="7"/>
  <c r="AT365" i="7"/>
  <c r="AO366" i="7"/>
  <c r="BR365" i="7"/>
  <c r="P365" i="7"/>
  <c r="AS364" i="7"/>
  <c r="BQ364" i="7"/>
  <c r="AN365" i="7"/>
  <c r="AD387" i="7"/>
  <c r="BG386" i="7"/>
  <c r="BH364" i="7"/>
  <c r="AE365" i="7"/>
  <c r="BC384" i="7"/>
  <c r="Z385" i="7"/>
  <c r="BS384" i="7"/>
  <c r="AP385" i="7"/>
  <c r="BL364" i="7"/>
  <c r="AI365" i="7"/>
  <c r="W365" i="7"/>
  <c r="AZ364" i="7"/>
  <c r="AH385" i="7"/>
  <c r="BK384" i="7"/>
  <c r="AV365" i="7"/>
  <c r="S366" i="7"/>
  <c r="AC366" i="7"/>
  <c r="BF365" i="7"/>
  <c r="AK366" i="7"/>
  <c r="BN365" i="7"/>
  <c r="Y366" i="7"/>
  <c r="BB365" i="7"/>
  <c r="U366" i="7"/>
  <c r="AX365" i="7"/>
  <c r="AW364" i="7"/>
  <c r="T365" i="7"/>
  <c r="BM364" i="7"/>
  <c r="AJ365" i="7"/>
  <c r="AA366" i="7"/>
  <c r="BD365" i="7"/>
  <c r="AY384" i="7"/>
  <c r="V385" i="7"/>
  <c r="BA364" i="7"/>
  <c r="X365" i="7"/>
  <c r="AQ366" i="7"/>
  <c r="BT365" i="7"/>
  <c r="BI364" i="7"/>
  <c r="AF365" i="7"/>
  <c r="AM365" i="7"/>
  <c r="BP364" i="7"/>
  <c r="BO384" i="7"/>
  <c r="AL385" i="7"/>
  <c r="AG366" i="7"/>
  <c r="BJ365" i="7"/>
  <c r="BL208" i="7"/>
  <c r="AI209" i="7"/>
  <c r="AO189" i="7"/>
  <c r="BR188" i="7"/>
  <c r="AQ186" i="7"/>
  <c r="BT185" i="7"/>
  <c r="J185" i="7" s="1"/>
  <c r="AR187" i="7"/>
  <c r="BU186" i="7"/>
  <c r="AE204" i="7"/>
  <c r="BH203" i="7"/>
  <c r="BD188" i="7"/>
  <c r="AA189" i="7"/>
  <c r="R189" i="7"/>
  <c r="AU188" i="7"/>
  <c r="S189" i="7"/>
  <c r="AV188" i="7"/>
  <c r="Z189" i="7"/>
  <c r="BC188" i="7"/>
  <c r="X189" i="7"/>
  <c r="BA188" i="7"/>
  <c r="AZ188" i="7"/>
  <c r="W189" i="7"/>
  <c r="AW188" i="7"/>
  <c r="T189" i="7"/>
  <c r="Y189" i="7"/>
  <c r="BB188" i="7"/>
  <c r="AY188" i="7"/>
  <c r="V189" i="7"/>
  <c r="AX188" i="7"/>
  <c r="U189" i="7"/>
  <c r="P189" i="7"/>
  <c r="AS188" i="7"/>
  <c r="Q189" i="7"/>
  <c r="AT188" i="7"/>
  <c r="AP209" i="7"/>
  <c r="BS209" i="7" s="1"/>
  <c r="A229" i="7" l="1"/>
  <c r="L230" i="7"/>
  <c r="AR364" i="7"/>
  <c r="BU363" i="7"/>
  <c r="J363" i="7" s="1"/>
  <c r="BI365" i="7"/>
  <c r="AF366" i="7"/>
  <c r="AW365" i="7"/>
  <c r="T366" i="7"/>
  <c r="BS385" i="7"/>
  <c r="AP386" i="7"/>
  <c r="BH365" i="7"/>
  <c r="AE366" i="7"/>
  <c r="AA367" i="7"/>
  <c r="BD366" i="7"/>
  <c r="Y367" i="7"/>
  <c r="BB366" i="7"/>
  <c r="W366" i="7"/>
  <c r="AZ365" i="7"/>
  <c r="AO367" i="7"/>
  <c r="BR366" i="7"/>
  <c r="R387" i="7"/>
  <c r="AU386" i="7"/>
  <c r="AG367" i="7"/>
  <c r="BJ366" i="7"/>
  <c r="AY385" i="7"/>
  <c r="V386" i="7"/>
  <c r="BM365" i="7"/>
  <c r="AJ366" i="7"/>
  <c r="BL365" i="7"/>
  <c r="AI366" i="7"/>
  <c r="BC385" i="7"/>
  <c r="Z386" i="7"/>
  <c r="BO385" i="7"/>
  <c r="AL386" i="7"/>
  <c r="BA365" i="7"/>
  <c r="X366" i="7"/>
  <c r="AV366" i="7"/>
  <c r="S367" i="7"/>
  <c r="BQ365" i="7"/>
  <c r="AN366" i="7"/>
  <c r="AM366" i="7"/>
  <c r="BP365" i="7"/>
  <c r="AQ367" i="7"/>
  <c r="BT366" i="7"/>
  <c r="U367" i="7"/>
  <c r="AX366" i="7"/>
  <c r="AK367" i="7"/>
  <c r="BN366" i="7"/>
  <c r="AC367" i="7"/>
  <c r="BF366" i="7"/>
  <c r="AH386" i="7"/>
  <c r="BK385" i="7"/>
  <c r="AD388" i="7"/>
  <c r="BG387" i="7"/>
  <c r="AS365" i="7"/>
  <c r="P366" i="7"/>
  <c r="Q367" i="7"/>
  <c r="AT366" i="7"/>
  <c r="BE365" i="7"/>
  <c r="AB366" i="7"/>
  <c r="AI210" i="7"/>
  <c r="BL209" i="7"/>
  <c r="AO190" i="7"/>
  <c r="BR189" i="7"/>
  <c r="AE205" i="7"/>
  <c r="BH204" i="7"/>
  <c r="AR188" i="7"/>
  <c r="BU187" i="7"/>
  <c r="AQ187" i="7"/>
  <c r="BT186" i="7"/>
  <c r="J186" i="7" s="1"/>
  <c r="BB189" i="7"/>
  <c r="Y190" i="7"/>
  <c r="T190" i="7"/>
  <c r="AW189" i="7"/>
  <c r="S190" i="7"/>
  <c r="AV189" i="7"/>
  <c r="AZ189" i="7"/>
  <c r="W190" i="7"/>
  <c r="AU189" i="7"/>
  <c r="R190" i="7"/>
  <c r="BD189" i="7"/>
  <c r="AA190" i="7"/>
  <c r="Z190" i="7"/>
  <c r="BC189" i="7"/>
  <c r="BA189" i="7"/>
  <c r="X190" i="7"/>
  <c r="AY189" i="7"/>
  <c r="V190" i="7"/>
  <c r="U190" i="7"/>
  <c r="AX189" i="7"/>
  <c r="AS189" i="7"/>
  <c r="P190" i="7"/>
  <c r="AT189" i="7"/>
  <c r="Q190" i="7"/>
  <c r="AP210" i="7"/>
  <c r="BS210" i="7" s="1"/>
  <c r="BU364" i="7" l="1"/>
  <c r="J364" i="7" s="1"/>
  <c r="AR365" i="7"/>
  <c r="A230" i="7"/>
  <c r="L231" i="7"/>
  <c r="AV367" i="7"/>
  <c r="S368" i="7"/>
  <c r="BO386" i="7"/>
  <c r="AL387" i="7"/>
  <c r="AO368" i="7"/>
  <c r="BR367" i="7"/>
  <c r="Y368" i="7"/>
  <c r="BB367" i="7"/>
  <c r="AD389" i="7"/>
  <c r="BG388" i="7"/>
  <c r="U368" i="7"/>
  <c r="AX367" i="7"/>
  <c r="AM367" i="7"/>
  <c r="BP366" i="7"/>
  <c r="AY386" i="7"/>
  <c r="V387" i="7"/>
  <c r="BS386" i="7"/>
  <c r="AP387" i="7"/>
  <c r="BE366" i="7"/>
  <c r="AB367" i="7"/>
  <c r="AS366" i="7"/>
  <c r="P367" i="7"/>
  <c r="BQ366" i="7"/>
  <c r="AN367" i="7"/>
  <c r="BA366" i="7"/>
  <c r="X367" i="7"/>
  <c r="R388" i="7"/>
  <c r="AU387" i="7"/>
  <c r="W367" i="7"/>
  <c r="AZ366" i="7"/>
  <c r="AA368" i="7"/>
  <c r="BD367" i="7"/>
  <c r="AG368" i="7"/>
  <c r="BJ367" i="7"/>
  <c r="Q368" i="7"/>
  <c r="AT367" i="7"/>
  <c r="AC368" i="7"/>
  <c r="BF367" i="7"/>
  <c r="BL366" i="7"/>
  <c r="AI367" i="7"/>
  <c r="AW366" i="7"/>
  <c r="T367" i="7"/>
  <c r="AH387" i="7"/>
  <c r="BK386" i="7"/>
  <c r="AK368" i="7"/>
  <c r="BN367" i="7"/>
  <c r="AQ368" i="7"/>
  <c r="BT367" i="7"/>
  <c r="BC386" i="7"/>
  <c r="Z387" i="7"/>
  <c r="BM366" i="7"/>
  <c r="AJ367" i="7"/>
  <c r="BH366" i="7"/>
  <c r="AE367" i="7"/>
  <c r="BI366" i="7"/>
  <c r="AF367" i="7"/>
  <c r="AI211" i="7"/>
  <c r="BL210" i="7"/>
  <c r="AO191" i="7"/>
  <c r="BR190" i="7"/>
  <c r="AQ188" i="7"/>
  <c r="BT187" i="7"/>
  <c r="J187" i="7" s="1"/>
  <c r="AE206" i="7"/>
  <c r="BH205" i="7"/>
  <c r="AR189" i="7"/>
  <c r="BU188" i="7"/>
  <c r="AV190" i="7"/>
  <c r="S191" i="7"/>
  <c r="AU190" i="7"/>
  <c r="R191" i="7"/>
  <c r="AW190" i="7"/>
  <c r="T191" i="7"/>
  <c r="W191" i="7"/>
  <c r="AZ190" i="7"/>
  <c r="BC190" i="7"/>
  <c r="Z191" i="7"/>
  <c r="AA191" i="7"/>
  <c r="BD190" i="7"/>
  <c r="Y191" i="7"/>
  <c r="BB190" i="7"/>
  <c r="X191" i="7"/>
  <c r="BA190" i="7"/>
  <c r="V191" i="7"/>
  <c r="AY190" i="7"/>
  <c r="U191" i="7"/>
  <c r="AX190" i="7"/>
  <c r="P191" i="7"/>
  <c r="AS190" i="7"/>
  <c r="AT190" i="7"/>
  <c r="Q191" i="7"/>
  <c r="AP211" i="7"/>
  <c r="BS211" i="7" s="1"/>
  <c r="L232" i="7" l="1"/>
  <c r="A231" i="7"/>
  <c r="BU365" i="7"/>
  <c r="J365" i="7" s="1"/>
  <c r="AR366" i="7"/>
  <c r="AQ369" i="7"/>
  <c r="BT368" i="7"/>
  <c r="AH388" i="7"/>
  <c r="BK387" i="7"/>
  <c r="BL367" i="7"/>
  <c r="AI368" i="7"/>
  <c r="BQ367" i="7"/>
  <c r="AN368" i="7"/>
  <c r="AY387" i="7"/>
  <c r="V388" i="7"/>
  <c r="BO387" i="7"/>
  <c r="AL388" i="7"/>
  <c r="Q369" i="7"/>
  <c r="AT368" i="7"/>
  <c r="AA369" i="7"/>
  <c r="BD368" i="7"/>
  <c r="R389" i="7"/>
  <c r="AU388" i="7"/>
  <c r="U369" i="7"/>
  <c r="AX368" i="7"/>
  <c r="Y369" i="7"/>
  <c r="BB368" i="7"/>
  <c r="AK369" i="7"/>
  <c r="BN368" i="7"/>
  <c r="AW367" i="7"/>
  <c r="T368" i="7"/>
  <c r="BA367" i="7"/>
  <c r="X368" i="7"/>
  <c r="AS367" i="7"/>
  <c r="P368" i="7"/>
  <c r="BS387" i="7"/>
  <c r="AP388" i="7"/>
  <c r="AV368" i="7"/>
  <c r="S369" i="7"/>
  <c r="BE367" i="7"/>
  <c r="AB368" i="7"/>
  <c r="BI367" i="7"/>
  <c r="AF368" i="7"/>
  <c r="BH367" i="7"/>
  <c r="AE368" i="7"/>
  <c r="BC387" i="7"/>
  <c r="Z388" i="7"/>
  <c r="BM367" i="7"/>
  <c r="AJ368" i="7"/>
  <c r="AC369" i="7"/>
  <c r="BF368" i="7"/>
  <c r="AG369" i="7"/>
  <c r="BJ368" i="7"/>
  <c r="W368" i="7"/>
  <c r="AZ367" i="7"/>
  <c r="AM368" i="7"/>
  <c r="BP367" i="7"/>
  <c r="AD390" i="7"/>
  <c r="BG389" i="7"/>
  <c r="AO369" i="7"/>
  <c r="BR368" i="7"/>
  <c r="AI212" i="7"/>
  <c r="BL211" i="7"/>
  <c r="AO192" i="7"/>
  <c r="BR191" i="7"/>
  <c r="AR190" i="7"/>
  <c r="BU189" i="7"/>
  <c r="AE207" i="7"/>
  <c r="BH206" i="7"/>
  <c r="AQ189" i="7"/>
  <c r="BT188" i="7"/>
  <c r="J188" i="7" s="1"/>
  <c r="BA191" i="7"/>
  <c r="X192" i="7"/>
  <c r="W192" i="7"/>
  <c r="AZ191" i="7"/>
  <c r="Y192" i="7"/>
  <c r="BB191" i="7"/>
  <c r="T192" i="7"/>
  <c r="AW191" i="7"/>
  <c r="BD191" i="7"/>
  <c r="AA192" i="7"/>
  <c r="R192" i="7"/>
  <c r="AU191" i="7"/>
  <c r="Z192" i="7"/>
  <c r="BC191" i="7"/>
  <c r="S192" i="7"/>
  <c r="AV191" i="7"/>
  <c r="AY191" i="7"/>
  <c r="V192" i="7"/>
  <c r="AX191" i="7"/>
  <c r="U192" i="7"/>
  <c r="AS191" i="7"/>
  <c r="P192" i="7"/>
  <c r="Q192" i="7"/>
  <c r="AT191" i="7"/>
  <c r="AP212" i="7"/>
  <c r="BS212" i="7" s="1"/>
  <c r="BU366" i="7" l="1"/>
  <c r="J366" i="7" s="1"/>
  <c r="AR367" i="7"/>
  <c r="A232" i="7"/>
  <c r="N111" i="7"/>
  <c r="L4" i="7"/>
  <c r="O3" i="7" s="1"/>
  <c r="BG390" i="7"/>
  <c r="AD391" i="7"/>
  <c r="BH368" i="7"/>
  <c r="AE369" i="7"/>
  <c r="BE368" i="7"/>
  <c r="AB369" i="7"/>
  <c r="BS388" i="7"/>
  <c r="AP389" i="7"/>
  <c r="BA368" i="7"/>
  <c r="X369" i="7"/>
  <c r="BO388" i="7"/>
  <c r="AL389" i="7"/>
  <c r="BQ368" i="7"/>
  <c r="AN369" i="7"/>
  <c r="W369" i="7"/>
  <c r="AZ368" i="7"/>
  <c r="AC370" i="7"/>
  <c r="BF369" i="7"/>
  <c r="AK370" i="7"/>
  <c r="BN369" i="7"/>
  <c r="U370" i="7"/>
  <c r="AX369" i="7"/>
  <c r="AA370" i="7"/>
  <c r="BD369" i="7"/>
  <c r="AH389" i="7"/>
  <c r="BK388" i="7"/>
  <c r="AO370" i="7"/>
  <c r="BR369" i="7"/>
  <c r="AM369" i="7"/>
  <c r="BP368" i="7"/>
  <c r="BM368" i="7"/>
  <c r="AJ369" i="7"/>
  <c r="BC388" i="7"/>
  <c r="Z389" i="7"/>
  <c r="BI368" i="7"/>
  <c r="AF369" i="7"/>
  <c r="AV369" i="7"/>
  <c r="S370" i="7"/>
  <c r="AS368" i="7"/>
  <c r="P369" i="7"/>
  <c r="AW368" i="7"/>
  <c r="T369" i="7"/>
  <c r="AY388" i="7"/>
  <c r="V389" i="7"/>
  <c r="BL368" i="7"/>
  <c r="AI369" i="7"/>
  <c r="AG370" i="7"/>
  <c r="BJ369" i="7"/>
  <c r="Y370" i="7"/>
  <c r="BB369" i="7"/>
  <c r="R390" i="7"/>
  <c r="AU389" i="7"/>
  <c r="Q370" i="7"/>
  <c r="AT369" i="7"/>
  <c r="AQ370" i="7"/>
  <c r="BT369" i="7"/>
  <c r="AI213" i="7"/>
  <c r="BL212" i="7"/>
  <c r="AO193" i="7"/>
  <c r="BR192" i="7"/>
  <c r="AE208" i="7"/>
  <c r="BH207" i="7"/>
  <c r="AQ190" i="7"/>
  <c r="BT189" i="7"/>
  <c r="J189" i="7" s="1"/>
  <c r="AR191" i="7"/>
  <c r="BU190" i="7"/>
  <c r="AV192" i="7"/>
  <c r="S193" i="7"/>
  <c r="AW192" i="7"/>
  <c r="T193" i="7"/>
  <c r="Z193" i="7"/>
  <c r="BC192" i="7"/>
  <c r="R193" i="7"/>
  <c r="AU192" i="7"/>
  <c r="AZ192" i="7"/>
  <c r="W193" i="7"/>
  <c r="BB192" i="7"/>
  <c r="Y193" i="7"/>
  <c r="BD192" i="7"/>
  <c r="AA193" i="7"/>
  <c r="X193" i="7"/>
  <c r="BA192" i="7"/>
  <c r="AY192" i="7"/>
  <c r="V193" i="7"/>
  <c r="U193" i="7"/>
  <c r="AX192" i="7"/>
  <c r="AS192" i="7"/>
  <c r="P193" i="7"/>
  <c r="AT192" i="7"/>
  <c r="Q193" i="7"/>
  <c r="AP213" i="7"/>
  <c r="BS213" i="7" s="1"/>
  <c r="BU367" i="7" l="1"/>
  <c r="J367" i="7" s="1"/>
  <c r="AR368" i="7"/>
  <c r="Y371" i="7"/>
  <c r="BB370" i="7"/>
  <c r="AW369" i="7"/>
  <c r="T370" i="7"/>
  <c r="BQ369" i="7"/>
  <c r="AN370" i="7"/>
  <c r="BE369" i="7"/>
  <c r="AB370" i="7"/>
  <c r="AM370" i="7"/>
  <c r="BP369" i="7"/>
  <c r="AH390" i="7"/>
  <c r="BK389" i="7"/>
  <c r="U371" i="7"/>
  <c r="AX370" i="7"/>
  <c r="AC371" i="7"/>
  <c r="BF370" i="7"/>
  <c r="AQ371" i="7"/>
  <c r="BT370" i="7"/>
  <c r="R391" i="7"/>
  <c r="AU390" i="7"/>
  <c r="AY389" i="7"/>
  <c r="V390" i="7"/>
  <c r="AS369" i="7"/>
  <c r="P370" i="7"/>
  <c r="BI369" i="7"/>
  <c r="AF370" i="7"/>
  <c r="BM369" i="7"/>
  <c r="AJ370" i="7"/>
  <c r="AL390" i="7"/>
  <c r="BO389" i="7"/>
  <c r="AP390" i="7"/>
  <c r="BS389" i="7"/>
  <c r="BH369" i="7"/>
  <c r="AE370" i="7"/>
  <c r="AD392" i="7"/>
  <c r="BG391" i="7"/>
  <c r="Q371" i="7"/>
  <c r="AT370" i="7"/>
  <c r="BL369" i="7"/>
  <c r="AI370" i="7"/>
  <c r="AV370" i="7"/>
  <c r="S371" i="7"/>
  <c r="BC389" i="7"/>
  <c r="Z390" i="7"/>
  <c r="BA369" i="7"/>
  <c r="X370" i="7"/>
  <c r="AG371" i="7"/>
  <c r="BJ370" i="7"/>
  <c r="AO371" i="7"/>
  <c r="BR370" i="7"/>
  <c r="AA371" i="7"/>
  <c r="BD370" i="7"/>
  <c r="AK371" i="7"/>
  <c r="BN370" i="7"/>
  <c r="W370" i="7"/>
  <c r="AZ369" i="7"/>
  <c r="AI214" i="7"/>
  <c r="BL213" i="7"/>
  <c r="AO194" i="7"/>
  <c r="BR193" i="7"/>
  <c r="AQ191" i="7"/>
  <c r="BT190" i="7"/>
  <c r="J190" i="7" s="1"/>
  <c r="AR192" i="7"/>
  <c r="BU191" i="7"/>
  <c r="AE209" i="7"/>
  <c r="BH208" i="7"/>
  <c r="X194" i="7"/>
  <c r="BA193" i="7"/>
  <c r="R194" i="7"/>
  <c r="AU193" i="7"/>
  <c r="BB193" i="7"/>
  <c r="Y194" i="7"/>
  <c r="T194" i="7"/>
  <c r="AW193" i="7"/>
  <c r="AA194" i="7"/>
  <c r="BD193" i="7"/>
  <c r="W194" i="7"/>
  <c r="AZ193" i="7"/>
  <c r="S194" i="7"/>
  <c r="AV193" i="7"/>
  <c r="BC193" i="7"/>
  <c r="Z194" i="7"/>
  <c r="AY193" i="7"/>
  <c r="V194" i="7"/>
  <c r="AX193" i="7"/>
  <c r="U194" i="7"/>
  <c r="AS193" i="7"/>
  <c r="P194" i="7"/>
  <c r="Q194" i="7"/>
  <c r="AT193" i="7"/>
  <c r="AP214" i="7"/>
  <c r="BS214" i="7" s="1"/>
  <c r="AR369" i="7" l="1"/>
  <c r="BU368" i="7"/>
  <c r="J368" i="7" s="1"/>
  <c r="AO372" i="7"/>
  <c r="BR371" i="7"/>
  <c r="BH370" i="7"/>
  <c r="AE371" i="7"/>
  <c r="BI370" i="7"/>
  <c r="AF371" i="7"/>
  <c r="AW370" i="7"/>
  <c r="T371" i="7"/>
  <c r="Q372" i="7"/>
  <c r="AT371" i="7"/>
  <c r="AL391" i="7"/>
  <c r="BO390" i="7"/>
  <c r="AQ372" i="7"/>
  <c r="BT371" i="7"/>
  <c r="U372" i="7"/>
  <c r="AX371" i="7"/>
  <c r="AM371" i="7"/>
  <c r="BP370" i="7"/>
  <c r="W371" i="7"/>
  <c r="AZ370" i="7"/>
  <c r="AA372" i="7"/>
  <c r="BD371" i="7"/>
  <c r="BC390" i="7"/>
  <c r="Z391" i="7"/>
  <c r="BL370" i="7"/>
  <c r="AI371" i="7"/>
  <c r="BM370" i="7"/>
  <c r="AJ371" i="7"/>
  <c r="AS370" i="7"/>
  <c r="P371" i="7"/>
  <c r="BQ370" i="7"/>
  <c r="AN371" i="7"/>
  <c r="AK372" i="7"/>
  <c r="BN371" i="7"/>
  <c r="BA370" i="7"/>
  <c r="X371" i="7"/>
  <c r="AV371" i="7"/>
  <c r="S372" i="7"/>
  <c r="V391" i="7"/>
  <c r="AY390" i="7"/>
  <c r="BE370" i="7"/>
  <c r="AB371" i="7"/>
  <c r="AG372" i="7"/>
  <c r="BJ371" i="7"/>
  <c r="AD393" i="7"/>
  <c r="BG392" i="7"/>
  <c r="BS390" i="7"/>
  <c r="AP391" i="7"/>
  <c r="R392" i="7"/>
  <c r="AU391" i="7"/>
  <c r="AC372" i="7"/>
  <c r="BF371" i="7"/>
  <c r="AH391" i="7"/>
  <c r="BK390" i="7"/>
  <c r="Y372" i="7"/>
  <c r="BB371" i="7"/>
  <c r="AI215" i="7"/>
  <c r="BL214" i="7"/>
  <c r="AO195" i="7"/>
  <c r="BR194" i="7"/>
  <c r="AE210" i="7"/>
  <c r="BH209" i="7"/>
  <c r="AR193" i="7"/>
  <c r="BU192" i="7"/>
  <c r="AQ192" i="7"/>
  <c r="BT191" i="7"/>
  <c r="J191" i="7" s="1"/>
  <c r="T195" i="7"/>
  <c r="AW194" i="7"/>
  <c r="BB194" i="7"/>
  <c r="Y195" i="7"/>
  <c r="W195" i="7"/>
  <c r="AZ194" i="7"/>
  <c r="AV194" i="7"/>
  <c r="S195" i="7"/>
  <c r="R195" i="7"/>
  <c r="AU194" i="7"/>
  <c r="Z195" i="7"/>
  <c r="BC194" i="7"/>
  <c r="AA195" i="7"/>
  <c r="BD194" i="7"/>
  <c r="BA194" i="7"/>
  <c r="X195" i="7"/>
  <c r="V195" i="7"/>
  <c r="AY194" i="7"/>
  <c r="AX194" i="7"/>
  <c r="U195" i="7"/>
  <c r="AS194" i="7"/>
  <c r="P195" i="7"/>
  <c r="AT194" i="7"/>
  <c r="Q195" i="7"/>
  <c r="AP215" i="7"/>
  <c r="BS215" i="7" s="1"/>
  <c r="AR370" i="7" l="1"/>
  <c r="BU369" i="7"/>
  <c r="J369" i="7" s="1"/>
  <c r="AH392" i="7"/>
  <c r="BK391" i="7"/>
  <c r="BE371" i="7"/>
  <c r="AB372" i="7"/>
  <c r="AV372" i="7"/>
  <c r="S373" i="7"/>
  <c r="BM371" i="7"/>
  <c r="AJ372" i="7"/>
  <c r="BC391" i="7"/>
  <c r="Z392" i="7"/>
  <c r="AW371" i="7"/>
  <c r="T372" i="7"/>
  <c r="AD394" i="7"/>
  <c r="BG393" i="7"/>
  <c r="AK373" i="7"/>
  <c r="BN372" i="7"/>
  <c r="W372" i="7"/>
  <c r="AZ371" i="7"/>
  <c r="U373" i="7"/>
  <c r="AX372" i="7"/>
  <c r="AL392" i="7"/>
  <c r="BO391" i="7"/>
  <c r="Y373" i="7"/>
  <c r="BB372" i="7"/>
  <c r="AC373" i="7"/>
  <c r="BF372" i="7"/>
  <c r="BS391" i="7"/>
  <c r="AP392" i="7"/>
  <c r="BA371" i="7"/>
  <c r="X372" i="7"/>
  <c r="BQ371" i="7"/>
  <c r="AN372" i="7"/>
  <c r="AS371" i="7"/>
  <c r="P372" i="7"/>
  <c r="BL371" i="7"/>
  <c r="AI372" i="7"/>
  <c r="BI371" i="7"/>
  <c r="AF372" i="7"/>
  <c r="R393" i="7"/>
  <c r="AU392" i="7"/>
  <c r="BH371" i="7"/>
  <c r="AE372" i="7"/>
  <c r="AG373" i="7"/>
  <c r="BJ372" i="7"/>
  <c r="V392" i="7"/>
  <c r="AY391" i="7"/>
  <c r="AA373" i="7"/>
  <c r="BD372" i="7"/>
  <c r="AM372" i="7"/>
  <c r="BP371" i="7"/>
  <c r="AQ373" i="7"/>
  <c r="BT372" i="7"/>
  <c r="Q373" i="7"/>
  <c r="AT372" i="7"/>
  <c r="AO373" i="7"/>
  <c r="BR372" i="7"/>
  <c r="AI216" i="7"/>
  <c r="BL215" i="7"/>
  <c r="AO196" i="7"/>
  <c r="BR195" i="7"/>
  <c r="AQ193" i="7"/>
  <c r="BT192" i="7"/>
  <c r="J192" i="7" s="1"/>
  <c r="AR194" i="7"/>
  <c r="BU193" i="7"/>
  <c r="AE211" i="7"/>
  <c r="BH210" i="7"/>
  <c r="BD195" i="7"/>
  <c r="AA196" i="7"/>
  <c r="Z196" i="7"/>
  <c r="BC195" i="7"/>
  <c r="Y196" i="7"/>
  <c r="BB195" i="7"/>
  <c r="W196" i="7"/>
  <c r="AZ195" i="7"/>
  <c r="AU195" i="7"/>
  <c r="R196" i="7"/>
  <c r="BA195" i="7"/>
  <c r="X196" i="7"/>
  <c r="AV195" i="7"/>
  <c r="S196" i="7"/>
  <c r="T196" i="7"/>
  <c r="AW195" i="7"/>
  <c r="AY195" i="7"/>
  <c r="V196" i="7"/>
  <c r="AX195" i="7"/>
  <c r="U196" i="7"/>
  <c r="P196" i="7"/>
  <c r="AS195" i="7"/>
  <c r="Q196" i="7"/>
  <c r="AT195" i="7"/>
  <c r="AP216" i="7"/>
  <c r="BS216" i="7" s="1"/>
  <c r="BU370" i="7" l="1"/>
  <c r="J370" i="7" s="1"/>
  <c r="AR371" i="7"/>
  <c r="BH372" i="7"/>
  <c r="AE373" i="7"/>
  <c r="AS372" i="7"/>
  <c r="P373" i="7"/>
  <c r="BA372" i="7"/>
  <c r="X373" i="7"/>
  <c r="BC392" i="7"/>
  <c r="Z393" i="7"/>
  <c r="BE372" i="7"/>
  <c r="AB373" i="7"/>
  <c r="V393" i="7"/>
  <c r="AY392" i="7"/>
  <c r="AC374" i="7"/>
  <c r="BF373" i="7"/>
  <c r="AL393" i="7"/>
  <c r="BO392" i="7"/>
  <c r="W373" i="7"/>
  <c r="AZ372" i="7"/>
  <c r="AD395" i="7"/>
  <c r="BG394" i="7"/>
  <c r="AO374" i="7"/>
  <c r="BR373" i="7"/>
  <c r="AQ374" i="7"/>
  <c r="BT373" i="7"/>
  <c r="AA374" i="7"/>
  <c r="BD373" i="7"/>
  <c r="BL372" i="7"/>
  <c r="AI373" i="7"/>
  <c r="BQ372" i="7"/>
  <c r="AN373" i="7"/>
  <c r="BS392" i="7"/>
  <c r="AP393" i="7"/>
  <c r="AW372" i="7"/>
  <c r="T373" i="7"/>
  <c r="BM372" i="7"/>
  <c r="AJ373" i="7"/>
  <c r="AV373" i="7"/>
  <c r="S374" i="7"/>
  <c r="Q374" i="7"/>
  <c r="AT373" i="7"/>
  <c r="AM373" i="7"/>
  <c r="BP372" i="7"/>
  <c r="BI372" i="7"/>
  <c r="AF373" i="7"/>
  <c r="AG374" i="7"/>
  <c r="BJ373" i="7"/>
  <c r="R394" i="7"/>
  <c r="AU393" i="7"/>
  <c r="Y374" i="7"/>
  <c r="BB373" i="7"/>
  <c r="U374" i="7"/>
  <c r="AX373" i="7"/>
  <c r="AK374" i="7"/>
  <c r="BN373" i="7"/>
  <c r="AH393" i="7"/>
  <c r="BK392" i="7"/>
  <c r="BL216" i="7"/>
  <c r="AI217" i="7"/>
  <c r="AO197" i="7"/>
  <c r="BR196" i="7"/>
  <c r="AE212" i="7"/>
  <c r="BH211" i="7"/>
  <c r="AR195" i="7"/>
  <c r="BU194" i="7"/>
  <c r="AQ194" i="7"/>
  <c r="BT193" i="7"/>
  <c r="J193" i="7" s="1"/>
  <c r="T197" i="7"/>
  <c r="AW196" i="7"/>
  <c r="AZ196" i="7"/>
  <c r="W197" i="7"/>
  <c r="AV196" i="7"/>
  <c r="S197" i="7"/>
  <c r="Z197" i="7"/>
  <c r="BC196" i="7"/>
  <c r="X197" i="7"/>
  <c r="BA196" i="7"/>
  <c r="R197" i="7"/>
  <c r="AU196" i="7"/>
  <c r="BD196" i="7"/>
  <c r="AA197" i="7"/>
  <c r="BB196" i="7"/>
  <c r="Y197" i="7"/>
  <c r="AY196" i="7"/>
  <c r="V197" i="7"/>
  <c r="AX196" i="7"/>
  <c r="U197" i="7"/>
  <c r="AS196" i="7"/>
  <c r="P197" i="7"/>
  <c r="Q197" i="7"/>
  <c r="AT196" i="7"/>
  <c r="AP217" i="7"/>
  <c r="BS217" i="7" s="1"/>
  <c r="BU371" i="7" l="1"/>
  <c r="J371" i="7" s="1"/>
  <c r="AR372" i="7"/>
  <c r="AK375" i="7"/>
  <c r="BN374" i="7"/>
  <c r="AG375" i="7"/>
  <c r="BJ374" i="7"/>
  <c r="AM374" i="7"/>
  <c r="BP373" i="7"/>
  <c r="AA375" i="7"/>
  <c r="BD374" i="7"/>
  <c r="AO375" i="7"/>
  <c r="BR374" i="7"/>
  <c r="W374" i="7"/>
  <c r="AZ373" i="7"/>
  <c r="AC375" i="7"/>
  <c r="BF374" i="7"/>
  <c r="Z394" i="7"/>
  <c r="BC393" i="7"/>
  <c r="AS373" i="7"/>
  <c r="P374" i="7"/>
  <c r="BI373" i="7"/>
  <c r="AF374" i="7"/>
  <c r="BM373" i="7"/>
  <c r="AJ374" i="7"/>
  <c r="AP394" i="7"/>
  <c r="BS393" i="7"/>
  <c r="BL373" i="7"/>
  <c r="AI374" i="7"/>
  <c r="AH394" i="7"/>
  <c r="BK393" i="7"/>
  <c r="U375" i="7"/>
  <c r="AX374" i="7"/>
  <c r="R395" i="7"/>
  <c r="AU394" i="7"/>
  <c r="Q375" i="7"/>
  <c r="AT374" i="7"/>
  <c r="AQ375" i="7"/>
  <c r="BT374" i="7"/>
  <c r="AD396" i="7"/>
  <c r="BG395" i="7"/>
  <c r="AL394" i="7"/>
  <c r="BO393" i="7"/>
  <c r="BA373" i="7"/>
  <c r="X374" i="7"/>
  <c r="BH373" i="7"/>
  <c r="AE374" i="7"/>
  <c r="Y375" i="7"/>
  <c r="BB374" i="7"/>
  <c r="BE373" i="7"/>
  <c r="AB374" i="7"/>
  <c r="S375" i="7"/>
  <c r="AV374" i="7"/>
  <c r="AW373" i="7"/>
  <c r="T374" i="7"/>
  <c r="BQ373" i="7"/>
  <c r="AN374" i="7"/>
  <c r="AY393" i="7"/>
  <c r="V394" i="7"/>
  <c r="BL217" i="7"/>
  <c r="AI218" i="7"/>
  <c r="AO198" i="7"/>
  <c r="BR197" i="7"/>
  <c r="AQ195" i="7"/>
  <c r="BT194" i="7"/>
  <c r="J194" i="7" s="1"/>
  <c r="AR196" i="7"/>
  <c r="BU195" i="7"/>
  <c r="AE213" i="7"/>
  <c r="BH212" i="7"/>
  <c r="BC197" i="7"/>
  <c r="Z198" i="7"/>
  <c r="AA198" i="7"/>
  <c r="BD197" i="7"/>
  <c r="S198" i="7"/>
  <c r="AV197" i="7"/>
  <c r="AU197" i="7"/>
  <c r="R198" i="7"/>
  <c r="AZ197" i="7"/>
  <c r="W198" i="7"/>
  <c r="X198" i="7"/>
  <c r="BA197" i="7"/>
  <c r="Y198" i="7"/>
  <c r="BB197" i="7"/>
  <c r="T198" i="7"/>
  <c r="AW197" i="7"/>
  <c r="V198" i="7"/>
  <c r="AY197" i="7"/>
  <c r="U198" i="7"/>
  <c r="AX197" i="7"/>
  <c r="AS197" i="7"/>
  <c r="P198" i="7"/>
  <c r="AT197" i="7"/>
  <c r="Q198" i="7"/>
  <c r="AP218" i="7"/>
  <c r="BS218" i="7" s="1"/>
  <c r="BU372" i="7" l="1"/>
  <c r="J372" i="7" s="1"/>
  <c r="AR373" i="7"/>
  <c r="BT375" i="7"/>
  <c r="AQ376" i="7"/>
  <c r="R396" i="7"/>
  <c r="AU395" i="7"/>
  <c r="BI374" i="7"/>
  <c r="AF375" i="7"/>
  <c r="V395" i="7"/>
  <c r="AY394" i="7"/>
  <c r="AW374" i="7"/>
  <c r="T375" i="7"/>
  <c r="BE374" i="7"/>
  <c r="AB375" i="7"/>
  <c r="BH374" i="7"/>
  <c r="AE375" i="7"/>
  <c r="AP395" i="7"/>
  <c r="BS394" i="7"/>
  <c r="Z395" i="7"/>
  <c r="BC394" i="7"/>
  <c r="AZ374" i="7"/>
  <c r="W375" i="7"/>
  <c r="BD375" i="7"/>
  <c r="AA376" i="7"/>
  <c r="BJ375" i="7"/>
  <c r="AG376" i="7"/>
  <c r="AD397" i="7"/>
  <c r="BG396" i="7"/>
  <c r="AT375" i="7"/>
  <c r="Q376" i="7"/>
  <c r="AX375" i="7"/>
  <c r="U376" i="7"/>
  <c r="AI375" i="7"/>
  <c r="BL374" i="7"/>
  <c r="BM374" i="7"/>
  <c r="AJ375" i="7"/>
  <c r="AS374" i="7"/>
  <c r="P375" i="7"/>
  <c r="AV375" i="7"/>
  <c r="S376" i="7"/>
  <c r="BB375" i="7"/>
  <c r="Y376" i="7"/>
  <c r="AL395" i="7"/>
  <c r="BO394" i="7"/>
  <c r="AH395" i="7"/>
  <c r="BK394" i="7"/>
  <c r="BQ374" i="7"/>
  <c r="AN375" i="7"/>
  <c r="BA374" i="7"/>
  <c r="X375" i="7"/>
  <c r="BF375" i="7"/>
  <c r="AC376" i="7"/>
  <c r="BR375" i="7"/>
  <c r="AO376" i="7"/>
  <c r="BP374" i="7"/>
  <c r="AM375" i="7"/>
  <c r="BN375" i="7"/>
  <c r="AK376" i="7"/>
  <c r="BL218" i="7"/>
  <c r="AI219" i="7"/>
  <c r="AO199" i="7"/>
  <c r="BR198" i="7"/>
  <c r="AE214" i="7"/>
  <c r="BH213" i="7"/>
  <c r="AR197" i="7"/>
  <c r="BU196" i="7"/>
  <c r="AQ196" i="7"/>
  <c r="BT195" i="7"/>
  <c r="J195" i="7" s="1"/>
  <c r="AU198" i="7"/>
  <c r="R199" i="7"/>
  <c r="AW198" i="7"/>
  <c r="T199" i="7"/>
  <c r="S199" i="7"/>
  <c r="AV198" i="7"/>
  <c r="BB198" i="7"/>
  <c r="Y199" i="7"/>
  <c r="X199" i="7"/>
  <c r="BA198" i="7"/>
  <c r="AA199" i="7"/>
  <c r="BD198" i="7"/>
  <c r="W199" i="7"/>
  <c r="AZ198" i="7"/>
  <c r="BC198" i="7"/>
  <c r="Z199" i="7"/>
  <c r="V199" i="7"/>
  <c r="AY198" i="7"/>
  <c r="AX198" i="7"/>
  <c r="U199" i="7"/>
  <c r="P199" i="7"/>
  <c r="AS198" i="7"/>
  <c r="Q199" i="7"/>
  <c r="AT198" i="7"/>
  <c r="AP219" i="7"/>
  <c r="BS219" i="7" s="1"/>
  <c r="BU373" i="7" l="1"/>
  <c r="J373" i="7" s="1"/>
  <c r="AR374" i="7"/>
  <c r="BF376" i="7"/>
  <c r="AC377" i="7"/>
  <c r="BL375" i="7"/>
  <c r="AI376" i="7"/>
  <c r="BM375" i="7"/>
  <c r="AJ376" i="7"/>
  <c r="AX376" i="7"/>
  <c r="U377" i="7"/>
  <c r="AL396" i="7"/>
  <c r="BO395" i="7"/>
  <c r="AD398" i="7"/>
  <c r="BG397" i="7"/>
  <c r="Z396" i="7"/>
  <c r="BC395" i="7"/>
  <c r="V396" i="7"/>
  <c r="AY395" i="7"/>
  <c r="R397" i="7"/>
  <c r="AU396" i="7"/>
  <c r="AM376" i="7"/>
  <c r="BP375" i="7"/>
  <c r="AH396" i="7"/>
  <c r="BK395" i="7"/>
  <c r="AP396" i="7"/>
  <c r="BS395" i="7"/>
  <c r="BQ375" i="7"/>
  <c r="AN376" i="7"/>
  <c r="AV376" i="7"/>
  <c r="S377" i="7"/>
  <c r="BD376" i="7"/>
  <c r="AA377" i="7"/>
  <c r="BE375" i="7"/>
  <c r="AB376" i="7"/>
  <c r="BN376" i="7"/>
  <c r="AK377" i="7"/>
  <c r="BR376" i="7"/>
  <c r="AO377" i="7"/>
  <c r="BA375" i="7"/>
  <c r="X376" i="7"/>
  <c r="BB376" i="7"/>
  <c r="Y377" i="7"/>
  <c r="AS375" i="7"/>
  <c r="P376" i="7"/>
  <c r="AT376" i="7"/>
  <c r="Q377" i="7"/>
  <c r="BJ376" i="7"/>
  <c r="AG377" i="7"/>
  <c r="W376" i="7"/>
  <c r="AZ375" i="7"/>
  <c r="AE376" i="7"/>
  <c r="BH375" i="7"/>
  <c r="AW375" i="7"/>
  <c r="T376" i="7"/>
  <c r="BI375" i="7"/>
  <c r="AF376" i="7"/>
  <c r="BT376" i="7"/>
  <c r="AQ377" i="7"/>
  <c r="AI220" i="7"/>
  <c r="BL219" i="7"/>
  <c r="AO200" i="7"/>
  <c r="BR199" i="7"/>
  <c r="AR198" i="7"/>
  <c r="BU197" i="7"/>
  <c r="AQ197" i="7"/>
  <c r="BT196" i="7"/>
  <c r="J196" i="7" s="1"/>
  <c r="AE215" i="7"/>
  <c r="BH214" i="7"/>
  <c r="BD199" i="7"/>
  <c r="AA200" i="7"/>
  <c r="AW199" i="7"/>
  <c r="T200" i="7"/>
  <c r="X200" i="7"/>
  <c r="BA199" i="7"/>
  <c r="R200" i="7"/>
  <c r="AU199" i="7"/>
  <c r="AZ199" i="7"/>
  <c r="W200" i="7"/>
  <c r="AV199" i="7"/>
  <c r="S200" i="7"/>
  <c r="Z200" i="7"/>
  <c r="BC199" i="7"/>
  <c r="Y200" i="7"/>
  <c r="BB199" i="7"/>
  <c r="AY199" i="7"/>
  <c r="V200" i="7"/>
  <c r="U200" i="7"/>
  <c r="AX199" i="7"/>
  <c r="P200" i="7"/>
  <c r="AS199" i="7"/>
  <c r="Q200" i="7"/>
  <c r="AT199" i="7"/>
  <c r="AP220" i="7"/>
  <c r="BS220" i="7" s="1"/>
  <c r="BU374" i="7" l="1"/>
  <c r="J374" i="7" s="1"/>
  <c r="AR375" i="7"/>
  <c r="AE377" i="7"/>
  <c r="BH376" i="7"/>
  <c r="AP397" i="7"/>
  <c r="BS396" i="7"/>
  <c r="AM377" i="7"/>
  <c r="BP376" i="7"/>
  <c r="V397" i="7"/>
  <c r="AY396" i="7"/>
  <c r="AD399" i="7"/>
  <c r="BG398" i="7"/>
  <c r="AW376" i="7"/>
  <c r="T377" i="7"/>
  <c r="AT377" i="7"/>
  <c r="Q378" i="7"/>
  <c r="BB377" i="7"/>
  <c r="Y378" i="7"/>
  <c r="BR377" i="7"/>
  <c r="AO378" i="7"/>
  <c r="BE376" i="7"/>
  <c r="AB377" i="7"/>
  <c r="AA378" i="7"/>
  <c r="BD377" i="7"/>
  <c r="BQ376" i="7"/>
  <c r="AN377" i="7"/>
  <c r="BM376" i="7"/>
  <c r="AJ377" i="7"/>
  <c r="W377" i="7"/>
  <c r="AZ376" i="7"/>
  <c r="AH397" i="7"/>
  <c r="BK396" i="7"/>
  <c r="R398" i="7"/>
  <c r="AU397" i="7"/>
  <c r="Z397" i="7"/>
  <c r="BC396" i="7"/>
  <c r="AL397" i="7"/>
  <c r="BO396" i="7"/>
  <c r="BF377" i="7"/>
  <c r="AC378" i="7"/>
  <c r="AQ378" i="7"/>
  <c r="BT377" i="7"/>
  <c r="BI376" i="7"/>
  <c r="AF377" i="7"/>
  <c r="BJ377" i="7"/>
  <c r="AG378" i="7"/>
  <c r="AS376" i="7"/>
  <c r="P377" i="7"/>
  <c r="BA376" i="7"/>
  <c r="X377" i="7"/>
  <c r="BN377" i="7"/>
  <c r="AK378" i="7"/>
  <c r="S378" i="7"/>
  <c r="AV377" i="7"/>
  <c r="AX377" i="7"/>
  <c r="U378" i="7"/>
  <c r="BL376" i="7"/>
  <c r="AI377" i="7"/>
  <c r="AI221" i="7"/>
  <c r="BL220" i="7"/>
  <c r="AO201" i="7"/>
  <c r="BR200" i="7"/>
  <c r="AE216" i="7"/>
  <c r="BH215" i="7"/>
  <c r="AQ198" i="7"/>
  <c r="BT197" i="7"/>
  <c r="J197" i="7" s="1"/>
  <c r="AR199" i="7"/>
  <c r="BU198" i="7"/>
  <c r="BB200" i="7"/>
  <c r="Y201" i="7"/>
  <c r="AU200" i="7"/>
  <c r="R201" i="7"/>
  <c r="BA200" i="7"/>
  <c r="X201" i="7"/>
  <c r="BC200" i="7"/>
  <c r="Z201" i="7"/>
  <c r="AV200" i="7"/>
  <c r="S201" i="7"/>
  <c r="AW200" i="7"/>
  <c r="T201" i="7"/>
  <c r="W201" i="7"/>
  <c r="AZ200" i="7"/>
  <c r="BD200" i="7"/>
  <c r="AA201" i="7"/>
  <c r="V201" i="7"/>
  <c r="AY200" i="7"/>
  <c r="U201" i="7"/>
  <c r="AX200" i="7"/>
  <c r="P201" i="7"/>
  <c r="AS200" i="7"/>
  <c r="AT200" i="7"/>
  <c r="Q201" i="7"/>
  <c r="AP221" i="7"/>
  <c r="BS221" i="7" s="1"/>
  <c r="BU375" i="7" l="1"/>
  <c r="J375" i="7" s="1"/>
  <c r="AR376" i="7"/>
  <c r="BA377" i="7"/>
  <c r="X378" i="7"/>
  <c r="BJ378" i="7"/>
  <c r="AG379" i="7"/>
  <c r="BE377" i="7"/>
  <c r="AB378" i="7"/>
  <c r="BB378" i="7"/>
  <c r="Y379" i="7"/>
  <c r="AW377" i="7"/>
  <c r="T378" i="7"/>
  <c r="AQ379" i="7"/>
  <c r="BT378" i="7"/>
  <c r="V398" i="7"/>
  <c r="AY397" i="7"/>
  <c r="BN378" i="7"/>
  <c r="AK379" i="7"/>
  <c r="AS377" i="7"/>
  <c r="P378" i="7"/>
  <c r="BI377" i="7"/>
  <c r="AF378" i="7"/>
  <c r="BF378" i="7"/>
  <c r="AC379" i="7"/>
  <c r="BM377" i="7"/>
  <c r="AJ378" i="7"/>
  <c r="BR378" i="7"/>
  <c r="AO379" i="7"/>
  <c r="AT378" i="7"/>
  <c r="Q379" i="7"/>
  <c r="AX378" i="7"/>
  <c r="U379" i="7"/>
  <c r="BQ377" i="7"/>
  <c r="AN378" i="7"/>
  <c r="BH377" i="7"/>
  <c r="AE378" i="7"/>
  <c r="AL398" i="7"/>
  <c r="BO397" i="7"/>
  <c r="R399" i="7"/>
  <c r="AU398" i="7"/>
  <c r="AZ377" i="7"/>
  <c r="W378" i="7"/>
  <c r="AP398" i="7"/>
  <c r="BS397" i="7"/>
  <c r="AI378" i="7"/>
  <c r="BL377" i="7"/>
  <c r="S379" i="7"/>
  <c r="AV378" i="7"/>
  <c r="Z398" i="7"/>
  <c r="BC397" i="7"/>
  <c r="AH398" i="7"/>
  <c r="BK397" i="7"/>
  <c r="AA379" i="7"/>
  <c r="BD378" i="7"/>
  <c r="AD400" i="7"/>
  <c r="BG399" i="7"/>
  <c r="BP377" i="7"/>
  <c r="AM378" i="7"/>
  <c r="AI222" i="7"/>
  <c r="BL221" i="7"/>
  <c r="AO202" i="7"/>
  <c r="BR201" i="7"/>
  <c r="AR200" i="7"/>
  <c r="BU199" i="7"/>
  <c r="AQ199" i="7"/>
  <c r="BT198" i="7"/>
  <c r="J198" i="7" s="1"/>
  <c r="AE217" i="7"/>
  <c r="BH216" i="7"/>
  <c r="X202" i="7"/>
  <c r="BA201" i="7"/>
  <c r="W202" i="7"/>
  <c r="AZ201" i="7"/>
  <c r="BB201" i="7"/>
  <c r="Y202" i="7"/>
  <c r="AW201" i="7"/>
  <c r="T202" i="7"/>
  <c r="AU201" i="7"/>
  <c r="R202" i="7"/>
  <c r="AV201" i="7"/>
  <c r="S202" i="7"/>
  <c r="BD201" i="7"/>
  <c r="AA202" i="7"/>
  <c r="BC201" i="7"/>
  <c r="Z202" i="7"/>
  <c r="V202" i="7"/>
  <c r="AY201" i="7"/>
  <c r="AX201" i="7"/>
  <c r="U202" i="7"/>
  <c r="AS201" i="7"/>
  <c r="P202" i="7"/>
  <c r="Q202" i="7"/>
  <c r="AT201" i="7"/>
  <c r="AP222" i="7"/>
  <c r="BS222" i="7" s="1"/>
  <c r="BU376" i="7" l="1"/>
  <c r="J376" i="7" s="1"/>
  <c r="AR377" i="7"/>
  <c r="BG400" i="7"/>
  <c r="AD401" i="7"/>
  <c r="AH399" i="7"/>
  <c r="BK398" i="7"/>
  <c r="BH378" i="7"/>
  <c r="AE379" i="7"/>
  <c r="AX379" i="7"/>
  <c r="U380" i="7"/>
  <c r="BR379" i="7"/>
  <c r="AO380" i="7"/>
  <c r="BF379" i="7"/>
  <c r="AC380" i="7"/>
  <c r="AS378" i="7"/>
  <c r="P379" i="7"/>
  <c r="AW378" i="7"/>
  <c r="T379" i="7"/>
  <c r="BE378" i="7"/>
  <c r="AB379" i="7"/>
  <c r="BA378" i="7"/>
  <c r="X379" i="7"/>
  <c r="BP378" i="7"/>
  <c r="AM379" i="7"/>
  <c r="S380" i="7"/>
  <c r="AV379" i="7"/>
  <c r="AP399" i="7"/>
  <c r="BS398" i="7"/>
  <c r="R400" i="7"/>
  <c r="AU399" i="7"/>
  <c r="V399" i="7"/>
  <c r="AY398" i="7"/>
  <c r="AA380" i="7"/>
  <c r="BD379" i="7"/>
  <c r="Z399" i="7"/>
  <c r="BC398" i="7"/>
  <c r="AZ378" i="7"/>
  <c r="W379" i="7"/>
  <c r="BQ378" i="7"/>
  <c r="AN379" i="7"/>
  <c r="AT379" i="7"/>
  <c r="Q380" i="7"/>
  <c r="BM378" i="7"/>
  <c r="AJ379" i="7"/>
  <c r="BI378" i="7"/>
  <c r="AF379" i="7"/>
  <c r="BN379" i="7"/>
  <c r="AK380" i="7"/>
  <c r="BB379" i="7"/>
  <c r="Y380" i="7"/>
  <c r="BJ379" i="7"/>
  <c r="AG380" i="7"/>
  <c r="AI379" i="7"/>
  <c r="BL378" i="7"/>
  <c r="AL399" i="7"/>
  <c r="BO398" i="7"/>
  <c r="AQ380" i="7"/>
  <c r="BT379" i="7"/>
  <c r="AI223" i="7"/>
  <c r="BL222" i="7"/>
  <c r="AO203" i="7"/>
  <c r="BR202" i="7"/>
  <c r="AQ200" i="7"/>
  <c r="BT199" i="7"/>
  <c r="J199" i="7" s="1"/>
  <c r="AE218" i="7"/>
  <c r="BH217" i="7"/>
  <c r="AR201" i="7"/>
  <c r="BU200" i="7"/>
  <c r="AA203" i="7"/>
  <c r="BD202" i="7"/>
  <c r="Y203" i="7"/>
  <c r="BB202" i="7"/>
  <c r="AZ202" i="7"/>
  <c r="W203" i="7"/>
  <c r="S203" i="7"/>
  <c r="AV202" i="7"/>
  <c r="R203" i="7"/>
  <c r="AU202" i="7"/>
  <c r="BA202" i="7"/>
  <c r="X203" i="7"/>
  <c r="Z203" i="7"/>
  <c r="BC202" i="7"/>
  <c r="T203" i="7"/>
  <c r="AW202" i="7"/>
  <c r="AY202" i="7"/>
  <c r="V203" i="7"/>
  <c r="AX202" i="7"/>
  <c r="U203" i="7"/>
  <c r="AS202" i="7"/>
  <c r="P203" i="7"/>
  <c r="AT202" i="7"/>
  <c r="Q203" i="7"/>
  <c r="AP223" i="7"/>
  <c r="BS223" i="7" s="1"/>
  <c r="BU377" i="7" l="1"/>
  <c r="J377" i="7" s="1"/>
  <c r="AR378" i="7"/>
  <c r="AA381" i="7"/>
  <c r="BD380" i="7"/>
  <c r="BA379" i="7"/>
  <c r="X380" i="7"/>
  <c r="AW379" i="7"/>
  <c r="T380" i="7"/>
  <c r="BF380" i="7"/>
  <c r="AC381" i="7"/>
  <c r="U381" i="7"/>
  <c r="AX380" i="7"/>
  <c r="BJ380" i="7"/>
  <c r="AG381" i="7"/>
  <c r="BN380" i="7"/>
  <c r="AK381" i="7"/>
  <c r="BM379" i="7"/>
  <c r="AJ380" i="7"/>
  <c r="BQ379" i="7"/>
  <c r="AN380" i="7"/>
  <c r="AU400" i="7"/>
  <c r="R401" i="7"/>
  <c r="S381" i="7"/>
  <c r="AV380" i="7"/>
  <c r="AH400" i="7"/>
  <c r="BK399" i="7"/>
  <c r="BB380" i="7"/>
  <c r="Y381" i="7"/>
  <c r="BI379" i="7"/>
  <c r="AF380" i="7"/>
  <c r="AT380" i="7"/>
  <c r="Q381" i="7"/>
  <c r="W380" i="7"/>
  <c r="AZ379" i="7"/>
  <c r="AP400" i="7"/>
  <c r="BS399" i="7"/>
  <c r="AL400" i="7"/>
  <c r="BO399" i="7"/>
  <c r="AQ381" i="7"/>
  <c r="BT380" i="7"/>
  <c r="AI380" i="7"/>
  <c r="BL379" i="7"/>
  <c r="Z400" i="7"/>
  <c r="BC399" i="7"/>
  <c r="V400" i="7"/>
  <c r="AY399" i="7"/>
  <c r="AM380" i="7"/>
  <c r="BP379" i="7"/>
  <c r="BE379" i="7"/>
  <c r="AB380" i="7"/>
  <c r="AS379" i="7"/>
  <c r="P380" i="7"/>
  <c r="BR380" i="7"/>
  <c r="AO381" i="7"/>
  <c r="AE380" i="7"/>
  <c r="BH379" i="7"/>
  <c r="BG401" i="7"/>
  <c r="AD402" i="7"/>
  <c r="BG402" i="7" s="1"/>
  <c r="AI224" i="7"/>
  <c r="BL223" i="7"/>
  <c r="AO204" i="7"/>
  <c r="BR203" i="7"/>
  <c r="AR202" i="7"/>
  <c r="BU201" i="7"/>
  <c r="AE219" i="7"/>
  <c r="BH218" i="7"/>
  <c r="AQ201" i="7"/>
  <c r="BT200" i="7"/>
  <c r="J200" i="7" s="1"/>
  <c r="AW203" i="7"/>
  <c r="T204" i="7"/>
  <c r="S204" i="7"/>
  <c r="AV203" i="7"/>
  <c r="AZ203" i="7"/>
  <c r="W204" i="7"/>
  <c r="X204" i="7"/>
  <c r="BA203" i="7"/>
  <c r="Z204" i="7"/>
  <c r="BC203" i="7"/>
  <c r="Y204" i="7"/>
  <c r="BB203" i="7"/>
  <c r="R204" i="7"/>
  <c r="AU203" i="7"/>
  <c r="BD203" i="7"/>
  <c r="AA204" i="7"/>
  <c r="AY203" i="7"/>
  <c r="V204" i="7"/>
  <c r="U204" i="7"/>
  <c r="AX203" i="7"/>
  <c r="AS203" i="7"/>
  <c r="P204" i="7"/>
  <c r="Q204" i="7"/>
  <c r="AT203" i="7"/>
  <c r="AP224" i="7"/>
  <c r="BS224" i="7" s="1"/>
  <c r="BU378" i="7" l="1"/>
  <c r="J378" i="7" s="1"/>
  <c r="AR379" i="7"/>
  <c r="W381" i="7"/>
  <c r="AZ380" i="7"/>
  <c r="AA382" i="7"/>
  <c r="BD381" i="7"/>
  <c r="AE381" i="7"/>
  <c r="BH380" i="7"/>
  <c r="AT381" i="7"/>
  <c r="Q382" i="7"/>
  <c r="BB381" i="7"/>
  <c r="Y382" i="7"/>
  <c r="AU401" i="7"/>
  <c r="R402" i="7"/>
  <c r="AU402" i="7" s="1"/>
  <c r="BF381" i="7"/>
  <c r="AC382" i="7"/>
  <c r="BR381" i="7"/>
  <c r="AO382" i="7"/>
  <c r="AB381" i="7"/>
  <c r="BE380" i="7"/>
  <c r="BS400" i="7"/>
  <c r="AP401" i="7"/>
  <c r="BK400" i="7"/>
  <c r="AH401" i="7"/>
  <c r="AS380" i="7"/>
  <c r="P381" i="7"/>
  <c r="S382" i="7"/>
  <c r="AV381" i="7"/>
  <c r="AX381" i="7"/>
  <c r="U382" i="7"/>
  <c r="AM381" i="7"/>
  <c r="BP380" i="7"/>
  <c r="BC400" i="7"/>
  <c r="Z401" i="7"/>
  <c r="AQ382" i="7"/>
  <c r="BT381" i="7"/>
  <c r="AJ381" i="7"/>
  <c r="BM380" i="7"/>
  <c r="BJ381" i="7"/>
  <c r="AG382" i="7"/>
  <c r="BA380" i="7"/>
  <c r="X381" i="7"/>
  <c r="AY400" i="7"/>
  <c r="V401" i="7"/>
  <c r="AI381" i="7"/>
  <c r="BL380" i="7"/>
  <c r="BO400" i="7"/>
  <c r="AL401" i="7"/>
  <c r="BI380" i="7"/>
  <c r="AF381" i="7"/>
  <c r="AN381" i="7"/>
  <c r="BQ380" i="7"/>
  <c r="BN381" i="7"/>
  <c r="AK382" i="7"/>
  <c r="T381" i="7"/>
  <c r="AW380" i="7"/>
  <c r="AI225" i="7"/>
  <c r="BL224" i="7"/>
  <c r="AO205" i="7"/>
  <c r="BR204" i="7"/>
  <c r="AE220" i="7"/>
  <c r="BH219" i="7"/>
  <c r="AQ202" i="7"/>
  <c r="BT201" i="7"/>
  <c r="J201" i="7" s="1"/>
  <c r="AR203" i="7"/>
  <c r="BU202" i="7"/>
  <c r="BA204" i="7"/>
  <c r="X205" i="7"/>
  <c r="W205" i="7"/>
  <c r="AZ204" i="7"/>
  <c r="S205" i="7"/>
  <c r="AV204" i="7"/>
  <c r="Y205" i="7"/>
  <c r="BB204" i="7"/>
  <c r="BC204" i="7"/>
  <c r="Z205" i="7"/>
  <c r="AW204" i="7"/>
  <c r="T205" i="7"/>
  <c r="R205" i="7"/>
  <c r="AU204" i="7"/>
  <c r="BD204" i="7"/>
  <c r="AA205" i="7"/>
  <c r="V205" i="7"/>
  <c r="AY204" i="7"/>
  <c r="AX204" i="7"/>
  <c r="U205" i="7"/>
  <c r="AS204" i="7"/>
  <c r="P205" i="7"/>
  <c r="AT204" i="7"/>
  <c r="Q205" i="7"/>
  <c r="AP225" i="7"/>
  <c r="BS225" i="7" s="1"/>
  <c r="AR380" i="7" l="1"/>
  <c r="BU379" i="7"/>
  <c r="J379" i="7" s="1"/>
  <c r="AF382" i="7"/>
  <c r="BI381" i="7"/>
  <c r="X382" i="7"/>
  <c r="BA381" i="7"/>
  <c r="BC401" i="7"/>
  <c r="Z402" i="7"/>
  <c r="BC402" i="7" s="1"/>
  <c r="AB382" i="7"/>
  <c r="BE381" i="7"/>
  <c r="W382" i="7"/>
  <c r="AZ381" i="7"/>
  <c r="T382" i="7"/>
  <c r="AW381" i="7"/>
  <c r="AN382" i="7"/>
  <c r="BQ381" i="7"/>
  <c r="AI382" i="7"/>
  <c r="BL381" i="7"/>
  <c r="BN382" i="7"/>
  <c r="AK383" i="7"/>
  <c r="BO401" i="7"/>
  <c r="AL402" i="7"/>
  <c r="BO402" i="7" s="1"/>
  <c r="AY401" i="7"/>
  <c r="V402" i="7"/>
  <c r="AY402" i="7" s="1"/>
  <c r="BJ382" i="7"/>
  <c r="AG383" i="7"/>
  <c r="AA383" i="7"/>
  <c r="BD382" i="7"/>
  <c r="S383" i="7"/>
  <c r="AV382" i="7"/>
  <c r="AE382" i="7"/>
  <c r="BH381" i="7"/>
  <c r="AJ382" i="7"/>
  <c r="BM381" i="7"/>
  <c r="AX382" i="7"/>
  <c r="U383" i="7"/>
  <c r="P382" i="7"/>
  <c r="AS381" i="7"/>
  <c r="BS401" i="7"/>
  <c r="AP402" i="7"/>
  <c r="BS402" i="7" s="1"/>
  <c r="BR382" i="7"/>
  <c r="AO383" i="7"/>
  <c r="AT382" i="7"/>
  <c r="Q383" i="7"/>
  <c r="AQ383" i="7"/>
  <c r="BT382" i="7"/>
  <c r="AM382" i="7"/>
  <c r="BP381" i="7"/>
  <c r="BK401" i="7"/>
  <c r="AH402" i="7"/>
  <c r="BK402" i="7" s="1"/>
  <c r="BF382" i="7"/>
  <c r="AC383" i="7"/>
  <c r="BB382" i="7"/>
  <c r="Y383" i="7"/>
  <c r="BL225" i="7"/>
  <c r="AI226" i="7"/>
  <c r="AO206" i="7"/>
  <c r="BR205" i="7"/>
  <c r="AQ203" i="7"/>
  <c r="BT202" i="7"/>
  <c r="J202" i="7" s="1"/>
  <c r="AE221" i="7"/>
  <c r="BH220" i="7"/>
  <c r="AR204" i="7"/>
  <c r="BU203" i="7"/>
  <c r="Y206" i="7"/>
  <c r="BB205" i="7"/>
  <c r="R206" i="7"/>
  <c r="AU205" i="7"/>
  <c r="AW205" i="7"/>
  <c r="T206" i="7"/>
  <c r="BC205" i="7"/>
  <c r="Z206" i="7"/>
  <c r="BA205" i="7"/>
  <c r="X206" i="7"/>
  <c r="S206" i="7"/>
  <c r="AV205" i="7"/>
  <c r="AZ205" i="7"/>
  <c r="W206" i="7"/>
  <c r="AA206" i="7"/>
  <c r="BD205" i="7"/>
  <c r="AY205" i="7"/>
  <c r="V206" i="7"/>
  <c r="AX205" i="7"/>
  <c r="U206" i="7"/>
  <c r="P206" i="7"/>
  <c r="AS205" i="7"/>
  <c r="Q206" i="7"/>
  <c r="AT205" i="7"/>
  <c r="AP226" i="7"/>
  <c r="BS226" i="7" s="1"/>
  <c r="BU380" i="7" l="1"/>
  <c r="J380" i="7" s="1"/>
  <c r="AR381" i="7"/>
  <c r="AM383" i="7"/>
  <c r="BP382" i="7"/>
  <c r="BB383" i="7"/>
  <c r="Y384" i="7"/>
  <c r="AO384" i="7"/>
  <c r="BR383" i="7"/>
  <c r="AI383" i="7"/>
  <c r="BL382" i="7"/>
  <c r="AW382" i="7"/>
  <c r="T383" i="7"/>
  <c r="AB383" i="7"/>
  <c r="BE382" i="7"/>
  <c r="X383" i="7"/>
  <c r="BA382" i="7"/>
  <c r="AQ384" i="7"/>
  <c r="BT383" i="7"/>
  <c r="P383" i="7"/>
  <c r="AS382" i="7"/>
  <c r="BM382" i="7"/>
  <c r="AJ383" i="7"/>
  <c r="S384" i="7"/>
  <c r="AV383" i="7"/>
  <c r="BJ383" i="7"/>
  <c r="AG384" i="7"/>
  <c r="AK384" i="7"/>
  <c r="BN383" i="7"/>
  <c r="AE383" i="7"/>
  <c r="BH382" i="7"/>
  <c r="AA384" i="7"/>
  <c r="BD383" i="7"/>
  <c r="BF383" i="7"/>
  <c r="AC384" i="7"/>
  <c r="AT383" i="7"/>
  <c r="Q384" i="7"/>
  <c r="AX383" i="7"/>
  <c r="U384" i="7"/>
  <c r="AN383" i="7"/>
  <c r="BQ382" i="7"/>
  <c r="W383" i="7"/>
  <c r="AZ382" i="7"/>
  <c r="AF383" i="7"/>
  <c r="BI382" i="7"/>
  <c r="BL226" i="7"/>
  <c r="AI227" i="7"/>
  <c r="AO207" i="7"/>
  <c r="BR206" i="7"/>
  <c r="AR205" i="7"/>
  <c r="BU204" i="7"/>
  <c r="AE222" i="7"/>
  <c r="BH221" i="7"/>
  <c r="AQ204" i="7"/>
  <c r="BT203" i="7"/>
  <c r="J203" i="7" s="1"/>
  <c r="AA207" i="7"/>
  <c r="BD206" i="7"/>
  <c r="W207" i="7"/>
  <c r="AZ206" i="7"/>
  <c r="AW206" i="7"/>
  <c r="T207" i="7"/>
  <c r="AV206" i="7"/>
  <c r="S207" i="7"/>
  <c r="BA206" i="7"/>
  <c r="X207" i="7"/>
  <c r="AU206" i="7"/>
  <c r="R207" i="7"/>
  <c r="BC206" i="7"/>
  <c r="Z207" i="7"/>
  <c r="BB206" i="7"/>
  <c r="Y207" i="7"/>
  <c r="AY206" i="7"/>
  <c r="V207" i="7"/>
  <c r="U207" i="7"/>
  <c r="AX206" i="7"/>
  <c r="P207" i="7"/>
  <c r="AS206" i="7"/>
  <c r="AT206" i="7"/>
  <c r="Q207" i="7"/>
  <c r="AP227" i="7"/>
  <c r="BS227" i="7" s="1"/>
  <c r="AR382" i="7" l="1"/>
  <c r="BU381" i="7"/>
  <c r="J381" i="7" s="1"/>
  <c r="BI383" i="7"/>
  <c r="AF384" i="7"/>
  <c r="AN384" i="7"/>
  <c r="BQ383" i="7"/>
  <c r="BD384" i="7"/>
  <c r="AA385" i="7"/>
  <c r="S385" i="7"/>
  <c r="AV384" i="7"/>
  <c r="AC385" i="7"/>
  <c r="BF384" i="7"/>
  <c r="AG385" i="7"/>
  <c r="BJ384" i="7"/>
  <c r="AJ384" i="7"/>
  <c r="BM383" i="7"/>
  <c r="W384" i="7"/>
  <c r="AZ383" i="7"/>
  <c r="AE384" i="7"/>
  <c r="BH383" i="7"/>
  <c r="BT384" i="7"/>
  <c r="AQ385" i="7"/>
  <c r="AB384" i="7"/>
  <c r="BE383" i="7"/>
  <c r="AI384" i="7"/>
  <c r="BL383" i="7"/>
  <c r="AK385" i="7"/>
  <c r="BN384" i="7"/>
  <c r="AS383" i="7"/>
  <c r="P384" i="7"/>
  <c r="X384" i="7"/>
  <c r="BA383" i="7"/>
  <c r="Y385" i="7"/>
  <c r="BB384" i="7"/>
  <c r="U385" i="7"/>
  <c r="AX384" i="7"/>
  <c r="Q385" i="7"/>
  <c r="AT384" i="7"/>
  <c r="T384" i="7"/>
  <c r="AW383" i="7"/>
  <c r="AO385" i="7"/>
  <c r="BR384" i="7"/>
  <c r="AM384" i="7"/>
  <c r="BP383" i="7"/>
  <c r="BL227" i="7"/>
  <c r="AI228" i="7"/>
  <c r="AO208" i="7"/>
  <c r="BR207" i="7"/>
  <c r="AE223" i="7"/>
  <c r="BH222" i="7"/>
  <c r="AQ205" i="7"/>
  <c r="BT204" i="7"/>
  <c r="J204" i="7" s="1"/>
  <c r="AR206" i="7"/>
  <c r="BU205" i="7"/>
  <c r="Z208" i="7"/>
  <c r="BC207" i="7"/>
  <c r="T208" i="7"/>
  <c r="AW207" i="7"/>
  <c r="W208" i="7"/>
  <c r="AZ207" i="7"/>
  <c r="R208" i="7"/>
  <c r="AU207" i="7"/>
  <c r="X208" i="7"/>
  <c r="BA207" i="7"/>
  <c r="BB207" i="7"/>
  <c r="Y208" i="7"/>
  <c r="AV207" i="7"/>
  <c r="S208" i="7"/>
  <c r="AA208" i="7"/>
  <c r="BD207" i="7"/>
  <c r="AY207" i="7"/>
  <c r="V208" i="7"/>
  <c r="AX207" i="7"/>
  <c r="U208" i="7"/>
  <c r="P208" i="7"/>
  <c r="AS207" i="7"/>
  <c r="Q208" i="7"/>
  <c r="AT207" i="7"/>
  <c r="AP228" i="7"/>
  <c r="BS228" i="7" s="1"/>
  <c r="AR383" i="7" l="1"/>
  <c r="BU382" i="7"/>
  <c r="J382" i="7" s="1"/>
  <c r="AM385" i="7"/>
  <c r="BP384" i="7"/>
  <c r="AW384" i="7"/>
  <c r="T385" i="7"/>
  <c r="U386" i="7"/>
  <c r="AX385" i="7"/>
  <c r="BA384" i="7"/>
  <c r="X385" i="7"/>
  <c r="AK386" i="7"/>
  <c r="BN385" i="7"/>
  <c r="BE384" i="7"/>
  <c r="AB385" i="7"/>
  <c r="BH384" i="7"/>
  <c r="AE385" i="7"/>
  <c r="BM384" i="7"/>
  <c r="AJ385" i="7"/>
  <c r="AC386" i="7"/>
  <c r="BF385" i="7"/>
  <c r="S386" i="7"/>
  <c r="AV385" i="7"/>
  <c r="BQ384" i="7"/>
  <c r="AN385" i="7"/>
  <c r="AO386" i="7"/>
  <c r="BR385" i="7"/>
  <c r="AS384" i="7"/>
  <c r="P385" i="7"/>
  <c r="BT385" i="7"/>
  <c r="AQ386" i="7"/>
  <c r="BD385" i="7"/>
  <c r="AA386" i="7"/>
  <c r="BI384" i="7"/>
  <c r="AF385" i="7"/>
  <c r="Q386" i="7"/>
  <c r="AT385" i="7"/>
  <c r="Y386" i="7"/>
  <c r="BB385" i="7"/>
  <c r="AI385" i="7"/>
  <c r="BL384" i="7"/>
  <c r="W385" i="7"/>
  <c r="AZ384" i="7"/>
  <c r="AG386" i="7"/>
  <c r="BJ385" i="7"/>
  <c r="BL228" i="7"/>
  <c r="AI229" i="7"/>
  <c r="AO209" i="7"/>
  <c r="BR208" i="7"/>
  <c r="AQ206" i="7"/>
  <c r="BT205" i="7"/>
  <c r="J205" i="7" s="1"/>
  <c r="AR207" i="7"/>
  <c r="BU206" i="7"/>
  <c r="AE224" i="7"/>
  <c r="BH223" i="7"/>
  <c r="AA209" i="7"/>
  <c r="BD208" i="7"/>
  <c r="R209" i="7"/>
  <c r="AU208" i="7"/>
  <c r="W209" i="7"/>
  <c r="AZ208" i="7"/>
  <c r="BB208" i="7"/>
  <c r="Y209" i="7"/>
  <c r="S209" i="7"/>
  <c r="AV208" i="7"/>
  <c r="T209" i="7"/>
  <c r="AW208" i="7"/>
  <c r="BA208" i="7"/>
  <c r="X209" i="7"/>
  <c r="BC208" i="7"/>
  <c r="Z209" i="7"/>
  <c r="AY208" i="7"/>
  <c r="V209" i="7"/>
  <c r="U209" i="7"/>
  <c r="AX208" i="7"/>
  <c r="AS208" i="7"/>
  <c r="P209" i="7"/>
  <c r="AT208" i="7"/>
  <c r="Q209" i="7"/>
  <c r="AP229" i="7"/>
  <c r="BS229" i="7" s="1"/>
  <c r="AR384" i="7" l="1"/>
  <c r="BU383" i="7"/>
  <c r="J383" i="7" s="1"/>
  <c r="W386" i="7"/>
  <c r="AZ385" i="7"/>
  <c r="BI385" i="7"/>
  <c r="AF386" i="7"/>
  <c r="BT386" i="7"/>
  <c r="AQ387" i="7"/>
  <c r="BM385" i="7"/>
  <c r="AJ386" i="7"/>
  <c r="BE385" i="7"/>
  <c r="AB386" i="7"/>
  <c r="BA385" i="7"/>
  <c r="X386" i="7"/>
  <c r="AW385" i="7"/>
  <c r="T386" i="7"/>
  <c r="Y387" i="7"/>
  <c r="BB386" i="7"/>
  <c r="AO387" i="7"/>
  <c r="BR386" i="7"/>
  <c r="S387" i="7"/>
  <c r="AV386" i="7"/>
  <c r="AG387" i="7"/>
  <c r="BJ386" i="7"/>
  <c r="AI386" i="7"/>
  <c r="BL385" i="7"/>
  <c r="BD386" i="7"/>
  <c r="AA387" i="7"/>
  <c r="AS385" i="7"/>
  <c r="P386" i="7"/>
  <c r="BQ385" i="7"/>
  <c r="AN386" i="7"/>
  <c r="BH385" i="7"/>
  <c r="AE386" i="7"/>
  <c r="Q387" i="7"/>
  <c r="AT386" i="7"/>
  <c r="AC387" i="7"/>
  <c r="BF386" i="7"/>
  <c r="AK387" i="7"/>
  <c r="BN386" i="7"/>
  <c r="U387" i="7"/>
  <c r="AX386" i="7"/>
  <c r="AM386" i="7"/>
  <c r="BP385" i="7"/>
  <c r="AI230" i="7"/>
  <c r="BL229" i="7"/>
  <c r="AO210" i="7"/>
  <c r="BR209" i="7"/>
  <c r="AE225" i="7"/>
  <c r="BH224" i="7"/>
  <c r="AR208" i="7"/>
  <c r="BU207" i="7"/>
  <c r="AQ207" i="7"/>
  <c r="BT206" i="7"/>
  <c r="J206" i="7" s="1"/>
  <c r="X210" i="7"/>
  <c r="BA209" i="7"/>
  <c r="Y210" i="7"/>
  <c r="BB209" i="7"/>
  <c r="W210" i="7"/>
  <c r="AZ209" i="7"/>
  <c r="AW209" i="7"/>
  <c r="T210" i="7"/>
  <c r="R210" i="7"/>
  <c r="AU209" i="7"/>
  <c r="S210" i="7"/>
  <c r="AV209" i="7"/>
  <c r="BC209" i="7"/>
  <c r="Z210" i="7"/>
  <c r="BD209" i="7"/>
  <c r="AA210" i="7"/>
  <c r="AY209" i="7"/>
  <c r="V210" i="7"/>
  <c r="AX209" i="7"/>
  <c r="U210" i="7"/>
  <c r="AS209" i="7"/>
  <c r="P210" i="7"/>
  <c r="AT209" i="7"/>
  <c r="Q210" i="7"/>
  <c r="AP230" i="7"/>
  <c r="BS230" i="7" s="1"/>
  <c r="AR385" i="7" l="1"/>
  <c r="BU384" i="7"/>
  <c r="J384" i="7" s="1"/>
  <c r="AI387" i="7"/>
  <c r="BL386" i="7"/>
  <c r="Y388" i="7"/>
  <c r="BB387" i="7"/>
  <c r="AM387" i="7"/>
  <c r="BP386" i="7"/>
  <c r="AK388" i="7"/>
  <c r="BN387" i="7"/>
  <c r="BT387" i="7"/>
  <c r="AQ388" i="7"/>
  <c r="Q388" i="7"/>
  <c r="AT387" i="7"/>
  <c r="AG388" i="7"/>
  <c r="BJ387" i="7"/>
  <c r="AO388" i="7"/>
  <c r="BR387" i="7"/>
  <c r="W387" i="7"/>
  <c r="AZ386" i="7"/>
  <c r="S388" i="7"/>
  <c r="AV387" i="7"/>
  <c r="BQ386" i="7"/>
  <c r="AN387" i="7"/>
  <c r="BD387" i="7"/>
  <c r="AA388" i="7"/>
  <c r="AW386" i="7"/>
  <c r="T387" i="7"/>
  <c r="BE386" i="7"/>
  <c r="AB387" i="7"/>
  <c r="U388" i="7"/>
  <c r="AX387" i="7"/>
  <c r="AC388" i="7"/>
  <c r="BF387" i="7"/>
  <c r="BH386" i="7"/>
  <c r="AE387" i="7"/>
  <c r="AS386" i="7"/>
  <c r="P387" i="7"/>
  <c r="BA386" i="7"/>
  <c r="X387" i="7"/>
  <c r="BM386" i="7"/>
  <c r="AJ387" i="7"/>
  <c r="BI386" i="7"/>
  <c r="AF387" i="7"/>
  <c r="AI231" i="7"/>
  <c r="BL230" i="7"/>
  <c r="AO211" i="7"/>
  <c r="BR210" i="7"/>
  <c r="AR209" i="7"/>
  <c r="BU208" i="7"/>
  <c r="AQ208" i="7"/>
  <c r="BT207" i="7"/>
  <c r="J207" i="7" s="1"/>
  <c r="AE226" i="7"/>
  <c r="BH225" i="7"/>
  <c r="AW210" i="7"/>
  <c r="T211" i="7"/>
  <c r="W211" i="7"/>
  <c r="AZ210" i="7"/>
  <c r="AV210" i="7"/>
  <c r="S211" i="7"/>
  <c r="Z211" i="7"/>
  <c r="BC210" i="7"/>
  <c r="Y211" i="7"/>
  <c r="BB210" i="7"/>
  <c r="AU210" i="7"/>
  <c r="R211" i="7"/>
  <c r="AA211" i="7"/>
  <c r="BD210" i="7"/>
  <c r="BA210" i="7"/>
  <c r="X211" i="7"/>
  <c r="AY210" i="7"/>
  <c r="V211" i="7"/>
  <c r="AX210" i="7"/>
  <c r="U211" i="7"/>
  <c r="AS210" i="7"/>
  <c r="P211" i="7"/>
  <c r="AT210" i="7"/>
  <c r="Q211" i="7"/>
  <c r="AP231" i="7"/>
  <c r="BS231" i="7" s="1"/>
  <c r="BU385" i="7" l="1"/>
  <c r="J385" i="7" s="1"/>
  <c r="AR386" i="7"/>
  <c r="BE387" i="7"/>
  <c r="AB388" i="7"/>
  <c r="BD388" i="7"/>
  <c r="AA389" i="7"/>
  <c r="W388" i="7"/>
  <c r="AZ387" i="7"/>
  <c r="AG389" i="7"/>
  <c r="BJ388" i="7"/>
  <c r="AM388" i="7"/>
  <c r="BP387" i="7"/>
  <c r="AI388" i="7"/>
  <c r="BL387" i="7"/>
  <c r="BI387" i="7"/>
  <c r="AF388" i="7"/>
  <c r="BA387" i="7"/>
  <c r="X388" i="7"/>
  <c r="BH387" i="7"/>
  <c r="AE388" i="7"/>
  <c r="AW387" i="7"/>
  <c r="T388" i="7"/>
  <c r="BQ387" i="7"/>
  <c r="AN388" i="7"/>
  <c r="AO389" i="7"/>
  <c r="BR388" i="7"/>
  <c r="Q389" i="7"/>
  <c r="AT388" i="7"/>
  <c r="AK389" i="7"/>
  <c r="BN388" i="7"/>
  <c r="Y389" i="7"/>
  <c r="BB388" i="7"/>
  <c r="BM387" i="7"/>
  <c r="AJ388" i="7"/>
  <c r="AS387" i="7"/>
  <c r="P388" i="7"/>
  <c r="AC389" i="7"/>
  <c r="BF388" i="7"/>
  <c r="S389" i="7"/>
  <c r="AV388" i="7"/>
  <c r="U389" i="7"/>
  <c r="AX388" i="7"/>
  <c r="BT388" i="7"/>
  <c r="AQ389" i="7"/>
  <c r="AI232" i="7"/>
  <c r="BL231" i="7"/>
  <c r="AO212" i="7"/>
  <c r="BR211" i="7"/>
  <c r="AE227" i="7"/>
  <c r="BH226" i="7"/>
  <c r="AQ209" i="7"/>
  <c r="BT208" i="7"/>
  <c r="J208" i="7" s="1"/>
  <c r="AR210" i="7"/>
  <c r="BU209" i="7"/>
  <c r="BD211" i="7"/>
  <c r="AA212" i="7"/>
  <c r="AU211" i="7"/>
  <c r="R212" i="7"/>
  <c r="AZ211" i="7"/>
  <c r="W212" i="7"/>
  <c r="BC211" i="7"/>
  <c r="Z212" i="7"/>
  <c r="AV211" i="7"/>
  <c r="S212" i="7"/>
  <c r="Y212" i="7"/>
  <c r="BB211" i="7"/>
  <c r="AW211" i="7"/>
  <c r="T212" i="7"/>
  <c r="X212" i="7"/>
  <c r="BA211" i="7"/>
  <c r="V212" i="7"/>
  <c r="AY211" i="7"/>
  <c r="AX211" i="7"/>
  <c r="U212" i="7"/>
  <c r="AS211" i="7"/>
  <c r="P212" i="7"/>
  <c r="AT211" i="7"/>
  <c r="Q212" i="7"/>
  <c r="AP232" i="7"/>
  <c r="BS232" i="7" s="1"/>
  <c r="BU386" i="7" l="1"/>
  <c r="J386" i="7" s="1"/>
  <c r="AR387" i="7"/>
  <c r="AQ390" i="7"/>
  <c r="BT389" i="7"/>
  <c r="AS388" i="7"/>
  <c r="P389" i="7"/>
  <c r="BQ388" i="7"/>
  <c r="AN389" i="7"/>
  <c r="BH388" i="7"/>
  <c r="AE389" i="7"/>
  <c r="BI388" i="7"/>
  <c r="AF389" i="7"/>
  <c r="BE388" i="7"/>
  <c r="AB389" i="7"/>
  <c r="S390" i="7"/>
  <c r="AV389" i="7"/>
  <c r="Y390" i="7"/>
  <c r="BB389" i="7"/>
  <c r="Q390" i="7"/>
  <c r="AT389" i="7"/>
  <c r="AM389" i="7"/>
  <c r="BP388" i="7"/>
  <c r="W389" i="7"/>
  <c r="AZ388" i="7"/>
  <c r="BM388" i="7"/>
  <c r="AJ389" i="7"/>
  <c r="AW388" i="7"/>
  <c r="T389" i="7"/>
  <c r="BA388" i="7"/>
  <c r="X389" i="7"/>
  <c r="BD389" i="7"/>
  <c r="AA390" i="7"/>
  <c r="U390" i="7"/>
  <c r="AX389" i="7"/>
  <c r="AC390" i="7"/>
  <c r="BF389" i="7"/>
  <c r="BN389" i="7"/>
  <c r="AK390" i="7"/>
  <c r="AO390" i="7"/>
  <c r="BR389" i="7"/>
  <c r="AI389" i="7"/>
  <c r="BL388" i="7"/>
  <c r="AG390" i="7"/>
  <c r="BJ389" i="7"/>
  <c r="AI233" i="7"/>
  <c r="BL232" i="7"/>
  <c r="AO213" i="7"/>
  <c r="BR212" i="7"/>
  <c r="AQ210" i="7"/>
  <c r="BT209" i="7"/>
  <c r="J209" i="7" s="1"/>
  <c r="AR211" i="7"/>
  <c r="BU210" i="7"/>
  <c r="AE228" i="7"/>
  <c r="BH227" i="7"/>
  <c r="BA212" i="7"/>
  <c r="X213" i="7"/>
  <c r="AW212" i="7"/>
  <c r="T213" i="7"/>
  <c r="W213" i="7"/>
  <c r="AZ212" i="7"/>
  <c r="AU212" i="7"/>
  <c r="R213" i="7"/>
  <c r="BB212" i="7"/>
  <c r="Y213" i="7"/>
  <c r="AV212" i="7"/>
  <c r="S213" i="7"/>
  <c r="BD212" i="7"/>
  <c r="AA213" i="7"/>
  <c r="BC212" i="7"/>
  <c r="Z213" i="7"/>
  <c r="V213" i="7"/>
  <c r="AY212" i="7"/>
  <c r="U213" i="7"/>
  <c r="AX212" i="7"/>
  <c r="P213" i="7"/>
  <c r="AS212" i="7"/>
  <c r="Q213" i="7"/>
  <c r="AT212" i="7"/>
  <c r="AP233" i="7"/>
  <c r="BS233" i="7" s="1"/>
  <c r="BU387" i="7" l="1"/>
  <c r="J387" i="7" s="1"/>
  <c r="AR388" i="7"/>
  <c r="BT390" i="7"/>
  <c r="AQ391" i="7"/>
  <c r="BJ390" i="7"/>
  <c r="AG391" i="7"/>
  <c r="BR390" i="7"/>
  <c r="AO391" i="7"/>
  <c r="AC391" i="7"/>
  <c r="BF390" i="7"/>
  <c r="BP389" i="7"/>
  <c r="AM390" i="7"/>
  <c r="BH389" i="7"/>
  <c r="AE390" i="7"/>
  <c r="AK391" i="7"/>
  <c r="BN390" i="7"/>
  <c r="BD390" i="7"/>
  <c r="AA391" i="7"/>
  <c r="BA389" i="7"/>
  <c r="X390" i="7"/>
  <c r="AJ390" i="7"/>
  <c r="BM389" i="7"/>
  <c r="AV390" i="7"/>
  <c r="S391" i="7"/>
  <c r="BB390" i="7"/>
  <c r="Y391" i="7"/>
  <c r="BE389" i="7"/>
  <c r="AB390" i="7"/>
  <c r="AS389" i="7"/>
  <c r="P390" i="7"/>
  <c r="AW389" i="7"/>
  <c r="T390" i="7"/>
  <c r="AI390" i="7"/>
  <c r="BL389" i="7"/>
  <c r="AX390" i="7"/>
  <c r="U391" i="7"/>
  <c r="W390" i="7"/>
  <c r="AZ389" i="7"/>
  <c r="AT390" i="7"/>
  <c r="Q391" i="7"/>
  <c r="BI389" i="7"/>
  <c r="AF390" i="7"/>
  <c r="AN390" i="7"/>
  <c r="BQ389" i="7"/>
  <c r="AI234" i="7"/>
  <c r="BL233" i="7"/>
  <c r="AO214" i="7"/>
  <c r="BR213" i="7"/>
  <c r="AE229" i="7"/>
  <c r="BH228" i="7"/>
  <c r="AR212" i="7"/>
  <c r="BU211" i="7"/>
  <c r="AQ211" i="7"/>
  <c r="BT210" i="7"/>
  <c r="J210" i="7" s="1"/>
  <c r="AZ213" i="7"/>
  <c r="W214" i="7"/>
  <c r="AV213" i="7"/>
  <c r="S214" i="7"/>
  <c r="T214" i="7"/>
  <c r="AW213" i="7"/>
  <c r="Z214" i="7"/>
  <c r="BC213" i="7"/>
  <c r="R214" i="7"/>
  <c r="AU213" i="7"/>
  <c r="BB213" i="7"/>
  <c r="Y214" i="7"/>
  <c r="BA213" i="7"/>
  <c r="X214" i="7"/>
  <c r="BD213" i="7"/>
  <c r="AA214" i="7"/>
  <c r="AY213" i="7"/>
  <c r="V214" i="7"/>
  <c r="U214" i="7"/>
  <c r="AX213" i="7"/>
  <c r="AS213" i="7"/>
  <c r="P214" i="7"/>
  <c r="AT213" i="7"/>
  <c r="Q214" i="7"/>
  <c r="AP234" i="7"/>
  <c r="BS234" i="7" s="1"/>
  <c r="BU388" i="7" l="1"/>
  <c r="J388" i="7" s="1"/>
  <c r="AR389" i="7"/>
  <c r="AX391" i="7"/>
  <c r="U392" i="7"/>
  <c r="T391" i="7"/>
  <c r="AW390" i="7"/>
  <c r="AN391" i="7"/>
  <c r="BQ390" i="7"/>
  <c r="BD391" i="7"/>
  <c r="AA392" i="7"/>
  <c r="BH390" i="7"/>
  <c r="AE391" i="7"/>
  <c r="AG392" i="7"/>
  <c r="BJ391" i="7"/>
  <c r="AF391" i="7"/>
  <c r="BI390" i="7"/>
  <c r="P391" i="7"/>
  <c r="AS390" i="7"/>
  <c r="Y392" i="7"/>
  <c r="BB391" i="7"/>
  <c r="AC392" i="7"/>
  <c r="BF391" i="7"/>
  <c r="AZ390" i="7"/>
  <c r="W391" i="7"/>
  <c r="BL390" i="7"/>
  <c r="AI391" i="7"/>
  <c r="AJ391" i="7"/>
  <c r="BM390" i="7"/>
  <c r="BP390" i="7"/>
  <c r="AM391" i="7"/>
  <c r="AO392" i="7"/>
  <c r="BR391" i="7"/>
  <c r="BT391" i="7"/>
  <c r="AQ392" i="7"/>
  <c r="AT391" i="7"/>
  <c r="Q392" i="7"/>
  <c r="AB391" i="7"/>
  <c r="BE390" i="7"/>
  <c r="AV391" i="7"/>
  <c r="S392" i="7"/>
  <c r="X391" i="7"/>
  <c r="BA390" i="7"/>
  <c r="BN391" i="7"/>
  <c r="AK392" i="7"/>
  <c r="AI235" i="7"/>
  <c r="BL234" i="7"/>
  <c r="AO215" i="7"/>
  <c r="BR214" i="7"/>
  <c r="AQ212" i="7"/>
  <c r="BT211" i="7"/>
  <c r="J211" i="7" s="1"/>
  <c r="AR213" i="7"/>
  <c r="BU212" i="7"/>
  <c r="AE230" i="7"/>
  <c r="BH229" i="7"/>
  <c r="BA214" i="7"/>
  <c r="X215" i="7"/>
  <c r="T215" i="7"/>
  <c r="AW214" i="7"/>
  <c r="S215" i="7"/>
  <c r="AV214" i="7"/>
  <c r="AU214" i="7"/>
  <c r="R215" i="7"/>
  <c r="AZ214" i="7"/>
  <c r="W215" i="7"/>
  <c r="BC214" i="7"/>
  <c r="Z215" i="7"/>
  <c r="Y215" i="7"/>
  <c r="BB214" i="7"/>
  <c r="BD214" i="7"/>
  <c r="AA215" i="7"/>
  <c r="V215" i="7"/>
  <c r="AY214" i="7"/>
  <c r="U215" i="7"/>
  <c r="AX214" i="7"/>
  <c r="P215" i="7"/>
  <c r="AS214" i="7"/>
  <c r="Q215" i="7"/>
  <c r="AT214" i="7"/>
  <c r="AP235" i="7"/>
  <c r="BS235" i="7" s="1"/>
  <c r="AR390" i="7" l="1"/>
  <c r="BU389" i="7"/>
  <c r="J389" i="7" s="1"/>
  <c r="AK393" i="7"/>
  <c r="BN392" i="7"/>
  <c r="AV392" i="7"/>
  <c r="S393" i="7"/>
  <c r="Q393" i="7"/>
  <c r="AT392" i="7"/>
  <c r="Y393" i="7"/>
  <c r="BB392" i="7"/>
  <c r="AF392" i="7"/>
  <c r="BI391" i="7"/>
  <c r="BT392" i="7"/>
  <c r="AQ393" i="7"/>
  <c r="BP391" i="7"/>
  <c r="AM392" i="7"/>
  <c r="AC393" i="7"/>
  <c r="BF392" i="7"/>
  <c r="P392" i="7"/>
  <c r="AS391" i="7"/>
  <c r="AG393" i="7"/>
  <c r="BJ392" i="7"/>
  <c r="T392" i="7"/>
  <c r="AW391" i="7"/>
  <c r="AN392" i="7"/>
  <c r="BQ391" i="7"/>
  <c r="AO393" i="7"/>
  <c r="BR392" i="7"/>
  <c r="BL391" i="7"/>
  <c r="AI392" i="7"/>
  <c r="BD392" i="7"/>
  <c r="AA393" i="7"/>
  <c r="X392" i="7"/>
  <c r="BA391" i="7"/>
  <c r="AB392" i="7"/>
  <c r="BE391" i="7"/>
  <c r="AJ392" i="7"/>
  <c r="BM391" i="7"/>
  <c r="AZ391" i="7"/>
  <c r="W392" i="7"/>
  <c r="BH391" i="7"/>
  <c r="AE392" i="7"/>
  <c r="U393" i="7"/>
  <c r="AX392" i="7"/>
  <c r="AI236" i="7"/>
  <c r="BL235" i="7"/>
  <c r="AO216" i="7"/>
  <c r="BR215" i="7"/>
  <c r="AR214" i="7"/>
  <c r="BU213" i="7"/>
  <c r="AE231" i="7"/>
  <c r="BH230" i="7"/>
  <c r="AQ213" i="7"/>
  <c r="BT212" i="7"/>
  <c r="J212" i="7" s="1"/>
  <c r="AV215" i="7"/>
  <c r="S216" i="7"/>
  <c r="BC215" i="7"/>
  <c r="Z216" i="7"/>
  <c r="R216" i="7"/>
  <c r="AU215" i="7"/>
  <c r="T216" i="7"/>
  <c r="AW215" i="7"/>
  <c r="W216" i="7"/>
  <c r="AZ215" i="7"/>
  <c r="BA215" i="7"/>
  <c r="X216" i="7"/>
  <c r="Y216" i="7"/>
  <c r="BB215" i="7"/>
  <c r="AA216" i="7"/>
  <c r="BD215" i="7"/>
  <c r="V216" i="7"/>
  <c r="AY215" i="7"/>
  <c r="AX215" i="7"/>
  <c r="U216" i="7"/>
  <c r="P216" i="7"/>
  <c r="AS215" i="7"/>
  <c r="Q216" i="7"/>
  <c r="AT215" i="7"/>
  <c r="AP236" i="7"/>
  <c r="BS236" i="7" s="1"/>
  <c r="AR391" i="7" l="1"/>
  <c r="BU390" i="7"/>
  <c r="J390" i="7" s="1"/>
  <c r="AB393" i="7"/>
  <c r="BE392" i="7"/>
  <c r="BP392" i="7"/>
  <c r="AM393" i="7"/>
  <c r="AV393" i="7"/>
  <c r="S394" i="7"/>
  <c r="BH392" i="7"/>
  <c r="AE393" i="7"/>
  <c r="AO394" i="7"/>
  <c r="BR393" i="7"/>
  <c r="T393" i="7"/>
  <c r="AW392" i="7"/>
  <c r="P393" i="7"/>
  <c r="AS392" i="7"/>
  <c r="Y394" i="7"/>
  <c r="BB393" i="7"/>
  <c r="AJ393" i="7"/>
  <c r="BM392" i="7"/>
  <c r="X393" i="7"/>
  <c r="BA392" i="7"/>
  <c r="BL392" i="7"/>
  <c r="AI393" i="7"/>
  <c r="BT393" i="7"/>
  <c r="AQ394" i="7"/>
  <c r="U394" i="7"/>
  <c r="AX393" i="7"/>
  <c r="AZ392" i="7"/>
  <c r="W393" i="7"/>
  <c r="BD393" i="7"/>
  <c r="AA394" i="7"/>
  <c r="AN393" i="7"/>
  <c r="BQ392" i="7"/>
  <c r="AG394" i="7"/>
  <c r="BJ393" i="7"/>
  <c r="AC394" i="7"/>
  <c r="BF393" i="7"/>
  <c r="AF393" i="7"/>
  <c r="BI392" i="7"/>
  <c r="Q394" i="7"/>
  <c r="AT393" i="7"/>
  <c r="AK394" i="7"/>
  <c r="BN393" i="7"/>
  <c r="AI237" i="7"/>
  <c r="BL236" i="7"/>
  <c r="AO217" i="7"/>
  <c r="BR216" i="7"/>
  <c r="AE232" i="7"/>
  <c r="BH231" i="7"/>
  <c r="AQ214" i="7"/>
  <c r="BT213" i="7"/>
  <c r="J213" i="7" s="1"/>
  <c r="AR215" i="7"/>
  <c r="BU214" i="7"/>
  <c r="BD216" i="7"/>
  <c r="AA217" i="7"/>
  <c r="AW216" i="7"/>
  <c r="T217" i="7"/>
  <c r="AU216" i="7"/>
  <c r="R217" i="7"/>
  <c r="BB216" i="7"/>
  <c r="Y217" i="7"/>
  <c r="Z217" i="7"/>
  <c r="BC216" i="7"/>
  <c r="AV216" i="7"/>
  <c r="S217" i="7"/>
  <c r="AZ216" i="7"/>
  <c r="W217" i="7"/>
  <c r="BA216" i="7"/>
  <c r="X217" i="7"/>
  <c r="V217" i="7"/>
  <c r="AY216" i="7"/>
  <c r="U217" i="7"/>
  <c r="AX216" i="7"/>
  <c r="P217" i="7"/>
  <c r="AS216" i="7"/>
  <c r="Q217" i="7"/>
  <c r="AT216" i="7"/>
  <c r="AP237" i="7"/>
  <c r="BS237" i="7" s="1"/>
  <c r="AR392" i="7" l="1"/>
  <c r="BU391" i="7"/>
  <c r="J391" i="7" s="1"/>
  <c r="BN394" i="7"/>
  <c r="AK395" i="7"/>
  <c r="U395" i="7"/>
  <c r="AX394" i="7"/>
  <c r="BM393" i="7"/>
  <c r="AJ394" i="7"/>
  <c r="AW393" i="7"/>
  <c r="T394" i="7"/>
  <c r="AZ393" i="7"/>
  <c r="W394" i="7"/>
  <c r="AQ395" i="7"/>
  <c r="BT394" i="7"/>
  <c r="AV394" i="7"/>
  <c r="S395" i="7"/>
  <c r="Q395" i="7"/>
  <c r="AT394" i="7"/>
  <c r="BF394" i="7"/>
  <c r="AC395" i="7"/>
  <c r="BQ393" i="7"/>
  <c r="AN394" i="7"/>
  <c r="BA393" i="7"/>
  <c r="X394" i="7"/>
  <c r="Y395" i="7"/>
  <c r="BB394" i="7"/>
  <c r="AS393" i="7"/>
  <c r="P394" i="7"/>
  <c r="BR394" i="7"/>
  <c r="AO395" i="7"/>
  <c r="BI393" i="7"/>
  <c r="AF394" i="7"/>
  <c r="BJ394" i="7"/>
  <c r="AG395" i="7"/>
  <c r="AA395" i="7"/>
  <c r="BD394" i="7"/>
  <c r="BL393" i="7"/>
  <c r="AI394" i="7"/>
  <c r="BH393" i="7"/>
  <c r="AE394" i="7"/>
  <c r="BP393" i="7"/>
  <c r="AM394" i="7"/>
  <c r="BE393" i="7"/>
  <c r="AB394" i="7"/>
  <c r="AI238" i="7"/>
  <c r="BL237" i="7"/>
  <c r="AO218" i="7"/>
  <c r="BR217" i="7"/>
  <c r="AQ215" i="7"/>
  <c r="BT214" i="7"/>
  <c r="J214" i="7" s="1"/>
  <c r="AR216" i="7"/>
  <c r="BU215" i="7"/>
  <c r="AE233" i="7"/>
  <c r="BH232" i="7"/>
  <c r="W218" i="7"/>
  <c r="AZ217" i="7"/>
  <c r="R218" i="7"/>
  <c r="AU217" i="7"/>
  <c r="T218" i="7"/>
  <c r="AW217" i="7"/>
  <c r="AV217" i="7"/>
  <c r="S218" i="7"/>
  <c r="BC217" i="7"/>
  <c r="Z218" i="7"/>
  <c r="BD217" i="7"/>
  <c r="AA218" i="7"/>
  <c r="X218" i="7"/>
  <c r="BA217" i="7"/>
  <c r="BB217" i="7"/>
  <c r="Y218" i="7"/>
  <c r="V218" i="7"/>
  <c r="AY217" i="7"/>
  <c r="U218" i="7"/>
  <c r="AX217" i="7"/>
  <c r="AS217" i="7"/>
  <c r="P218" i="7"/>
  <c r="AT217" i="7"/>
  <c r="Q218" i="7"/>
  <c r="AP238" i="7"/>
  <c r="BS238" i="7" s="1"/>
  <c r="AR393" i="7" l="1"/>
  <c r="BU392" i="7"/>
  <c r="J392" i="7" s="1"/>
  <c r="AA396" i="7"/>
  <c r="BD395" i="7"/>
  <c r="AZ394" i="7"/>
  <c r="W395" i="7"/>
  <c r="AM395" i="7"/>
  <c r="BP394" i="7"/>
  <c r="BL394" i="7"/>
  <c r="AI395" i="7"/>
  <c r="BJ395" i="7"/>
  <c r="AG396" i="7"/>
  <c r="BR395" i="7"/>
  <c r="AO396" i="7"/>
  <c r="BQ394" i="7"/>
  <c r="AN395" i="7"/>
  <c r="AX395" i="7"/>
  <c r="U396" i="7"/>
  <c r="BB395" i="7"/>
  <c r="Y396" i="7"/>
  <c r="AT395" i="7"/>
  <c r="Q396" i="7"/>
  <c r="AW394" i="7"/>
  <c r="T395" i="7"/>
  <c r="BM394" i="7"/>
  <c r="AJ395" i="7"/>
  <c r="BN395" i="7"/>
  <c r="AK396" i="7"/>
  <c r="BE394" i="7"/>
  <c r="AB395" i="7"/>
  <c r="AE395" i="7"/>
  <c r="BH394" i="7"/>
  <c r="AF395" i="7"/>
  <c r="BI394" i="7"/>
  <c r="P395" i="7"/>
  <c r="AS394" i="7"/>
  <c r="BA394" i="7"/>
  <c r="X395" i="7"/>
  <c r="BF395" i="7"/>
  <c r="AC396" i="7"/>
  <c r="AV395" i="7"/>
  <c r="S396" i="7"/>
  <c r="AQ396" i="7"/>
  <c r="BT395" i="7"/>
  <c r="AI239" i="7"/>
  <c r="BL238" i="7"/>
  <c r="AO219" i="7"/>
  <c r="BR218" i="7"/>
  <c r="AE234" i="7"/>
  <c r="BH233" i="7"/>
  <c r="AR217" i="7"/>
  <c r="BU216" i="7"/>
  <c r="AQ216" i="7"/>
  <c r="BT215" i="7"/>
  <c r="J215" i="7" s="1"/>
  <c r="X219" i="7"/>
  <c r="BA218" i="7"/>
  <c r="R219" i="7"/>
  <c r="AU218" i="7"/>
  <c r="AW218" i="7"/>
  <c r="T219" i="7"/>
  <c r="BD218" i="7"/>
  <c r="AA219" i="7"/>
  <c r="Z219" i="7"/>
  <c r="BC218" i="7"/>
  <c r="AZ218" i="7"/>
  <c r="W219" i="7"/>
  <c r="BB218" i="7"/>
  <c r="Y219" i="7"/>
  <c r="S219" i="7"/>
  <c r="AV218" i="7"/>
  <c r="V219" i="7"/>
  <c r="AY218" i="7"/>
  <c r="AX218" i="7"/>
  <c r="U219" i="7"/>
  <c r="AS218" i="7"/>
  <c r="P219" i="7"/>
  <c r="AT218" i="7"/>
  <c r="Q219" i="7"/>
  <c r="AP239" i="7"/>
  <c r="BS239" i="7" s="1"/>
  <c r="BU393" i="7" l="1"/>
  <c r="J393" i="7" s="1"/>
  <c r="AR394" i="7"/>
  <c r="AQ397" i="7"/>
  <c r="BT396" i="7"/>
  <c r="P396" i="7"/>
  <c r="AS395" i="7"/>
  <c r="AE396" i="7"/>
  <c r="BH395" i="7"/>
  <c r="AJ396" i="7"/>
  <c r="BM395" i="7"/>
  <c r="AT396" i="7"/>
  <c r="Q397" i="7"/>
  <c r="AX396" i="7"/>
  <c r="U397" i="7"/>
  <c r="BR396" i="7"/>
  <c r="AO397" i="7"/>
  <c r="AZ395" i="7"/>
  <c r="W396" i="7"/>
  <c r="S397" i="7"/>
  <c r="AV396" i="7"/>
  <c r="BA395" i="7"/>
  <c r="X396" i="7"/>
  <c r="BE395" i="7"/>
  <c r="AB396" i="7"/>
  <c r="BI395" i="7"/>
  <c r="AF396" i="7"/>
  <c r="AK397" i="7"/>
  <c r="BN396" i="7"/>
  <c r="T396" i="7"/>
  <c r="AW395" i="7"/>
  <c r="BB396" i="7"/>
  <c r="Y397" i="7"/>
  <c r="BQ395" i="7"/>
  <c r="AN396" i="7"/>
  <c r="BJ396" i="7"/>
  <c r="AG397" i="7"/>
  <c r="BL395" i="7"/>
  <c r="AI396" i="7"/>
  <c r="BF396" i="7"/>
  <c r="AC397" i="7"/>
  <c r="BP395" i="7"/>
  <c r="AM396" i="7"/>
  <c r="AA397" i="7"/>
  <c r="BD396" i="7"/>
  <c r="AI240" i="7"/>
  <c r="BL239" i="7"/>
  <c r="AO220" i="7"/>
  <c r="BR219" i="7"/>
  <c r="AR218" i="7"/>
  <c r="BU217" i="7"/>
  <c r="AQ217" i="7"/>
  <c r="BT216" i="7"/>
  <c r="J216" i="7" s="1"/>
  <c r="AE235" i="7"/>
  <c r="BH234" i="7"/>
  <c r="AV219" i="7"/>
  <c r="S220" i="7"/>
  <c r="BB219" i="7"/>
  <c r="Y220" i="7"/>
  <c r="AW219" i="7"/>
  <c r="T220" i="7"/>
  <c r="AZ219" i="7"/>
  <c r="W220" i="7"/>
  <c r="BC219" i="7"/>
  <c r="Z220" i="7"/>
  <c r="R220" i="7"/>
  <c r="AU219" i="7"/>
  <c r="BD219" i="7"/>
  <c r="AA220" i="7"/>
  <c r="BA219" i="7"/>
  <c r="X220" i="7"/>
  <c r="V220" i="7"/>
  <c r="AY219" i="7"/>
  <c r="AX219" i="7"/>
  <c r="U220" i="7"/>
  <c r="P220" i="7"/>
  <c r="AS219" i="7"/>
  <c r="AT219" i="7"/>
  <c r="Q220" i="7"/>
  <c r="AP240" i="7"/>
  <c r="BS240" i="7" s="1"/>
  <c r="BU394" i="7" l="1"/>
  <c r="J394" i="7" s="1"/>
  <c r="AR395" i="7"/>
  <c r="BN397" i="7"/>
  <c r="AK398" i="7"/>
  <c r="AE397" i="7"/>
  <c r="BH396" i="7"/>
  <c r="AN397" i="7"/>
  <c r="BQ396" i="7"/>
  <c r="AX397" i="7"/>
  <c r="U398" i="7"/>
  <c r="AW396" i="7"/>
  <c r="T397" i="7"/>
  <c r="AJ397" i="7"/>
  <c r="BM396" i="7"/>
  <c r="AS396" i="7"/>
  <c r="P397" i="7"/>
  <c r="AV397" i="7"/>
  <c r="S398" i="7"/>
  <c r="BT397" i="7"/>
  <c r="AQ398" i="7"/>
  <c r="AA398" i="7"/>
  <c r="BD397" i="7"/>
  <c r="AI397" i="7"/>
  <c r="BL396" i="7"/>
  <c r="AF397" i="7"/>
  <c r="BI396" i="7"/>
  <c r="X397" i="7"/>
  <c r="BA396" i="7"/>
  <c r="AZ396" i="7"/>
  <c r="W397" i="7"/>
  <c r="AM397" i="7"/>
  <c r="BP396" i="7"/>
  <c r="BF397" i="7"/>
  <c r="AC398" i="7"/>
  <c r="BJ397" i="7"/>
  <c r="AG398" i="7"/>
  <c r="BB397" i="7"/>
  <c r="Y398" i="7"/>
  <c r="BE396" i="7"/>
  <c r="AB397" i="7"/>
  <c r="BR397" i="7"/>
  <c r="AO398" i="7"/>
  <c r="AT397" i="7"/>
  <c r="Q398" i="7"/>
  <c r="BL240" i="7"/>
  <c r="AI241" i="7"/>
  <c r="AO221" i="7"/>
  <c r="BR220" i="7"/>
  <c r="AE236" i="7"/>
  <c r="BH235" i="7"/>
  <c r="AQ218" i="7"/>
  <c r="BT217" i="7"/>
  <c r="J217" i="7" s="1"/>
  <c r="AR219" i="7"/>
  <c r="BU218" i="7"/>
  <c r="X221" i="7"/>
  <c r="BA220" i="7"/>
  <c r="AZ220" i="7"/>
  <c r="W221" i="7"/>
  <c r="AA221" i="7"/>
  <c r="BD220" i="7"/>
  <c r="BB220" i="7"/>
  <c r="Y221" i="7"/>
  <c r="Z221" i="7"/>
  <c r="BC220" i="7"/>
  <c r="AV220" i="7"/>
  <c r="S221" i="7"/>
  <c r="T221" i="7"/>
  <c r="AW220" i="7"/>
  <c r="AU220" i="7"/>
  <c r="R221" i="7"/>
  <c r="AY220" i="7"/>
  <c r="V221" i="7"/>
  <c r="AX220" i="7"/>
  <c r="U221" i="7"/>
  <c r="P221" i="7"/>
  <c r="AS220" i="7"/>
  <c r="Q221" i="7"/>
  <c r="AT220" i="7"/>
  <c r="AP241" i="7"/>
  <c r="BS241" i="7" s="1"/>
  <c r="BU395" i="7" l="1"/>
  <c r="J395" i="7" s="1"/>
  <c r="AR396" i="7"/>
  <c r="AT398" i="7"/>
  <c r="Q399" i="7"/>
  <c r="BE397" i="7"/>
  <c r="AB398" i="7"/>
  <c r="BJ398" i="7"/>
  <c r="AG399" i="7"/>
  <c r="AF398" i="7"/>
  <c r="BI397" i="7"/>
  <c r="BD398" i="7"/>
  <c r="AA399" i="7"/>
  <c r="BQ397" i="7"/>
  <c r="AN398" i="7"/>
  <c r="AM398" i="7"/>
  <c r="BP397" i="7"/>
  <c r="AQ399" i="7"/>
  <c r="BT398" i="7"/>
  <c r="AX398" i="7"/>
  <c r="U399" i="7"/>
  <c r="BR398" i="7"/>
  <c r="AO399" i="7"/>
  <c r="BB398" i="7"/>
  <c r="Y399" i="7"/>
  <c r="BF398" i="7"/>
  <c r="AC399" i="7"/>
  <c r="BA397" i="7"/>
  <c r="X398" i="7"/>
  <c r="BL397" i="7"/>
  <c r="AI398" i="7"/>
  <c r="AJ398" i="7"/>
  <c r="BM397" i="7"/>
  <c r="AE398" i="7"/>
  <c r="BH397" i="7"/>
  <c r="AZ397" i="7"/>
  <c r="W398" i="7"/>
  <c r="AV398" i="7"/>
  <c r="S399" i="7"/>
  <c r="AS397" i="7"/>
  <c r="P398" i="7"/>
  <c r="T398" i="7"/>
  <c r="AW397" i="7"/>
  <c r="BN398" i="7"/>
  <c r="AK399" i="7"/>
  <c r="BL241" i="7"/>
  <c r="AI242" i="7"/>
  <c r="AO222" i="7"/>
  <c r="BR221" i="7"/>
  <c r="AQ219" i="7"/>
  <c r="BT218" i="7"/>
  <c r="J218" i="7" s="1"/>
  <c r="AR220" i="7"/>
  <c r="BU219" i="7"/>
  <c r="AE237" i="7"/>
  <c r="BH236" i="7"/>
  <c r="AA222" i="7"/>
  <c r="BD221" i="7"/>
  <c r="AV221" i="7"/>
  <c r="S222" i="7"/>
  <c r="AZ221" i="7"/>
  <c r="W222" i="7"/>
  <c r="Y222" i="7"/>
  <c r="BB221" i="7"/>
  <c r="AW221" i="7"/>
  <c r="T222" i="7"/>
  <c r="AU221" i="7"/>
  <c r="R222" i="7"/>
  <c r="Z222" i="7"/>
  <c r="BC221" i="7"/>
  <c r="BA221" i="7"/>
  <c r="X222" i="7"/>
  <c r="V222" i="7"/>
  <c r="AY221" i="7"/>
  <c r="AX221" i="7"/>
  <c r="U222" i="7"/>
  <c r="AS221" i="7"/>
  <c r="P222" i="7"/>
  <c r="AT221" i="7"/>
  <c r="Q222" i="7"/>
  <c r="AP242" i="7"/>
  <c r="BS242" i="7" s="1"/>
  <c r="AR397" i="7" l="1"/>
  <c r="BU396" i="7"/>
  <c r="J396" i="7" s="1"/>
  <c r="T399" i="7"/>
  <c r="AW398" i="7"/>
  <c r="AE399" i="7"/>
  <c r="BH398" i="7"/>
  <c r="AM399" i="7"/>
  <c r="BP398" i="7"/>
  <c r="AA400" i="7"/>
  <c r="BD399" i="7"/>
  <c r="BJ399" i="7"/>
  <c r="AG400" i="7"/>
  <c r="AT399" i="7"/>
  <c r="Q400" i="7"/>
  <c r="BN399" i="7"/>
  <c r="AK400" i="7"/>
  <c r="P399" i="7"/>
  <c r="AS398" i="7"/>
  <c r="W399" i="7"/>
  <c r="AZ398" i="7"/>
  <c r="X399" i="7"/>
  <c r="BA398" i="7"/>
  <c r="BB399" i="7"/>
  <c r="Y400" i="7"/>
  <c r="AX399" i="7"/>
  <c r="U400" i="7"/>
  <c r="AN399" i="7"/>
  <c r="BQ398" i="7"/>
  <c r="AJ399" i="7"/>
  <c r="BM398" i="7"/>
  <c r="AQ400" i="7"/>
  <c r="BT399" i="7"/>
  <c r="BE398" i="7"/>
  <c r="AB399" i="7"/>
  <c r="S400" i="7"/>
  <c r="AV399" i="7"/>
  <c r="AI399" i="7"/>
  <c r="BL398" i="7"/>
  <c r="BF399" i="7"/>
  <c r="AC400" i="7"/>
  <c r="BR399" i="7"/>
  <c r="AO400" i="7"/>
  <c r="AF399" i="7"/>
  <c r="BI398" i="7"/>
  <c r="BL242" i="7"/>
  <c r="AI243" i="7"/>
  <c r="AO223" i="7"/>
  <c r="BR222" i="7"/>
  <c r="AE238" i="7"/>
  <c r="BH237" i="7"/>
  <c r="AR221" i="7"/>
  <c r="BU220" i="7"/>
  <c r="AQ220" i="7"/>
  <c r="BT219" i="7"/>
  <c r="J219" i="7" s="1"/>
  <c r="Y223" i="7"/>
  <c r="BB222" i="7"/>
  <c r="W223" i="7"/>
  <c r="AZ222" i="7"/>
  <c r="AV222" i="7"/>
  <c r="S223" i="7"/>
  <c r="Z223" i="7"/>
  <c r="BC222" i="7"/>
  <c r="AU222" i="7"/>
  <c r="R223" i="7"/>
  <c r="AW222" i="7"/>
  <c r="T223" i="7"/>
  <c r="BA222" i="7"/>
  <c r="X223" i="7"/>
  <c r="AA223" i="7"/>
  <c r="BD222" i="7"/>
  <c r="AY222" i="7"/>
  <c r="V223" i="7"/>
  <c r="AX222" i="7"/>
  <c r="U223" i="7"/>
  <c r="AS222" i="7"/>
  <c r="P223" i="7"/>
  <c r="AT222" i="7"/>
  <c r="Q223" i="7"/>
  <c r="AP243" i="7"/>
  <c r="BS243" i="7" s="1"/>
  <c r="BU397" i="7" l="1"/>
  <c r="J397" i="7" s="1"/>
  <c r="AR398" i="7"/>
  <c r="S401" i="7"/>
  <c r="AV400" i="7"/>
  <c r="AQ401" i="7"/>
  <c r="BT400" i="7"/>
  <c r="BB400" i="7"/>
  <c r="Y401" i="7"/>
  <c r="BN400" i="7"/>
  <c r="AK401" i="7"/>
  <c r="BJ400" i="7"/>
  <c r="AG401" i="7"/>
  <c r="BR400" i="7"/>
  <c r="AO401" i="7"/>
  <c r="BE399" i="7"/>
  <c r="AB400" i="7"/>
  <c r="BQ399" i="7"/>
  <c r="AN400" i="7"/>
  <c r="W400" i="7"/>
  <c r="AZ399" i="7"/>
  <c r="AM400" i="7"/>
  <c r="BP399" i="7"/>
  <c r="AW399" i="7"/>
  <c r="T400" i="7"/>
  <c r="BI399" i="7"/>
  <c r="AF400" i="7"/>
  <c r="AI400" i="7"/>
  <c r="BL399" i="7"/>
  <c r="BM399" i="7"/>
  <c r="AJ400" i="7"/>
  <c r="AX400" i="7"/>
  <c r="U401" i="7"/>
  <c r="AT400" i="7"/>
  <c r="Q401" i="7"/>
  <c r="BF400" i="7"/>
  <c r="AC401" i="7"/>
  <c r="BA399" i="7"/>
  <c r="X400" i="7"/>
  <c r="AS399" i="7"/>
  <c r="P400" i="7"/>
  <c r="AA401" i="7"/>
  <c r="BD400" i="7"/>
  <c r="AE400" i="7"/>
  <c r="BH399" i="7"/>
  <c r="AI244" i="7"/>
  <c r="BL243" i="7"/>
  <c r="AO224" i="7"/>
  <c r="BR223" i="7"/>
  <c r="AQ221" i="7"/>
  <c r="BT220" i="7"/>
  <c r="J220" i="7" s="1"/>
  <c r="AR222" i="7"/>
  <c r="BU221" i="7"/>
  <c r="AE239" i="7"/>
  <c r="BH238" i="7"/>
  <c r="AV223" i="7"/>
  <c r="S224" i="7"/>
  <c r="AW223" i="7"/>
  <c r="T224" i="7"/>
  <c r="BA223" i="7"/>
  <c r="X224" i="7"/>
  <c r="AZ223" i="7"/>
  <c r="W224" i="7"/>
  <c r="BD223" i="7"/>
  <c r="AA224" i="7"/>
  <c r="R224" i="7"/>
  <c r="AU223" i="7"/>
  <c r="Z224" i="7"/>
  <c r="BC223" i="7"/>
  <c r="Y224" i="7"/>
  <c r="BB223" i="7"/>
  <c r="AY223" i="7"/>
  <c r="V224" i="7"/>
  <c r="AX223" i="7"/>
  <c r="U224" i="7"/>
  <c r="P224" i="7"/>
  <c r="AS223" i="7"/>
  <c r="AT223" i="7"/>
  <c r="Q224" i="7"/>
  <c r="AP244" i="7"/>
  <c r="BS244" i="7" s="1"/>
  <c r="BU398" i="7" l="1"/>
  <c r="J398" i="7" s="1"/>
  <c r="AR399" i="7"/>
  <c r="P401" i="7"/>
  <c r="AS400" i="7"/>
  <c r="BF401" i="7"/>
  <c r="AC402" i="7"/>
  <c r="BF402" i="7" s="1"/>
  <c r="AT401" i="7"/>
  <c r="Q402" i="7"/>
  <c r="AT402" i="7" s="1"/>
  <c r="AI401" i="7"/>
  <c r="BL400" i="7"/>
  <c r="W401" i="7"/>
  <c r="AZ400" i="7"/>
  <c r="S402" i="7"/>
  <c r="AV402" i="7" s="1"/>
  <c r="AV401" i="7"/>
  <c r="AE401" i="7"/>
  <c r="BH400" i="7"/>
  <c r="AJ401" i="7"/>
  <c r="BM400" i="7"/>
  <c r="AF401" i="7"/>
  <c r="BI400" i="7"/>
  <c r="AN401" i="7"/>
  <c r="BQ400" i="7"/>
  <c r="BR401" i="7"/>
  <c r="AO402" i="7"/>
  <c r="BR402" i="7" s="1"/>
  <c r="BN401" i="7"/>
  <c r="AK402" i="7"/>
  <c r="BN402" i="7" s="1"/>
  <c r="X401" i="7"/>
  <c r="BA400" i="7"/>
  <c r="AM401" i="7"/>
  <c r="BP400" i="7"/>
  <c r="AQ402" i="7"/>
  <c r="BT402" i="7" s="1"/>
  <c r="BT401" i="7"/>
  <c r="AA402" i="7"/>
  <c r="BD402" i="7" s="1"/>
  <c r="BD401" i="7"/>
  <c r="AX401" i="7"/>
  <c r="U402" i="7"/>
  <c r="AX402" i="7" s="1"/>
  <c r="AW400" i="7"/>
  <c r="T401" i="7"/>
  <c r="AB401" i="7"/>
  <c r="BE400" i="7"/>
  <c r="BJ401" i="7"/>
  <c r="AG402" i="7"/>
  <c r="BJ402" i="7" s="1"/>
  <c r="BB401" i="7"/>
  <c r="Y402" i="7"/>
  <c r="BB402" i="7" s="1"/>
  <c r="AI245" i="7"/>
  <c r="BL244" i="7"/>
  <c r="AO225" i="7"/>
  <c r="BR224" i="7"/>
  <c r="AE240" i="7"/>
  <c r="BH239" i="7"/>
  <c r="AR223" i="7"/>
  <c r="BU222" i="7"/>
  <c r="AQ222" i="7"/>
  <c r="BT221" i="7"/>
  <c r="J221" i="7" s="1"/>
  <c r="BB224" i="7"/>
  <c r="Y225" i="7"/>
  <c r="W225" i="7"/>
  <c r="AZ224" i="7"/>
  <c r="Z225" i="7"/>
  <c r="BC224" i="7"/>
  <c r="AA225" i="7"/>
  <c r="BD224" i="7"/>
  <c r="S225" i="7"/>
  <c r="AV224" i="7"/>
  <c r="X225" i="7"/>
  <c r="BA224" i="7"/>
  <c r="AU224" i="7"/>
  <c r="R225" i="7"/>
  <c r="T225" i="7"/>
  <c r="AW224" i="7"/>
  <c r="V225" i="7"/>
  <c r="AY224" i="7"/>
  <c r="AX224" i="7"/>
  <c r="U225" i="7"/>
  <c r="AS224" i="7"/>
  <c r="P225" i="7"/>
  <c r="Q225" i="7"/>
  <c r="AT224" i="7"/>
  <c r="AP245" i="7"/>
  <c r="BS245" i="7" s="1"/>
  <c r="BU399" i="7" l="1"/>
  <c r="J399" i="7" s="1"/>
  <c r="AR400" i="7"/>
  <c r="AE402" i="7"/>
  <c r="BH402" i="7" s="1"/>
  <c r="BH401" i="7"/>
  <c r="W402" i="7"/>
  <c r="AZ402" i="7" s="1"/>
  <c r="AZ401" i="7"/>
  <c r="P402" i="7"/>
  <c r="AS402" i="7" s="1"/>
  <c r="AS401" i="7"/>
  <c r="BE401" i="7"/>
  <c r="AB402" i="7"/>
  <c r="BE402" i="7" s="1"/>
  <c r="AN402" i="7"/>
  <c r="BQ402" i="7" s="1"/>
  <c r="BQ401" i="7"/>
  <c r="AJ402" i="7"/>
  <c r="BM402" i="7" s="1"/>
  <c r="BM401" i="7"/>
  <c r="T402" i="7"/>
  <c r="AW402" i="7" s="1"/>
  <c r="AW401" i="7"/>
  <c r="AI402" i="7"/>
  <c r="BL402" i="7" s="1"/>
  <c r="BL401" i="7"/>
  <c r="AM402" i="7"/>
  <c r="BP402" i="7" s="1"/>
  <c r="BP401" i="7"/>
  <c r="X402" i="7"/>
  <c r="BA402" i="7" s="1"/>
  <c r="BA401" i="7"/>
  <c r="AF402" i="7"/>
  <c r="BI402" i="7" s="1"/>
  <c r="BI401" i="7"/>
  <c r="AI246" i="7"/>
  <c r="BL245" i="7"/>
  <c r="AO226" i="7"/>
  <c r="BR225" i="7"/>
  <c r="AQ223" i="7"/>
  <c r="BT222" i="7"/>
  <c r="J222" i="7" s="1"/>
  <c r="AR224" i="7"/>
  <c r="BU223" i="7"/>
  <c r="AE241" i="7"/>
  <c r="BH240" i="7"/>
  <c r="BC225" i="7"/>
  <c r="Z226" i="7"/>
  <c r="T226" i="7"/>
  <c r="AW225" i="7"/>
  <c r="BD225" i="7"/>
  <c r="AA226" i="7"/>
  <c r="R226" i="7"/>
  <c r="AU225" i="7"/>
  <c r="BA225" i="7"/>
  <c r="X226" i="7"/>
  <c r="W226" i="7"/>
  <c r="AZ225" i="7"/>
  <c r="AV225" i="7"/>
  <c r="S226" i="7"/>
  <c r="BB225" i="7"/>
  <c r="Y226" i="7"/>
  <c r="AY225" i="7"/>
  <c r="V226" i="7"/>
  <c r="U226" i="7"/>
  <c r="AX225" i="7"/>
  <c r="AS225" i="7"/>
  <c r="P226" i="7"/>
  <c r="AT225" i="7"/>
  <c r="Q226" i="7"/>
  <c r="AP246" i="7"/>
  <c r="BS246" i="7" s="1"/>
  <c r="AR401" i="7" l="1"/>
  <c r="BU400" i="7"/>
  <c r="J400" i="7" s="1"/>
  <c r="AI247" i="7"/>
  <c r="BL246" i="7"/>
  <c r="AO227" i="7"/>
  <c r="BR226" i="7"/>
  <c r="AR225" i="7"/>
  <c r="BU224" i="7"/>
  <c r="AE242" i="7"/>
  <c r="BH241" i="7"/>
  <c r="AQ224" i="7"/>
  <c r="BT223" i="7"/>
  <c r="J223" i="7" s="1"/>
  <c r="AU226" i="7"/>
  <c r="R227" i="7"/>
  <c r="S227" i="7"/>
  <c r="AV226" i="7"/>
  <c r="W227" i="7"/>
  <c r="AZ226" i="7"/>
  <c r="AW226" i="7"/>
  <c r="T227" i="7"/>
  <c r="Y227" i="7"/>
  <c r="BB226" i="7"/>
  <c r="BD226" i="7"/>
  <c r="AA227" i="7"/>
  <c r="BA226" i="7"/>
  <c r="X227" i="7"/>
  <c r="Z227" i="7"/>
  <c r="BC226" i="7"/>
  <c r="V227" i="7"/>
  <c r="AY226" i="7"/>
  <c r="AX226" i="7"/>
  <c r="U227" i="7"/>
  <c r="P227" i="7"/>
  <c r="AS226" i="7"/>
  <c r="Q227" i="7"/>
  <c r="AT226" i="7"/>
  <c r="AP247" i="7"/>
  <c r="BS247" i="7" s="1"/>
  <c r="BU401" i="7" l="1"/>
  <c r="J401" i="7" s="1"/>
  <c r="AR402" i="7"/>
  <c r="BU402" i="7" s="1"/>
  <c r="J402" i="7" s="1"/>
  <c r="AI248" i="7"/>
  <c r="BL247" i="7"/>
  <c r="AO228" i="7"/>
  <c r="BR227" i="7"/>
  <c r="AQ225" i="7"/>
  <c r="BT224" i="7"/>
  <c r="J224" i="7" s="1"/>
  <c r="AE243" i="7"/>
  <c r="BH242" i="7"/>
  <c r="AR226" i="7"/>
  <c r="BU225" i="7"/>
  <c r="BC227" i="7"/>
  <c r="Z228" i="7"/>
  <c r="BA227" i="7"/>
  <c r="X228" i="7"/>
  <c r="AZ227" i="7"/>
  <c r="W228" i="7"/>
  <c r="BD227" i="7"/>
  <c r="AA228" i="7"/>
  <c r="AV227" i="7"/>
  <c r="S228" i="7"/>
  <c r="Y228" i="7"/>
  <c r="BB227" i="7"/>
  <c r="AU227" i="7"/>
  <c r="R228" i="7"/>
  <c r="AW227" i="7"/>
  <c r="T228" i="7"/>
  <c r="AY227" i="7"/>
  <c r="V228" i="7"/>
  <c r="AX227" i="7"/>
  <c r="U228" i="7"/>
  <c r="AS227" i="7"/>
  <c r="P228" i="7"/>
  <c r="Q228" i="7"/>
  <c r="AT227" i="7"/>
  <c r="AP248" i="7"/>
  <c r="BS248" i="7" s="1"/>
  <c r="BL248" i="7" l="1"/>
  <c r="AI249" i="7"/>
  <c r="AO229" i="7"/>
  <c r="BR228" i="7"/>
  <c r="AR227" i="7"/>
  <c r="BU226" i="7"/>
  <c r="AE244" i="7"/>
  <c r="BH243" i="7"/>
  <c r="AQ226" i="7"/>
  <c r="BT225" i="7"/>
  <c r="J225" i="7" s="1"/>
  <c r="R229" i="7"/>
  <c r="AU228" i="7"/>
  <c r="AZ228" i="7"/>
  <c r="W229" i="7"/>
  <c r="BA228" i="7"/>
  <c r="X229" i="7"/>
  <c r="Y229" i="7"/>
  <c r="BB228" i="7"/>
  <c r="S229" i="7"/>
  <c r="AV228" i="7"/>
  <c r="Z229" i="7"/>
  <c r="BC228" i="7"/>
  <c r="T229" i="7"/>
  <c r="AW228" i="7"/>
  <c r="AA229" i="7"/>
  <c r="BD228" i="7"/>
  <c r="V229" i="7"/>
  <c r="AY228" i="7"/>
  <c r="U229" i="7"/>
  <c r="AX228" i="7"/>
  <c r="P229" i="7"/>
  <c r="AS228" i="7"/>
  <c r="Q229" i="7"/>
  <c r="AT228" i="7"/>
  <c r="AP249" i="7"/>
  <c r="BS249" i="7" s="1"/>
  <c r="BL249" i="7" l="1"/>
  <c r="AI250" i="7"/>
  <c r="AO230" i="7"/>
  <c r="BR229" i="7"/>
  <c r="AQ227" i="7"/>
  <c r="BT226" i="7"/>
  <c r="J226" i="7" s="1"/>
  <c r="AE245" i="7"/>
  <c r="BH244" i="7"/>
  <c r="AR228" i="7"/>
  <c r="BU227" i="7"/>
  <c r="T230" i="7"/>
  <c r="AW229" i="7"/>
  <c r="W230" i="7"/>
  <c r="AZ229" i="7"/>
  <c r="Z230" i="7"/>
  <c r="BC229" i="7"/>
  <c r="BD229" i="7"/>
  <c r="AA230" i="7"/>
  <c r="Y230" i="7"/>
  <c r="BB229" i="7"/>
  <c r="BA229" i="7"/>
  <c r="X230" i="7"/>
  <c r="S230" i="7"/>
  <c r="AV229" i="7"/>
  <c r="AU229" i="7"/>
  <c r="R230" i="7"/>
  <c r="V230" i="7"/>
  <c r="AY229" i="7"/>
  <c r="U230" i="7"/>
  <c r="AX229" i="7"/>
  <c r="AS229" i="7"/>
  <c r="P230" i="7"/>
  <c r="Q230" i="7"/>
  <c r="AT229" i="7"/>
  <c r="AP250" i="7"/>
  <c r="BS250" i="7" s="1"/>
  <c r="BL250" i="7" l="1"/>
  <c r="AI251" i="7"/>
  <c r="AO231" i="7"/>
  <c r="BR230" i="7"/>
  <c r="AR229" i="7"/>
  <c r="BU228" i="7"/>
  <c r="AE246" i="7"/>
  <c r="BH245" i="7"/>
  <c r="AQ228" i="7"/>
  <c r="BT227" i="7"/>
  <c r="J227" i="7" s="1"/>
  <c r="BA230" i="7"/>
  <c r="X231" i="7"/>
  <c r="AV230" i="7"/>
  <c r="S231" i="7"/>
  <c r="Z231" i="7"/>
  <c r="BC230" i="7"/>
  <c r="AZ230" i="7"/>
  <c r="W231" i="7"/>
  <c r="Y231" i="7"/>
  <c r="BB230" i="7"/>
  <c r="AU230" i="7"/>
  <c r="R231" i="7"/>
  <c r="BD230" i="7"/>
  <c r="AA231" i="7"/>
  <c r="T231" i="7"/>
  <c r="AW230" i="7"/>
  <c r="AY230" i="7"/>
  <c r="V231" i="7"/>
  <c r="U231" i="7"/>
  <c r="AX230" i="7"/>
  <c r="AS230" i="7"/>
  <c r="P231" i="7"/>
  <c r="AT230" i="7"/>
  <c r="Q231" i="7"/>
  <c r="AP251" i="7"/>
  <c r="BS251" i="7" s="1"/>
  <c r="AI252" i="7" l="1"/>
  <c r="BL251" i="7"/>
  <c r="AO232" i="7"/>
  <c r="BR231" i="7"/>
  <c r="AQ229" i="7"/>
  <c r="BT228" i="7"/>
  <c r="J228" i="7" s="1"/>
  <c r="AE247" i="7"/>
  <c r="BH246" i="7"/>
  <c r="AR230" i="7"/>
  <c r="BU229" i="7"/>
  <c r="T232" i="7"/>
  <c r="AW231" i="7"/>
  <c r="AA232" i="7"/>
  <c r="BD231" i="7"/>
  <c r="BC231" i="7"/>
  <c r="Z232" i="7"/>
  <c r="AU231" i="7"/>
  <c r="R232" i="7"/>
  <c r="BB231" i="7"/>
  <c r="Y232" i="7"/>
  <c r="BA231" i="7"/>
  <c r="X232" i="7"/>
  <c r="AV231" i="7"/>
  <c r="S232" i="7"/>
  <c r="AZ231" i="7"/>
  <c r="W232" i="7"/>
  <c r="V232" i="7"/>
  <c r="AY231" i="7"/>
  <c r="U232" i="7"/>
  <c r="AX231" i="7"/>
  <c r="P232" i="7"/>
  <c r="AS231" i="7"/>
  <c r="AT231" i="7"/>
  <c r="Q232" i="7"/>
  <c r="AP252" i="7"/>
  <c r="BS252" i="7" s="1"/>
  <c r="AI253" i="7" l="1"/>
  <c r="BL252" i="7"/>
  <c r="AO233" i="7"/>
  <c r="BR232" i="7"/>
  <c r="AR231" i="7"/>
  <c r="BU230" i="7"/>
  <c r="AE248" i="7"/>
  <c r="BH247" i="7"/>
  <c r="AQ230" i="7"/>
  <c r="BT229" i="7"/>
  <c r="J229" i="7" s="1"/>
  <c r="AV232" i="7"/>
  <c r="S233" i="7"/>
  <c r="Z233" i="7"/>
  <c r="BC232" i="7"/>
  <c r="BA232" i="7"/>
  <c r="X233" i="7"/>
  <c r="Y233" i="7"/>
  <c r="BB232" i="7"/>
  <c r="AA233" i="7"/>
  <c r="BD232" i="7"/>
  <c r="W233" i="7"/>
  <c r="AZ232" i="7"/>
  <c r="R233" i="7"/>
  <c r="AU232" i="7"/>
  <c r="T233" i="7"/>
  <c r="AW232" i="7"/>
  <c r="AY232" i="7"/>
  <c r="V233" i="7"/>
  <c r="AX232" i="7"/>
  <c r="U233" i="7"/>
  <c r="P233" i="7"/>
  <c r="AS232" i="7"/>
  <c r="Q233" i="7"/>
  <c r="AT232" i="7"/>
  <c r="AP253" i="7"/>
  <c r="BS253" i="7" s="1"/>
  <c r="AI254" i="7" l="1"/>
  <c r="BL253" i="7"/>
  <c r="AO234" i="7"/>
  <c r="BR233" i="7"/>
  <c r="AQ231" i="7"/>
  <c r="BT230" i="7"/>
  <c r="J230" i="7" s="1"/>
  <c r="AE249" i="7"/>
  <c r="BH248" i="7"/>
  <c r="AR232" i="7"/>
  <c r="BU231" i="7"/>
  <c r="BA233" i="7"/>
  <c r="X234" i="7"/>
  <c r="AZ233" i="7"/>
  <c r="W234" i="7"/>
  <c r="T234" i="7"/>
  <c r="AW233" i="7"/>
  <c r="AA234" i="7"/>
  <c r="BD233" i="7"/>
  <c r="AV233" i="7"/>
  <c r="S234" i="7"/>
  <c r="Y234" i="7"/>
  <c r="BB233" i="7"/>
  <c r="R234" i="7"/>
  <c r="AU233" i="7"/>
  <c r="BC233" i="7"/>
  <c r="Z234" i="7"/>
  <c r="V234" i="7"/>
  <c r="AY233" i="7"/>
  <c r="AX233" i="7"/>
  <c r="U234" i="7"/>
  <c r="P234" i="7"/>
  <c r="AS233" i="7"/>
  <c r="Q234" i="7"/>
  <c r="AT233" i="7"/>
  <c r="AP254" i="7"/>
  <c r="BS254" i="7" s="1"/>
  <c r="AI255" i="7" l="1"/>
  <c r="BL255" i="7" s="1"/>
  <c r="BL254" i="7"/>
  <c r="AO235" i="7"/>
  <c r="BR234" i="7"/>
  <c r="AE250" i="7"/>
  <c r="BH249" i="7"/>
  <c r="AR233" i="7"/>
  <c r="BU232" i="7"/>
  <c r="AQ232" i="7"/>
  <c r="BT231" i="7"/>
  <c r="J231" i="7" s="1"/>
  <c r="AU234" i="7"/>
  <c r="R235" i="7"/>
  <c r="T235" i="7"/>
  <c r="AW234" i="7"/>
  <c r="W235" i="7"/>
  <c r="AZ234" i="7"/>
  <c r="BB234" i="7"/>
  <c r="Y235" i="7"/>
  <c r="AV234" i="7"/>
  <c r="S235" i="7"/>
  <c r="BA234" i="7"/>
  <c r="X235" i="7"/>
  <c r="AA235" i="7"/>
  <c r="BD234" i="7"/>
  <c r="Z235" i="7"/>
  <c r="BC234" i="7"/>
  <c r="AY234" i="7"/>
  <c r="V235" i="7"/>
  <c r="U235" i="7"/>
  <c r="AX234" i="7"/>
  <c r="AS234" i="7"/>
  <c r="P235" i="7"/>
  <c r="AT234" i="7"/>
  <c r="Q235" i="7"/>
  <c r="AP255" i="7"/>
  <c r="BS255" i="7" s="1"/>
  <c r="AO236" i="7" l="1"/>
  <c r="BR235" i="7"/>
  <c r="AQ233" i="7"/>
  <c r="BT232" i="7"/>
  <c r="J232" i="7" s="1"/>
  <c r="AR234" i="7"/>
  <c r="BU233" i="7"/>
  <c r="AE251" i="7"/>
  <c r="BH250" i="7"/>
  <c r="BD235" i="7"/>
  <c r="AA236" i="7"/>
  <c r="AZ235" i="7"/>
  <c r="W236" i="7"/>
  <c r="T236" i="7"/>
  <c r="AW235" i="7"/>
  <c r="BC235" i="7"/>
  <c r="Z236" i="7"/>
  <c r="X236" i="7"/>
  <c r="BA235" i="7"/>
  <c r="S236" i="7"/>
  <c r="AV235" i="7"/>
  <c r="AU235" i="7"/>
  <c r="R236" i="7"/>
  <c r="Y236" i="7"/>
  <c r="BB235" i="7"/>
  <c r="V236" i="7"/>
  <c r="AY235" i="7"/>
  <c r="AX235" i="7"/>
  <c r="U236" i="7"/>
  <c r="P236" i="7"/>
  <c r="AS235" i="7"/>
  <c r="Q236" i="7"/>
  <c r="AT235" i="7"/>
  <c r="AO237" i="7" l="1"/>
  <c r="BR236" i="7"/>
  <c r="AE252" i="7"/>
  <c r="BH251" i="7"/>
  <c r="AR235" i="7"/>
  <c r="BU234" i="7"/>
  <c r="AQ234" i="7"/>
  <c r="BT233" i="7"/>
  <c r="J233" i="7" s="1"/>
  <c r="AU236" i="7"/>
  <c r="R237" i="7"/>
  <c r="AW236" i="7"/>
  <c r="T237" i="7"/>
  <c r="AZ236" i="7"/>
  <c r="W237" i="7"/>
  <c r="S237" i="7"/>
  <c r="AV236" i="7"/>
  <c r="AA237" i="7"/>
  <c r="BD236" i="7"/>
  <c r="BA236" i="7"/>
  <c r="X237" i="7"/>
  <c r="Y237" i="7"/>
  <c r="BB236" i="7"/>
  <c r="BC236" i="7"/>
  <c r="Z237" i="7"/>
  <c r="AY236" i="7"/>
  <c r="V237" i="7"/>
  <c r="AX236" i="7"/>
  <c r="U237" i="7"/>
  <c r="AS236" i="7"/>
  <c r="P237" i="7"/>
  <c r="AT236" i="7"/>
  <c r="Q237" i="7"/>
  <c r="AO238" i="7" l="1"/>
  <c r="BR237" i="7"/>
  <c r="AQ235" i="7"/>
  <c r="BT234" i="7"/>
  <c r="J234" i="7" s="1"/>
  <c r="AR236" i="7"/>
  <c r="BU235" i="7"/>
  <c r="AE253" i="7"/>
  <c r="BH252" i="7"/>
  <c r="S238" i="7"/>
  <c r="AV237" i="7"/>
  <c r="W238" i="7"/>
  <c r="AZ237" i="7"/>
  <c r="X238" i="7"/>
  <c r="BA237" i="7"/>
  <c r="T238" i="7"/>
  <c r="AW237" i="7"/>
  <c r="AU237" i="7"/>
  <c r="R238" i="7"/>
  <c r="BD237" i="7"/>
  <c r="AA238" i="7"/>
  <c r="BB237" i="7"/>
  <c r="Y238" i="7"/>
  <c r="Z238" i="7"/>
  <c r="BC237" i="7"/>
  <c r="V238" i="7"/>
  <c r="AY237" i="7"/>
  <c r="AX237" i="7"/>
  <c r="U238" i="7"/>
  <c r="AS237" i="7"/>
  <c r="P238" i="7"/>
  <c r="Q238" i="7"/>
  <c r="AT237" i="7"/>
  <c r="AO239" i="7" l="1"/>
  <c r="BR238" i="7"/>
  <c r="AR237" i="7"/>
  <c r="BU236" i="7"/>
  <c r="AE254" i="7"/>
  <c r="BH253" i="7"/>
  <c r="AQ236" i="7"/>
  <c r="BT235" i="7"/>
  <c r="J235" i="7" s="1"/>
  <c r="BD238" i="7"/>
  <c r="AA239" i="7"/>
  <c r="X239" i="7"/>
  <c r="BA238" i="7"/>
  <c r="AU238" i="7"/>
  <c r="R239" i="7"/>
  <c r="Z239" i="7"/>
  <c r="BC238" i="7"/>
  <c r="T239" i="7"/>
  <c r="AW238" i="7"/>
  <c r="AZ238" i="7"/>
  <c r="W239" i="7"/>
  <c r="Y239" i="7"/>
  <c r="BB238" i="7"/>
  <c r="AV238" i="7"/>
  <c r="S239" i="7"/>
  <c r="AY238" i="7"/>
  <c r="V239" i="7"/>
  <c r="AX238" i="7"/>
  <c r="U239" i="7"/>
  <c r="P239" i="7"/>
  <c r="AS238" i="7"/>
  <c r="AT238" i="7"/>
  <c r="Q239" i="7"/>
  <c r="AO240" i="7" l="1"/>
  <c r="BR239" i="7"/>
  <c r="AE255" i="7"/>
  <c r="BH255" i="7" s="1"/>
  <c r="BH254" i="7"/>
  <c r="AR238" i="7"/>
  <c r="BU237" i="7"/>
  <c r="AQ237" i="7"/>
  <c r="BT236" i="7"/>
  <c r="J236" i="7" s="1"/>
  <c r="R240" i="7"/>
  <c r="AU239" i="7"/>
  <c r="Y240" i="7"/>
  <c r="BB239" i="7"/>
  <c r="BA239" i="7"/>
  <c r="X240" i="7"/>
  <c r="T240" i="7"/>
  <c r="AW239" i="7"/>
  <c r="AA240" i="7"/>
  <c r="BD239" i="7"/>
  <c r="Z240" i="7"/>
  <c r="BC239" i="7"/>
  <c r="AZ239" i="7"/>
  <c r="W240" i="7"/>
  <c r="AV239" i="7"/>
  <c r="S240" i="7"/>
  <c r="V240" i="7"/>
  <c r="AY239" i="7"/>
  <c r="AX239" i="7"/>
  <c r="U240" i="7"/>
  <c r="P240" i="7"/>
  <c r="AS239" i="7"/>
  <c r="Q240" i="7"/>
  <c r="AT239" i="7"/>
  <c r="AO241" i="7" l="1"/>
  <c r="BR240" i="7"/>
  <c r="AR239" i="7"/>
  <c r="BU238" i="7"/>
  <c r="AQ238" i="7"/>
  <c r="BT237" i="7"/>
  <c r="J237" i="7" s="1"/>
  <c r="AZ240" i="7"/>
  <c r="W241" i="7"/>
  <c r="X241" i="7"/>
  <c r="BA240" i="7"/>
  <c r="T241" i="7"/>
  <c r="AW240" i="7"/>
  <c r="Z241" i="7"/>
  <c r="BC240" i="7"/>
  <c r="Y241" i="7"/>
  <c r="BB240" i="7"/>
  <c r="BD240" i="7"/>
  <c r="AA241" i="7"/>
  <c r="S241" i="7"/>
  <c r="AV240" i="7"/>
  <c r="AU240" i="7"/>
  <c r="R241" i="7"/>
  <c r="AY240" i="7"/>
  <c r="V241" i="7"/>
  <c r="AX240" i="7"/>
  <c r="U241" i="7"/>
  <c r="AS240" i="7"/>
  <c r="P241" i="7"/>
  <c r="Q241" i="7"/>
  <c r="AT240" i="7"/>
  <c r="AO242" i="7" l="1"/>
  <c r="BR241" i="7"/>
  <c r="AQ239" i="7"/>
  <c r="BT238" i="7"/>
  <c r="J238" i="7" s="1"/>
  <c r="AR240" i="7"/>
  <c r="BU239" i="7"/>
  <c r="Z242" i="7"/>
  <c r="BC241" i="7"/>
  <c r="AV241" i="7"/>
  <c r="S242" i="7"/>
  <c r="AW241" i="7"/>
  <c r="T242" i="7"/>
  <c r="AA242" i="7"/>
  <c r="BD241" i="7"/>
  <c r="BA241" i="7"/>
  <c r="X242" i="7"/>
  <c r="W242" i="7"/>
  <c r="AZ241" i="7"/>
  <c r="BB241" i="7"/>
  <c r="Y242" i="7"/>
  <c r="R242" i="7"/>
  <c r="AU241" i="7"/>
  <c r="V242" i="7"/>
  <c r="AY241" i="7"/>
  <c r="U242" i="7"/>
  <c r="AX241" i="7"/>
  <c r="AS241" i="7"/>
  <c r="P242" i="7"/>
  <c r="AT241" i="7"/>
  <c r="Q242" i="7"/>
  <c r="AO243" i="7" l="1"/>
  <c r="BR242" i="7"/>
  <c r="AR241" i="7"/>
  <c r="BU240" i="7"/>
  <c r="AQ240" i="7"/>
  <c r="BT239" i="7"/>
  <c r="J239" i="7" s="1"/>
  <c r="R243" i="7"/>
  <c r="AU242" i="7"/>
  <c r="BB242" i="7"/>
  <c r="Y243" i="7"/>
  <c r="BD242" i="7"/>
  <c r="AA243" i="7"/>
  <c r="AW242" i="7"/>
  <c r="T243" i="7"/>
  <c r="AZ242" i="7"/>
  <c r="W243" i="7"/>
  <c r="S243" i="7"/>
  <c r="AV242" i="7"/>
  <c r="X243" i="7"/>
  <c r="BA242" i="7"/>
  <c r="BC242" i="7"/>
  <c r="Z243" i="7"/>
  <c r="V243" i="7"/>
  <c r="AY242" i="7"/>
  <c r="AX242" i="7"/>
  <c r="U243" i="7"/>
  <c r="P243" i="7"/>
  <c r="AS242" i="7"/>
  <c r="AT242" i="7"/>
  <c r="Q243" i="7"/>
  <c r="AO244" i="7" l="1"/>
  <c r="BR243" i="7"/>
  <c r="AQ241" i="7"/>
  <c r="BT240" i="7"/>
  <c r="J240" i="7" s="1"/>
  <c r="AR242" i="7"/>
  <c r="BU241" i="7"/>
  <c r="AV243" i="7"/>
  <c r="S244" i="7"/>
  <c r="Y244" i="7"/>
  <c r="BB243" i="7"/>
  <c r="BD243" i="7"/>
  <c r="AA244" i="7"/>
  <c r="AZ243" i="7"/>
  <c r="W244" i="7"/>
  <c r="X244" i="7"/>
  <c r="BA243" i="7"/>
  <c r="Z244" i="7"/>
  <c r="BC243" i="7"/>
  <c r="T244" i="7"/>
  <c r="AW243" i="7"/>
  <c r="R244" i="7"/>
  <c r="AU243" i="7"/>
  <c r="V244" i="7"/>
  <c r="AY243" i="7"/>
  <c r="AX243" i="7"/>
  <c r="U244" i="7"/>
  <c r="P244" i="7"/>
  <c r="AS243" i="7"/>
  <c r="AT243" i="7"/>
  <c r="Q244" i="7"/>
  <c r="AO245" i="7" l="1"/>
  <c r="BR244" i="7"/>
  <c r="AR243" i="7"/>
  <c r="BU242" i="7"/>
  <c r="AQ242" i="7"/>
  <c r="BT241" i="7"/>
  <c r="J241" i="7" s="1"/>
  <c r="AA245" i="7"/>
  <c r="BD244" i="7"/>
  <c r="T245" i="7"/>
  <c r="AW244" i="7"/>
  <c r="AU244" i="7"/>
  <c r="R245" i="7"/>
  <c r="Z245" i="7"/>
  <c r="BC244" i="7"/>
  <c r="BB244" i="7"/>
  <c r="Y245" i="7"/>
  <c r="S245" i="7"/>
  <c r="AV244" i="7"/>
  <c r="X245" i="7"/>
  <c r="BA244" i="7"/>
  <c r="AZ244" i="7"/>
  <c r="W245" i="7"/>
  <c r="AY244" i="7"/>
  <c r="V245" i="7"/>
  <c r="U245" i="7"/>
  <c r="AX244" i="7"/>
  <c r="AS244" i="7"/>
  <c r="P245" i="7"/>
  <c r="AT244" i="7"/>
  <c r="Q245" i="7"/>
  <c r="AO246" i="7" l="1"/>
  <c r="BR245" i="7"/>
  <c r="AQ243" i="7"/>
  <c r="BT242" i="7"/>
  <c r="J242" i="7" s="1"/>
  <c r="AR244" i="7"/>
  <c r="BU243" i="7"/>
  <c r="BC245" i="7"/>
  <c r="Z246" i="7"/>
  <c r="R246" i="7"/>
  <c r="AU245" i="7"/>
  <c r="X246" i="7"/>
  <c r="BA245" i="7"/>
  <c r="AV245" i="7"/>
  <c r="S246" i="7"/>
  <c r="AW245" i="7"/>
  <c r="T246" i="7"/>
  <c r="BB245" i="7"/>
  <c r="Y246" i="7"/>
  <c r="BD245" i="7"/>
  <c r="AA246" i="7"/>
  <c r="W246" i="7"/>
  <c r="AZ245" i="7"/>
  <c r="AY245" i="7"/>
  <c r="V246" i="7"/>
  <c r="AX245" i="7"/>
  <c r="U246" i="7"/>
  <c r="P246" i="7"/>
  <c r="AS245" i="7"/>
  <c r="AT245" i="7"/>
  <c r="Q246" i="7"/>
  <c r="AO247" i="7" l="1"/>
  <c r="BR246" i="7"/>
  <c r="AR245" i="7"/>
  <c r="BU244" i="7"/>
  <c r="AQ244" i="7"/>
  <c r="BT243" i="7"/>
  <c r="J243" i="7" s="1"/>
  <c r="BA246" i="7"/>
  <c r="X247" i="7"/>
  <c r="AZ246" i="7"/>
  <c r="W247" i="7"/>
  <c r="AA247" i="7"/>
  <c r="BD246" i="7"/>
  <c r="Y247" i="7"/>
  <c r="BB246" i="7"/>
  <c r="T247" i="7"/>
  <c r="AW246" i="7"/>
  <c r="BC246" i="7"/>
  <c r="Z247" i="7"/>
  <c r="AU246" i="7"/>
  <c r="R247" i="7"/>
  <c r="S247" i="7"/>
  <c r="AV246" i="7"/>
  <c r="AY246" i="7"/>
  <c r="V247" i="7"/>
  <c r="AX246" i="7"/>
  <c r="U247" i="7"/>
  <c r="AS246" i="7"/>
  <c r="P247" i="7"/>
  <c r="Q247" i="7"/>
  <c r="AT246" i="7"/>
  <c r="AO248" i="7" l="1"/>
  <c r="BR247" i="7"/>
  <c r="AQ245" i="7"/>
  <c r="BT244" i="7"/>
  <c r="J244" i="7" s="1"/>
  <c r="AR246" i="7"/>
  <c r="BU245" i="7"/>
  <c r="S248" i="7"/>
  <c r="AV247" i="7"/>
  <c r="Y248" i="7"/>
  <c r="BB247" i="7"/>
  <c r="AU247" i="7"/>
  <c r="R248" i="7"/>
  <c r="AA248" i="7"/>
  <c r="BD247" i="7"/>
  <c r="W248" i="7"/>
  <c r="AZ247" i="7"/>
  <c r="X248" i="7"/>
  <c r="BA247" i="7"/>
  <c r="T248" i="7"/>
  <c r="AW247" i="7"/>
  <c r="BC247" i="7"/>
  <c r="Z248" i="7"/>
  <c r="V248" i="7"/>
  <c r="AY247" i="7"/>
  <c r="U248" i="7"/>
  <c r="AX247" i="7"/>
  <c r="AS247" i="7"/>
  <c r="P248" i="7"/>
  <c r="AT247" i="7"/>
  <c r="Q248" i="7"/>
  <c r="AO249" i="7" l="1"/>
  <c r="BR248" i="7"/>
  <c r="AR247" i="7"/>
  <c r="BU246" i="7"/>
  <c r="AQ246" i="7"/>
  <c r="BT245" i="7"/>
  <c r="J245" i="7" s="1"/>
  <c r="AU248" i="7"/>
  <c r="R249" i="7"/>
  <c r="AW248" i="7"/>
  <c r="T249" i="7"/>
  <c r="W249" i="7"/>
  <c r="AZ248" i="7"/>
  <c r="BD248" i="7"/>
  <c r="AA249" i="7"/>
  <c r="BD249" i="7" s="1"/>
  <c r="BA248" i="7"/>
  <c r="X249" i="7"/>
  <c r="Y249" i="7"/>
  <c r="BB248" i="7"/>
  <c r="Z249" i="7"/>
  <c r="BC248" i="7"/>
  <c r="S249" i="7"/>
  <c r="AV248" i="7"/>
  <c r="V249" i="7"/>
  <c r="AY248" i="7"/>
  <c r="AX248" i="7"/>
  <c r="U249" i="7"/>
  <c r="P249" i="7"/>
  <c r="AS248" i="7"/>
  <c r="Q249" i="7"/>
  <c r="AT248" i="7"/>
  <c r="AO250" i="7" l="1"/>
  <c r="BR249" i="7"/>
  <c r="AQ247" i="7"/>
  <c r="BT246" i="7"/>
  <c r="J246" i="7" s="1"/>
  <c r="AR248" i="7"/>
  <c r="BU247" i="7"/>
  <c r="Z250" i="7"/>
  <c r="BC249" i="7"/>
  <c r="AV249" i="7"/>
  <c r="S250" i="7"/>
  <c r="R250" i="7"/>
  <c r="AU249" i="7"/>
  <c r="W250" i="7"/>
  <c r="AZ249" i="7"/>
  <c r="T250" i="7"/>
  <c r="AW249" i="7"/>
  <c r="BB249" i="7"/>
  <c r="Y250" i="7"/>
  <c r="BA249" i="7"/>
  <c r="X250" i="7"/>
  <c r="AA250" i="7"/>
  <c r="BD250" i="7" s="1"/>
  <c r="V250" i="7"/>
  <c r="AY249" i="7"/>
  <c r="U250" i="7"/>
  <c r="AX249" i="7"/>
  <c r="AS249" i="7"/>
  <c r="P250" i="7"/>
  <c r="AT249" i="7"/>
  <c r="Q250" i="7"/>
  <c r="AO251" i="7" l="1"/>
  <c r="BR250" i="7"/>
  <c r="AR249" i="7"/>
  <c r="BU248" i="7"/>
  <c r="AQ248" i="7"/>
  <c r="BT247" i="7"/>
  <c r="J247" i="7" s="1"/>
  <c r="W251" i="7"/>
  <c r="AZ250" i="7"/>
  <c r="X251" i="7"/>
  <c r="BA250" i="7"/>
  <c r="R251" i="7"/>
  <c r="AU250" i="7"/>
  <c r="AV250" i="7"/>
  <c r="S251" i="7"/>
  <c r="T251" i="7"/>
  <c r="AW250" i="7"/>
  <c r="BC250" i="7"/>
  <c r="Z251" i="7"/>
  <c r="Y251" i="7"/>
  <c r="BB250" i="7"/>
  <c r="AA251" i="7"/>
  <c r="BD251" i="7" s="1"/>
  <c r="AY250" i="7"/>
  <c r="V251" i="7"/>
  <c r="U251" i="7"/>
  <c r="AX250" i="7"/>
  <c r="AS250" i="7"/>
  <c r="P251" i="7"/>
  <c r="Q251" i="7"/>
  <c r="AT250" i="7"/>
  <c r="AO252" i="7" l="1"/>
  <c r="BR251" i="7"/>
  <c r="AQ249" i="7"/>
  <c r="BT248" i="7"/>
  <c r="J248" i="7" s="1"/>
  <c r="AR250" i="7"/>
  <c r="BU249" i="7"/>
  <c r="AV251" i="7"/>
  <c r="S252" i="7"/>
  <c r="AA252" i="7"/>
  <c r="BD252" i="7" s="1"/>
  <c r="AU251" i="7"/>
  <c r="R252" i="7"/>
  <c r="Z252" i="7"/>
  <c r="BC251" i="7"/>
  <c r="Y252" i="7"/>
  <c r="BB251" i="7"/>
  <c r="BA251" i="7"/>
  <c r="X252" i="7"/>
  <c r="T252" i="7"/>
  <c r="AW251" i="7"/>
  <c r="AZ251" i="7"/>
  <c r="W252" i="7"/>
  <c r="AY251" i="7"/>
  <c r="V252" i="7"/>
  <c r="AX251" i="7"/>
  <c r="U252" i="7"/>
  <c r="P252" i="7"/>
  <c r="AS251" i="7"/>
  <c r="AT251" i="7"/>
  <c r="Q252" i="7"/>
  <c r="AO253" i="7" l="1"/>
  <c r="BR252" i="7"/>
  <c r="AR251" i="7"/>
  <c r="BU250" i="7"/>
  <c r="AQ250" i="7"/>
  <c r="BT249" i="7"/>
  <c r="J249" i="7" s="1"/>
  <c r="AU252" i="7"/>
  <c r="R253" i="7"/>
  <c r="BC252" i="7"/>
  <c r="Z253" i="7"/>
  <c r="T253" i="7"/>
  <c r="AW252" i="7"/>
  <c r="AA253" i="7"/>
  <c r="BD253" i="7" s="1"/>
  <c r="Y253" i="7"/>
  <c r="BB252" i="7"/>
  <c r="S253" i="7"/>
  <c r="AV252" i="7"/>
  <c r="X253" i="7"/>
  <c r="BA252" i="7"/>
  <c r="AZ252" i="7"/>
  <c r="W253" i="7"/>
  <c r="AY252" i="7"/>
  <c r="V253" i="7"/>
  <c r="U253" i="7"/>
  <c r="AX252" i="7"/>
  <c r="AS252" i="7"/>
  <c r="P253" i="7"/>
  <c r="AT252" i="7"/>
  <c r="Q253" i="7"/>
  <c r="AO254" i="7" l="1"/>
  <c r="BR253" i="7"/>
  <c r="AQ251" i="7"/>
  <c r="BT250" i="7"/>
  <c r="J250" i="7" s="1"/>
  <c r="AR252" i="7"/>
  <c r="BU251" i="7"/>
  <c r="T254" i="7"/>
  <c r="AW253" i="7"/>
  <c r="AA254" i="7"/>
  <c r="BD254" i="7" s="1"/>
  <c r="BA253" i="7"/>
  <c r="X254" i="7"/>
  <c r="Z254" i="7"/>
  <c r="BC253" i="7"/>
  <c r="S254" i="7"/>
  <c r="AV253" i="7"/>
  <c r="AU253" i="7"/>
  <c r="R254" i="7"/>
  <c r="BB253" i="7"/>
  <c r="Y254" i="7"/>
  <c r="AZ253" i="7"/>
  <c r="W254" i="7"/>
  <c r="V254" i="7"/>
  <c r="AY253" i="7"/>
  <c r="AX253" i="7"/>
  <c r="U254" i="7"/>
  <c r="AS253" i="7"/>
  <c r="P254" i="7"/>
  <c r="Q254" i="7"/>
  <c r="AT253" i="7"/>
  <c r="AO255" i="7" l="1"/>
  <c r="BR255" i="7" s="1"/>
  <c r="BR254" i="7"/>
  <c r="AR253" i="7"/>
  <c r="BU252" i="7"/>
  <c r="AQ252" i="7"/>
  <c r="BT251" i="7"/>
  <c r="J251" i="7" s="1"/>
  <c r="BC254" i="7"/>
  <c r="Z255" i="7"/>
  <c r="BC255" i="7" s="1"/>
  <c r="Y255" i="7"/>
  <c r="BB255" i="7" s="1"/>
  <c r="BB254" i="7"/>
  <c r="BA254" i="7"/>
  <c r="X255" i="7"/>
  <c r="BA255" i="7" s="1"/>
  <c r="AA255" i="7"/>
  <c r="BD255" i="7" s="1"/>
  <c r="S255" i="7"/>
  <c r="AV255" i="7" s="1"/>
  <c r="AV254" i="7"/>
  <c r="AW254" i="7"/>
  <c r="T255" i="7"/>
  <c r="AW255" i="7" s="1"/>
  <c r="R255" i="7"/>
  <c r="AU255" i="7" s="1"/>
  <c r="AU254" i="7"/>
  <c r="W255" i="7"/>
  <c r="AZ255" i="7" s="1"/>
  <c r="AZ254" i="7"/>
  <c r="V255" i="7"/>
  <c r="AY255" i="7" s="1"/>
  <c r="AY254" i="7"/>
  <c r="AX254" i="7"/>
  <c r="U255" i="7"/>
  <c r="AX255" i="7" s="1"/>
  <c r="AS254" i="7"/>
  <c r="P255" i="7"/>
  <c r="AS255" i="7" s="1"/>
  <c r="Q255" i="7"/>
  <c r="AT255" i="7" s="1"/>
  <c r="AT254" i="7"/>
  <c r="AQ253" i="7" l="1"/>
  <c r="BT252" i="7"/>
  <c r="J252" i="7" s="1"/>
  <c r="AR254" i="7"/>
  <c r="BU253" i="7"/>
  <c r="AR255" i="7" l="1"/>
  <c r="BU255" i="7" s="1"/>
  <c r="BU254" i="7"/>
  <c r="AQ254" i="7"/>
  <c r="BT253" i="7"/>
  <c r="J253" i="7" s="1"/>
  <c r="AQ255" i="7" l="1"/>
  <c r="BT255" i="7" s="1"/>
  <c r="J255" i="7" s="1"/>
  <c r="BT254" i="7"/>
  <c r="J254" i="7" s="1"/>
</calcChain>
</file>

<file path=xl/comments1.xml><?xml version="1.0" encoding="utf-8"?>
<comments xmlns="http://schemas.openxmlformats.org/spreadsheetml/2006/main">
  <authors>
    <author>Scott Criswell</author>
    <author>David Reddy</author>
  </authors>
  <commentList>
    <comment ref="H15" authorId="0">
      <text>
        <r>
          <rPr>
            <sz val="8"/>
            <color indexed="81"/>
            <rFont val="Tahoma"/>
            <family val="2"/>
          </rPr>
          <t>Leave blank to model with ruleset-defined setting</t>
        </r>
      </text>
    </comment>
    <comment ref="AJ15"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O15"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text>
        <r>
          <rPr>
            <sz val="9"/>
            <color indexed="81"/>
            <rFont val="Tahoma"/>
            <family val="2"/>
          </rPr>
          <t>ParallelSimulations: Flag controls whether or not like simulations (design sizing vs. annual) should be performed in parallel, which helps to reduce analysis runtime</t>
        </r>
      </text>
    </comment>
    <comment ref="T16" authorId="1">
      <text>
        <r>
          <rPr>
            <sz val="9"/>
            <color indexed="81"/>
            <rFont val="Tahoma"/>
            <family val="2"/>
          </rPr>
          <t>DurationStats: Logging of rule evaluation times during analysis</t>
        </r>
      </text>
    </comment>
    <comment ref="U16" authorId="1">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text>
        <r>
          <rPr>
            <sz val="9"/>
            <color indexed="81"/>
            <rFont val="Tahoma"/>
            <family val="2"/>
          </rPr>
          <t>BypassValidFileChecks:  Bypasses checks designed to ensure that all analysis file dependencies are valid</t>
        </r>
      </text>
    </comment>
    <comment ref="X16" authorId="1">
      <text>
        <r>
          <rPr>
            <sz val="9"/>
            <color indexed="81"/>
            <rFont val="Tahoma"/>
            <family val="2"/>
          </rPr>
          <t>Set to 1 to bypass range and required data checking</t>
        </r>
      </text>
    </comment>
    <comment ref="Y16" authorId="1">
      <text>
        <r>
          <rPr>
            <sz val="9"/>
            <color indexed="81"/>
            <rFont val="Tahoma"/>
            <family val="2"/>
          </rPr>
          <t>Set to 1 to bypass thermal zone unmet load hour checks</t>
        </r>
      </text>
    </comment>
    <comment ref="Z16" authorId="1">
      <text>
        <r>
          <rPr>
            <sz val="9"/>
            <color indexed="81"/>
            <rFont val="Tahoma"/>
            <family val="2"/>
          </rPr>
          <t>Set to 1 to bypass CHECKSIM rules</t>
        </r>
      </text>
    </comment>
    <comment ref="AA16" authorId="1">
      <text>
        <r>
          <rPr>
            <sz val="9"/>
            <color indexed="81"/>
            <rFont val="Tahoma"/>
            <family val="2"/>
          </rPr>
          <t>Set to 1 to bypass CHECKCODE rules</t>
        </r>
      </text>
    </comment>
    <comment ref="AC16"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text>
        <r>
          <rPr>
            <sz val="9"/>
            <color indexed="81"/>
            <rFont val="Tahoma"/>
            <family val="2"/>
          </rPr>
          <t>Flag that turns on/off rule-based model reports that generate CSV files during analysis</t>
        </r>
      </text>
    </comment>
    <comment ref="AE16" authorId="1">
      <text>
        <r>
          <rPr>
            <sz val="9"/>
            <color indexed="81"/>
            <rFont val="Tahoma"/>
            <family val="2"/>
          </rPr>
          <t>Causes generation of CSV files by run containing hourly results by fuel and enduse plus TDV multipliers</t>
        </r>
      </text>
    </comment>
    <comment ref="AF16" authorId="1">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 ref="H117" authorId="0">
      <text>
        <r>
          <rPr>
            <sz val="8"/>
            <color indexed="81"/>
            <rFont val="Tahoma"/>
            <family val="2"/>
          </rPr>
          <t>Leave blank to model with ruleset-defined setting</t>
        </r>
      </text>
    </comment>
    <comment ref="H264" authorId="0">
      <text>
        <r>
          <rPr>
            <sz val="8"/>
            <color indexed="81"/>
            <rFont val="Tahoma"/>
            <family val="2"/>
          </rPr>
          <t>Leave blank to model with ruleset-defined setting</t>
        </r>
      </text>
    </comment>
  </commentList>
</comments>
</file>

<file path=xl/comments2.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3.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4.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5.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sharedStrings.xml><?xml version="1.0" encoding="utf-8"?>
<sst xmlns="http://schemas.openxmlformats.org/spreadsheetml/2006/main" count="1746" uniqueCount="261">
  <si>
    <t>;   First SINGLE Record Provides Some Global Information:</t>
  </si>
  <si>
    <t>;</t>
  </si>
  <si>
    <t>Batch Version:</t>
  </si>
  <si>
    <t>Number denoting the version of batch processing mechanism this file written for (for backward compatibility)</t>
  </si>
  <si>
    <t>;   Batch</t>
  </si>
  <si>
    <t>;    Ver</t>
  </si>
  <si>
    <t>Existing</t>
  </si>
  <si>
    <t>New or Save As</t>
  </si>
  <si>
    <t>Project or File Name</t>
  </si>
  <si>
    <t>Program</t>
  </si>
  <si>
    <t>Output</t>
  </si>
  <si>
    <t>CumCSV</t>
  </si>
  <si>
    <t>Processing</t>
  </si>
  <si>
    <t>Options</t>
  </si>
  <si>
    <t>;  Process</t>
  </si>
  <si>
    <t>;   Record</t>
  </si>
  <si>
    <t xml:space="preserve">Input path:  </t>
  </si>
  <si>
    <t xml:space="preserve">Output path:  </t>
  </si>
  <si>
    <t>Common Output Results File</t>
  </si>
  <si>
    <t>(relative to batch CSV path if no path specified)</t>
  </si>
  <si>
    <t>Run Title</t>
  </si>
  <si>
    <t>Override AutoSize Flag</t>
  </si>
  <si>
    <t>p</t>
  </si>
  <si>
    <t>bz</t>
  </si>
  <si>
    <t>b</t>
  </si>
  <si>
    <t>;       1</t>
  </si>
  <si>
    <t>Batch Instance</t>
  </si>
  <si>
    <t>Input Instance</t>
  </si>
  <si>
    <t>LogRuleEvaluation</t>
  </si>
  <si>
    <t>Verbose</t>
  </si>
  <si>
    <t>AnalysisThruStep</t>
  </si>
  <si>
    <t>BypassInputChecks</t>
  </si>
  <si>
    <t>BypassUMLHChecks</t>
  </si>
  <si>
    <t>BypassOpenStudio</t>
  </si>
  <si>
    <t>BypassSimulation</t>
  </si>
  <si>
    <t>INI File Options ---&gt;</t>
  </si>
  <si>
    <t>BypassCheckSimRules</t>
  </si>
  <si>
    <t>BypassCheckCodeRules</t>
  </si>
  <si>
    <t>StoreBEMDetails</t>
  </si>
  <si>
    <t>Results file:</t>
  </si>
  <si>
    <t>Path to Copy</t>
  </si>
  <si>
    <t>SDD XML files too</t>
  </si>
  <si>
    <t xml:space="preserve">SDD XML path:  </t>
  </si>
  <si>
    <t>Project or File Name (full path or relative to \Projects)</t>
  </si>
  <si>
    <t>Input cells</t>
  </si>
  <si>
    <t>Date:</t>
  </si>
  <si>
    <t>Repo Rev:</t>
  </si>
  <si>
    <t>(relative to \Projects if no path specified)</t>
  </si>
  <si>
    <t>(relative to batch input csv path if not specified)</t>
  </si>
  <si>
    <t>DontAbortOnErrorsThruStep</t>
  </si>
  <si>
    <t>Run Sim?</t>
  </si>
  <si>
    <t>DontAbortOn ErrorsThruStep</t>
  </si>
  <si>
    <t>00300-OfficeMedium_CZ6_Run04</t>
  </si>
  <si>
    <t>RulesetImplementationTests\</t>
  </si>
  <si>
    <t>00200-OfficeSmall_CZ6_Run01</t>
  </si>
  <si>
    <t>00200-OfficeSmall_CZ15_Run02</t>
  </si>
  <si>
    <t>00200-OfficeSmall_CZ6_Run14</t>
  </si>
  <si>
    <t>00200-OfficeSmall_CZ6_Run18</t>
  </si>
  <si>
    <t>00300-OfficeMedium_CZ6_Run10</t>
  </si>
  <si>
    <t>00300-OfficeMedium_CZ6_Run12</t>
  </si>
  <si>
    <t>00300-OfficeMedium_CZ6_Run13</t>
  </si>
  <si>
    <t>00300-OfficeMedium_CZ6_Run19</t>
  </si>
  <si>
    <t>00300-OfficeMedium_CZ6_Run23</t>
  </si>
  <si>
    <t>00400-OfficeLarge_CZ6_Run05</t>
  </si>
  <si>
    <t>00400-OfficeLarge_CZ6_Run06</t>
  </si>
  <si>
    <t>00400-OfficeLarge_CZ6_Run11</t>
  </si>
  <si>
    <t>00400-OfficeLarge_CZ6_Run17</t>
  </si>
  <si>
    <t>00700-HotelSmall_CZ15_Run03</t>
  </si>
  <si>
    <t>00700-HotelSmall_CZ12_Run22</t>
  </si>
  <si>
    <t>ModelRpt_ALL</t>
  </si>
  <si>
    <t>r1009</t>
  </si>
  <si>
    <t>1b-PrimOnly_SnglChlr_VarSpdPump</t>
  </si>
  <si>
    <t>2a-PrimOnly_MultChlr_ConstSpdPump</t>
  </si>
  <si>
    <t>2b-PrimOnly_MultChlr_ConstSpdPumps</t>
  </si>
  <si>
    <t>2c-PrimOnly_MultChlr_VarSpdPump</t>
  </si>
  <si>
    <t>2d-PrimOnly_MultChlr_VarSpdPumps</t>
  </si>
  <si>
    <t>3b-PrimSec_MultChlr_ChlrPumps</t>
  </si>
  <si>
    <t>4a-PrimOnly_MultChlrSeries_PrimPump</t>
  </si>
  <si>
    <t>4b-PrimOnly_MultChlrSeries_ChlrPumps</t>
  </si>
  <si>
    <t>Hydronic Piping Examples</t>
  </si>
  <si>
    <t>1a1-PrimOnly_SnglChlr_ConstSpdPump01</t>
  </si>
  <si>
    <t>1a2-PrimOnly_SnglChlr_ConstSpdPump02</t>
  </si>
  <si>
    <t>3a-PrimSec_MultChlr_PrimPump</t>
  </si>
  <si>
    <t>r1089</t>
  </si>
  <si>
    <t>010012-SchSml-CECStd</t>
  </si>
  <si>
    <t>020012-OffSml-CECStd</t>
  </si>
  <si>
    <t>030012-OffMed-CECStd</t>
  </si>
  <si>
    <t>040012-OffLrg-CECStd</t>
  </si>
  <si>
    <t>050012-RetlMed-CECStd</t>
  </si>
  <si>
    <t>060012-RstntSml-CECStd</t>
  </si>
  <si>
    <t>070012-HotSml-CECStd</t>
  </si>
  <si>
    <t>080012-Whse-CECStd</t>
  </si>
  <si>
    <t>090012-RetlLrg-CECStd</t>
  </si>
  <si>
    <t>010112-SchSml-PSZ</t>
  </si>
  <si>
    <t>010212-SchSml-PVAVAirZnSys</t>
  </si>
  <si>
    <t>010312-SchSml-VAVFluidZnSys</t>
  </si>
  <si>
    <t>040112-OffLrg-VAVPriSec</t>
  </si>
  <si>
    <t>010112-SchSml-PSZ-p-01</t>
  </si>
  <si>
    <t>010112-SchSml-PSZ-p-02</t>
  </si>
  <si>
    <t>010112-SchSml-PSZ-p-03</t>
  </si>
  <si>
    <t>010112-SchSml-PSZ-p-04</t>
  </si>
  <si>
    <t>010112-SchSml-PSZ-p-05</t>
  </si>
  <si>
    <t>010112-SchSml-PSZ-p-06</t>
  </si>
  <si>
    <t>010112-SchSml-PSZ-p-07</t>
  </si>
  <si>
    <t>010112-SchSml-PSZ-p-08</t>
  </si>
  <si>
    <t>010112-SchSml-PSZ-p-09</t>
  </si>
  <si>
    <t>010112-SchSml-PSZ-p-10</t>
  </si>
  <si>
    <t>010112-SchSml-PSZ-p-11</t>
  </si>
  <si>
    <t>010112-SchSml-PSZ-p-12</t>
  </si>
  <si>
    <t>010112-SchSml-PSZ-p-13</t>
  </si>
  <si>
    <t>010112-SchSml-PSZ-p-14</t>
  </si>
  <si>
    <t>010112-SchSml-PSZ-p-15</t>
  </si>
  <si>
    <t>010112-SchSml-PSZ-p-16</t>
  </si>
  <si>
    <t>010112-SchSml-PSZ-p-17</t>
  </si>
  <si>
    <t>010112-SchSml-PSZ-p-18</t>
  </si>
  <si>
    <t>010112-SchSml-PSZ-p-19</t>
  </si>
  <si>
    <t>010112-SchSml-PSZ-p-20</t>
  </si>
  <si>
    <t>010112-SchSml-PSZ-p-21</t>
  </si>
  <si>
    <t>010112-SchSml-PSZ-p-22</t>
  </si>
  <si>
    <t>Issue 383\Input CIBD\</t>
  </si>
  <si>
    <t>Issue 383\010112-SchSml-PSZ-p_r1450\010112-SchSml-PSZ-p_r1450 - batch\</t>
  </si>
  <si>
    <t>010112</t>
  </si>
  <si>
    <t>r1450_IDF</t>
  </si>
  <si>
    <t>020212-OffSml-SimpleGeometry</t>
  </si>
  <si>
    <t>030212-OffMed-SimpleGeometry</t>
  </si>
  <si>
    <t>r1953</t>
  </si>
  <si>
    <t>ParallelSimulations</t>
  </si>
  <si>
    <t>DurationStats</t>
  </si>
  <si>
    <t>SimulationStorage</t>
  </si>
  <si>
    <t>AnalysisStorage</t>
  </si>
  <si>
    <t>BypassValidFileChecks</t>
  </si>
  <si>
    <t>all</t>
  </si>
  <si>
    <t>zp</t>
  </si>
  <si>
    <t>zb</t>
  </si>
  <si>
    <t>ap</t>
  </si>
  <si>
    <t>ab</t>
  </si>
  <si>
    <t>OverrideAutosize</t>
  </si>
  <si>
    <t>StoreResultsToModelInput</t>
  </si>
  <si>
    <t>OtherTests</t>
  </si>
  <si>
    <t>StandardModelTests</t>
  </si>
  <si>
    <t>OT</t>
  </si>
  <si>
    <t>Ruleset Implementation Tests (Complete)</t>
  </si>
  <si>
    <t>RIc</t>
  </si>
  <si>
    <t>Total Runs</t>
  </si>
  <si>
    <t>Formulas</t>
  </si>
  <si>
    <t>Run Title
(user-defined, reported in Results csv file)</t>
  </si>
  <si>
    <t>Input File Name</t>
  </si>
  <si>
    <t>Batch File Name</t>
  </si>
  <si>
    <t>Input file</t>
  </si>
  <si>
    <t>x</t>
  </si>
  <si>
    <t>Software Sensitivity Tests</t>
  </si>
  <si>
    <t>ExportHourlyResults_All</t>
  </si>
  <si>
    <t>ComplianceReportPDF</t>
  </si>
  <si>
    <t>ComplianceReportXML</t>
  </si>
  <si>
    <t>PromptUserUMLHWarning</t>
  </si>
  <si>
    <t>QuickAnalysis</t>
  </si>
  <si>
    <t>StandardModelTests2016\</t>
  </si>
  <si>
    <t>Std16</t>
  </si>
  <si>
    <t>OtherTests2016\</t>
  </si>
  <si>
    <t>RulesetImplementation2016Tests\</t>
  </si>
  <si>
    <t>SSTSG</t>
  </si>
  <si>
    <t>SSTDG</t>
  </si>
  <si>
    <t>0300006-OffMed-Baseline_NDL</t>
  </si>
  <si>
    <t>0300006-OffMed-SG-Baseline</t>
  </si>
  <si>
    <t>0300016-OffMed-Baseline_NDL</t>
  </si>
  <si>
    <t>0300016-OffMed-SG-Baseline</t>
  </si>
  <si>
    <t>0303216-OffMed-LightingLowLPD_NDL</t>
  </si>
  <si>
    <t>0303316-OffMed-LightingHighLPD_NDL</t>
  </si>
  <si>
    <t>0303406-OffMed-LightingLowLPD_NDL</t>
  </si>
  <si>
    <t>0303506-OffMed-LightingHighLPD_NDL</t>
  </si>
  <si>
    <t>0307216-OffMed-HVACPVAV Design_NDL</t>
  </si>
  <si>
    <t>0307316-OffMed-HVACPVAV SATControl_NDL</t>
  </si>
  <si>
    <t>0307516-OffMed-HVACPVAV EconomizerType_NDL</t>
  </si>
  <si>
    <t>0307606-OffMed-HVACPVAV Design_NDL</t>
  </si>
  <si>
    <t>0307706-OffMed-HVACPVAV SATControl_NDL</t>
  </si>
  <si>
    <t>0307906-OffMed-HVACPVAV EconomizerType_NDL</t>
  </si>
  <si>
    <t>0311816-OffMed-SG-WWR40</t>
  </si>
  <si>
    <t>0311916-OffMed-SG-WWR20</t>
  </si>
  <si>
    <t>0312006-OffMed-SG-WWR40</t>
  </si>
  <si>
    <t>0312106-OffMed-SG-WWR20</t>
  </si>
  <si>
    <t>0312316-OffMed-SG-WinUSHGC</t>
  </si>
  <si>
    <t>0312406-OffMed-SG-WinUSHGC</t>
  </si>
  <si>
    <t>0312616-OffMed-Plenum_NDL</t>
  </si>
  <si>
    <t>0312706-OffMed-Plenum_NDL</t>
  </si>
  <si>
    <t>0313516-OffMed-LabwExhDOAS_NDL</t>
  </si>
  <si>
    <t>0313606-OffMed-LabwExhDOAS_NDL</t>
  </si>
  <si>
    <t>0314116-OffMed-FanPwrBox_NDL</t>
  </si>
  <si>
    <t>0314206-OffMed-FanPwrBox_NDL</t>
  </si>
  <si>
    <t>0314716-OffMed-LabwExhPVAV_NDL</t>
  </si>
  <si>
    <t>0314806-OffMed-LabwExhPVAV_NDL</t>
  </si>
  <si>
    <t>0400006-OffLrg-Baserun_NDL</t>
  </si>
  <si>
    <t>0400006-OffLrg-CRAH_NDL</t>
  </si>
  <si>
    <t>0400016-OffLrg-Baserun_NDL</t>
  </si>
  <si>
    <t>0400016-OffLrg-CRAH_NDL</t>
  </si>
  <si>
    <t>0408416-OffLrg-HVACChillerCOP_NDL</t>
  </si>
  <si>
    <t>0408516-OffLrg-HVACChWdeltaT_NDL</t>
  </si>
  <si>
    <t>0408806-OffLrg-HVACChillerCOP_NDL</t>
  </si>
  <si>
    <t>0408906-OffLrg-HVACChWdeltaT_NDL</t>
  </si>
  <si>
    <t>0413216-OffLrg-CRAC_NDL</t>
  </si>
  <si>
    <t>0413306-OffLrg-CRAC_NDL</t>
  </si>
  <si>
    <t>0500006-RetlMed-Baseline_NDL</t>
  </si>
  <si>
    <t>0500006-RetlMed-SG-Baseline</t>
  </si>
  <si>
    <t>0500015-RetlMed-Baseline_NDL</t>
  </si>
  <si>
    <t>0500015-RetlMed-SG-Baseline</t>
  </si>
  <si>
    <t>0511015-RetlMed-SG-EnvRoofInsulation</t>
  </si>
  <si>
    <t>0511315-RetlMed-SG-EnvWallInsulation</t>
  </si>
  <si>
    <t>0511615-RetlMed-SG-SRR5</t>
  </si>
  <si>
    <t>0511806-RetlMed-SG-SRR5</t>
  </si>
  <si>
    <t>0511915-RetlMed-SG-SRR1</t>
  </si>
  <si>
    <t>0512106-RetlMed-SG-SRR1</t>
  </si>
  <si>
    <t>0512215-RetlMed-SG-SkyU</t>
  </si>
  <si>
    <t>0512406-RetlMed-SG-SkyU</t>
  </si>
  <si>
    <t>0512815-RetlMed-SZVAV_NDL</t>
  </si>
  <si>
    <t>0513006-RetlMed-SZVAV_NDL</t>
  </si>
  <si>
    <t>1000006-RetlStrp-BaselinePSZ_NDL</t>
  </si>
  <si>
    <t>1000006-RetlStrp-BaselinePTAC_NDL</t>
  </si>
  <si>
    <t>1000015-RetlStrp-BaselinePSZ_NDL</t>
  </si>
  <si>
    <t>1000015-RetlStrp-BaselinePTAC_NDL</t>
  </si>
  <si>
    <t>1009215-RetlStrp-HVACPSZ DXCOP_NDL</t>
  </si>
  <si>
    <t>1009315-RetlStrp-HVACPSZ HeatEff_NDL</t>
  </si>
  <si>
    <t>1009415-RetlStrp-HVACPSZ EconomizerControl_NDL</t>
  </si>
  <si>
    <t>1009806-RetlStrp-HVACPSZ DXCOP_NDL</t>
  </si>
  <si>
    <t>1009906-RetlStrp-HVACPSZ HeatEff_NDL</t>
  </si>
  <si>
    <t>1010006-RetlStrp-HVACPSZ EconomizerControl_NDL</t>
  </si>
  <si>
    <t>1010115-RetlStrp-HVACPTAC DXCOP_NDL</t>
  </si>
  <si>
    <t>1010306-RetlStrp-HVACPTAC DXCOP_NDL</t>
  </si>
  <si>
    <t>1010515-RetlStrp-FPFC_NDL</t>
  </si>
  <si>
    <t>1010606-RetlStrp-FPFC_NDL</t>
  </si>
  <si>
    <t>1013715-RetlStrp-EvapCooler_NDL</t>
  </si>
  <si>
    <t>1013906-RetlStrp-EvapCooler_NDL</t>
  </si>
  <si>
    <t>1014315-RetlStrp-WSHP_NDL</t>
  </si>
  <si>
    <t>1014506-RetlStrp-WSHP_NDL</t>
  </si>
  <si>
    <t>SoftwareSensitivity2016Tests\DetailedGeometry\</t>
  </si>
  <si>
    <t>SoftwareSensitivity2016Tests\SimplifiedGeometry\</t>
  </si>
  <si>
    <t>0315006-OffMed-SG-BotOpWinNoInterlock</t>
  </si>
  <si>
    <t>0315106-OffMed-SG-BotMidOpWinNoInterlock</t>
  </si>
  <si>
    <t>0315206-OffMed-SG-BotMidTopOpWinNoInterlock</t>
  </si>
  <si>
    <t>0315306-OffMed-SG-BotMidOpWinNoInterlockTopInterlock</t>
  </si>
  <si>
    <t>0415006-OffLrg-TES-ChlrPriority_NDL</t>
  </si>
  <si>
    <t>0415106-OffLrg-TES-StoPriority_NDL</t>
  </si>
  <si>
    <t>0415206-OffLrg-TES-StoTnkShp_NDL</t>
  </si>
  <si>
    <t>0415306-OffLrg-TES-StoTnkLoc_NDL</t>
  </si>
  <si>
    <t>0415406-OffLrg-TES-StoTnkRval_NDL</t>
  </si>
  <si>
    <t>0415506-OffLrg-TES-StoTnkVol_NDL</t>
  </si>
  <si>
    <t>0416006-OffLrg-ActiveBeam_NDL</t>
  </si>
  <si>
    <t>0416106-OffLrg-PassiveBeam_NDL</t>
  </si>
  <si>
    <t>0515015-RetlMed-SG-HPWtrHtrPckgdEF2x</t>
  </si>
  <si>
    <t>0515115-RetlMed-SG-HPWtrHtrPckgdEF3x</t>
  </si>
  <si>
    <t>0515215-RetlMed-SG-HPWtrHtrSplitTnkCprsrOut</t>
  </si>
  <si>
    <t>0515315-RetlMed-SG-HPWtrHtrSplitTnkOutCprsrIns</t>
  </si>
  <si>
    <t>0515415-RetlMed-SG-UEFConsumerStoGas</t>
  </si>
  <si>
    <t>0515515-RetlMed-SG-UEFConsumerInstGas</t>
  </si>
  <si>
    <t>0515615-RetlMed-SG-UEFConsumerStoElec</t>
  </si>
  <si>
    <t>0515715-RetlMed-SG-UEFConsumerInstElec</t>
  </si>
  <si>
    <t>0516015-RetlMed-SG-ExtWall-MtlFrmR0</t>
  </si>
  <si>
    <t>0516115-RetlMed-SG-ExtWall-WdFrmR0</t>
  </si>
  <si>
    <t>0516215-RetlMed-SG-ExtWall-MtlWallSingleLyrBatt-R10</t>
  </si>
  <si>
    <t>0516315-RetlMed-SG-ExtWall-MtlWallDoubleLyrBatt-R13-R13</t>
  </si>
  <si>
    <t>0517015-RetlMed-SG-MiniSplitAC-EER11.2</t>
  </si>
  <si>
    <t>0517115-RetlMed-SG-MiniSplitHP-COP3.3</t>
  </si>
  <si>
    <t>r5178_FinalRel-v3-SSTSG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</si>
</sst>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
    <numFmt numFmtId="165" formatCode="&quot;$&quot;#,##0"/>
  </numFmts>
  <fonts count="59" x14ac:knownFonts="1">
    <font>
      <sz val="11"/>
      <color theme="1"/>
      <name val="Calibri"/>
      <family val="2"/>
      <scheme val="minor"/>
    </font>
    <font>
      <sz val="11"/>
      <color theme="1"/>
      <name val="Arial"/>
      <family val="2"/>
    </font>
    <font>
      <b/>
      <sz val="11"/>
      <name val="Calibri"/>
      <family val="2"/>
      <scheme val="minor"/>
    </font>
    <font>
      <sz val="11"/>
      <name val="Calibri"/>
      <family val="2"/>
      <scheme val="minor"/>
    </font>
    <font>
      <b/>
      <sz val="11"/>
      <color rgb="FFFF0000"/>
      <name val="Calibri"/>
      <family val="2"/>
      <scheme val="minor"/>
    </font>
    <font>
      <sz val="8"/>
      <color indexed="81"/>
      <name val="Tahoma"/>
      <family val="2"/>
    </font>
    <font>
      <sz val="11"/>
      <color theme="1" tint="0.499984740745262"/>
      <name val="Calibri"/>
      <family val="2"/>
      <scheme val="minor"/>
    </font>
    <font>
      <sz val="11"/>
      <color theme="0" tint="-0.499984740745262"/>
      <name val="Calibri"/>
      <family val="2"/>
      <scheme val="minor"/>
    </font>
    <font>
      <sz val="11"/>
      <color rgb="FF3F3F76"/>
      <name val="Calibri"/>
      <family val="2"/>
      <scheme val="minor"/>
    </font>
    <font>
      <sz val="9"/>
      <color indexed="81"/>
      <name val="Tahoma"/>
      <family val="2"/>
    </font>
    <font>
      <sz val="11"/>
      <color theme="0" tint="-0.249977111117893"/>
      <name val="Calibri"/>
      <family val="2"/>
      <scheme val="minor"/>
    </font>
    <font>
      <sz val="11"/>
      <color theme="0" tint="-0.34998626667073579"/>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font>
    <font>
      <sz val="11"/>
      <color theme="1"/>
      <name val="Calibri"/>
      <family val="2"/>
      <scheme val="minor"/>
    </font>
    <font>
      <b/>
      <sz val="11"/>
      <color rgb="FF3F3F76"/>
      <name val="Calibri"/>
      <family val="2"/>
      <scheme val="minor"/>
    </font>
    <font>
      <sz val="10"/>
      <color theme="1"/>
      <name val="Calibri"/>
      <family val="2"/>
      <scheme val="minor"/>
    </font>
    <font>
      <sz val="10"/>
      <color theme="0" tint="-0.499984740745262"/>
      <name val="Calibri"/>
      <family val="2"/>
      <scheme val="minor"/>
    </font>
    <font>
      <sz val="10"/>
      <name val="Calibri"/>
      <family val="2"/>
      <scheme val="minor"/>
    </font>
    <font>
      <b/>
      <sz val="18"/>
      <color theme="3"/>
      <name val="Cambria"/>
      <family val="2"/>
      <scheme val="major"/>
    </font>
    <font>
      <b/>
      <sz val="15"/>
      <color theme="3"/>
      <name val="Arial"/>
      <family val="2"/>
    </font>
    <font>
      <b/>
      <sz val="13"/>
      <color theme="3"/>
      <name val="Arial"/>
      <family val="2"/>
    </font>
    <font>
      <b/>
      <sz val="11"/>
      <color theme="3"/>
      <name val="Arial"/>
      <family val="2"/>
    </font>
    <font>
      <sz val="11"/>
      <color rgb="FF006100"/>
      <name val="Arial"/>
      <family val="2"/>
    </font>
    <font>
      <sz val="11"/>
      <color rgb="FF9C0006"/>
      <name val="Arial"/>
      <family val="2"/>
    </font>
    <font>
      <sz val="11"/>
      <color rgb="FF9C6500"/>
      <name val="Arial"/>
      <family val="2"/>
    </font>
    <font>
      <b/>
      <sz val="11"/>
      <color rgb="FF3F3F3F"/>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10"/>
      <name val="Arial"/>
      <family val="2"/>
    </font>
    <font>
      <sz val="8"/>
      <name val="Arial"/>
      <family val="2"/>
    </font>
    <font>
      <u/>
      <sz val="11"/>
      <color theme="10"/>
      <name val="Calibri"/>
      <family val="2"/>
      <scheme val="minor"/>
    </font>
    <font>
      <u/>
      <sz val="10"/>
      <color indexed="12"/>
      <name val="Arial"/>
      <family val="2"/>
    </font>
    <font>
      <b/>
      <sz val="8"/>
      <name val="Arial"/>
      <family val="2"/>
    </font>
    <font>
      <i/>
      <sz val="8"/>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indexed="8"/>
      <name val="Calibri"/>
      <family val="2"/>
    </font>
    <font>
      <u/>
      <sz val="11"/>
      <color theme="10"/>
      <name val="Calibri"/>
      <family val="2"/>
    </font>
    <font>
      <sz val="8"/>
      <color indexed="8"/>
      <name val="MS Sans Serif"/>
      <family val="2"/>
    </font>
    <font>
      <u/>
      <sz val="9.35"/>
      <color theme="10"/>
      <name val="Calibri"/>
      <family val="2"/>
    </font>
    <font>
      <sz val="11"/>
      <color rgb="FF3F3F76"/>
      <name val="Arial"/>
      <family val="2"/>
    </font>
    <font>
      <b/>
      <sz val="11"/>
      <color rgb="FFFA7D00"/>
      <name val="Arial"/>
      <family val="2"/>
    </font>
  </fonts>
  <fills count="37">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8" tint="0.59999389629810485"/>
        <bgColor indexed="64"/>
      </patternFill>
    </fill>
    <fill>
      <patternFill patternType="solid">
        <fgColor rgb="FFF2F2F2"/>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2">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92">
    <xf numFmtId="0" fontId="0" fillId="0" borderId="0"/>
    <xf numFmtId="0" fontId="8" fillId="4" borderId="12" applyNumberFormat="0" applyAlignment="0" applyProtection="0"/>
    <xf numFmtId="0" fontId="12" fillId="7" borderId="12" applyNumberFormat="0" applyAlignment="0" applyProtection="0"/>
    <xf numFmtId="0" fontId="17" fillId="8" borderId="23" applyNumberFormat="0" applyFont="0" applyAlignment="0" applyProtection="0"/>
    <xf numFmtId="0" fontId="22" fillId="0" borderId="0" applyNumberFormat="0" applyFill="0" applyBorder="0" applyAlignment="0" applyProtection="0"/>
    <xf numFmtId="0" fontId="36" fillId="0" borderId="0"/>
    <xf numFmtId="164" fontId="37" fillId="0" borderId="0" applyFont="0" applyFill="0" applyBorder="0" applyAlignment="0" applyProtection="0">
      <alignment horizontal="right"/>
    </xf>
    <xf numFmtId="2" fontId="37" fillId="0" borderId="0" applyFont="0" applyFill="0" applyBorder="0" applyAlignment="0" applyProtection="0">
      <alignment horizontal="right"/>
    </xf>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3" fontId="37" fillId="0" borderId="0" applyFont="0" applyFill="0" applyBorder="0" applyAlignment="0" applyProtection="0">
      <alignment horizontal="right"/>
    </xf>
    <xf numFmtId="165" fontId="37" fillId="0" borderId="0"/>
    <xf numFmtId="0" fontId="38" fillId="0" borderId="0" applyNumberFormat="0" applyFill="0" applyBorder="0" applyAlignment="0" applyProtection="0"/>
    <xf numFmtId="0" fontId="39" fillId="0" borderId="0" applyNumberFormat="0" applyFill="0" applyBorder="0" applyAlignment="0" applyProtection="0">
      <alignment vertical="top"/>
      <protection locked="0"/>
    </xf>
    <xf numFmtId="0" fontId="36" fillId="0" borderId="0"/>
    <xf numFmtId="0" fontId="36" fillId="0" borderId="0"/>
    <xf numFmtId="0" fontId="36" fillId="0" borderId="0"/>
    <xf numFmtId="0" fontId="17" fillId="0" borderId="0"/>
    <xf numFmtId="0" fontId="17" fillId="0" borderId="0"/>
    <xf numFmtId="0" fontId="17" fillId="0" borderId="0"/>
    <xf numFmtId="0" fontId="17" fillId="0" borderId="0"/>
    <xf numFmtId="0" fontId="36" fillId="0" borderId="0"/>
    <xf numFmtId="0" fontId="17" fillId="0" borderId="0"/>
    <xf numFmtId="0" fontId="36" fillId="0" borderId="0"/>
    <xf numFmtId="0" fontId="36" fillId="0" borderId="0"/>
    <xf numFmtId="0" fontId="36" fillId="0" borderId="0"/>
    <xf numFmtId="0" fontId="17" fillId="8" borderId="23" applyNumberFormat="0" applyFont="0" applyAlignment="0" applyProtection="0"/>
    <xf numFmtId="0" fontId="40" fillId="0" borderId="1" applyFill="0" applyProtection="0">
      <alignment horizontal="right" wrapText="1"/>
    </xf>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17" fillId="0" borderId="0" applyFont="0" applyFill="0" applyBorder="0" applyAlignment="0" applyProtection="0"/>
    <xf numFmtId="0" fontId="41" fillId="0" borderId="0" applyFill="0" applyBorder="0" applyProtection="0">
      <alignment horizontal="left" wrapText="1"/>
    </xf>
    <xf numFmtId="0" fontId="19" fillId="0" borderId="0"/>
    <xf numFmtId="0" fontId="36" fillId="0" borderId="0"/>
    <xf numFmtId="9" fontId="36"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0" fontId="36" fillId="0" borderId="0"/>
    <xf numFmtId="9" fontId="36" fillId="0" borderId="0" applyFont="0" applyFill="0" applyBorder="0" applyAlignment="0" applyProtection="0"/>
    <xf numFmtId="0" fontId="17" fillId="0" borderId="0"/>
    <xf numFmtId="9" fontId="36"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0" fontId="17" fillId="0" borderId="0"/>
    <xf numFmtId="0" fontId="36" fillId="0" borderId="0"/>
    <xf numFmtId="0" fontId="36" fillId="0" borderId="0"/>
    <xf numFmtId="0" fontId="36" fillId="0" borderId="0"/>
    <xf numFmtId="0" fontId="36" fillId="0" borderId="0"/>
    <xf numFmtId="0" fontId="17" fillId="0" borderId="0"/>
    <xf numFmtId="9" fontId="36" fillId="0" borderId="0" applyFont="0" applyFill="0" applyBorder="0" applyAlignment="0" applyProtection="0"/>
    <xf numFmtId="0" fontId="42" fillId="0" borderId="25" applyNumberFormat="0" applyFill="0" applyAlignment="0" applyProtection="0"/>
    <xf numFmtId="0" fontId="43" fillId="0" borderId="26" applyNumberFormat="0" applyFill="0" applyAlignment="0" applyProtection="0"/>
    <xf numFmtId="0" fontId="44" fillId="0" borderId="27" applyNumberFormat="0" applyFill="0" applyAlignment="0" applyProtection="0"/>
    <xf numFmtId="0" fontId="44" fillId="0" borderId="0" applyNumberFormat="0" applyFill="0" applyBorder="0" applyAlignment="0" applyProtection="0"/>
    <xf numFmtId="0" fontId="45" fillId="9" borderId="0" applyNumberFormat="0" applyBorder="0" applyAlignment="0" applyProtection="0"/>
    <xf numFmtId="0" fontId="46" fillId="10" borderId="0" applyNumberFormat="0" applyBorder="0" applyAlignment="0" applyProtection="0"/>
    <xf numFmtId="0" fontId="47" fillId="11" borderId="0" applyNumberFormat="0" applyBorder="0" applyAlignment="0" applyProtection="0"/>
    <xf numFmtId="0" fontId="48" fillId="7" borderId="28" applyNumberFormat="0" applyAlignment="0" applyProtection="0"/>
    <xf numFmtId="0" fontId="49" fillId="0" borderId="29" applyNumberFormat="0" applyFill="0" applyAlignment="0" applyProtection="0"/>
    <xf numFmtId="0" fontId="50" fillId="12" borderId="30" applyNumberFormat="0" applyAlignment="0" applyProtection="0"/>
    <xf numFmtId="0" fontId="13" fillId="0" borderId="0" applyNumberFormat="0" applyFill="0" applyBorder="0" applyAlignment="0" applyProtection="0"/>
    <xf numFmtId="0" fontId="51" fillId="0" borderId="0" applyNumberFormat="0" applyFill="0" applyBorder="0" applyAlignment="0" applyProtection="0"/>
    <xf numFmtId="0" fontId="14" fillId="0" borderId="31" applyNumberFormat="0" applyFill="0" applyAlignment="0" applyProtection="0"/>
    <xf numFmtId="0" fontId="52"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52" fillId="36" borderId="0" applyNumberFormat="0" applyBorder="0" applyAlignment="0" applyProtection="0"/>
    <xf numFmtId="0" fontId="36" fillId="0" borderId="0"/>
    <xf numFmtId="0" fontId="36" fillId="0" borderId="0"/>
    <xf numFmtId="0" fontId="36"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36" fillId="0" borderId="0"/>
    <xf numFmtId="0" fontId="36" fillId="0" borderId="0"/>
    <xf numFmtId="0" fontId="36" fillId="0" borderId="0"/>
    <xf numFmtId="9" fontId="36" fillId="0" borderId="0" applyFont="0" applyFill="0" applyBorder="0" applyAlignment="0" applyProtection="0"/>
    <xf numFmtId="0" fontId="36" fillId="0" borderId="0"/>
    <xf numFmtId="0" fontId="36" fillId="0" borderId="0"/>
    <xf numFmtId="0" fontId="55" fillId="0" borderId="0" applyNumberFormat="0" applyFill="0" applyBorder="0" applyAlignment="0" applyProtection="0"/>
    <xf numFmtId="0" fontId="55" fillId="0" borderId="0" applyNumberFormat="0" applyFill="0" applyBorder="0" applyAlignment="0" applyProtection="0"/>
    <xf numFmtId="43" fontId="36"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43" fontId="55" fillId="0" borderId="0" applyFont="0" applyFill="0" applyBorder="0" applyAlignment="0" applyProtection="0"/>
    <xf numFmtId="43" fontId="36" fillId="0" borderId="0" applyFont="0" applyFill="0" applyBorder="0" applyAlignment="0" applyProtection="0"/>
    <xf numFmtId="43" fontId="36"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7" fillId="0" borderId="0"/>
    <xf numFmtId="0" fontId="36" fillId="0" borderId="0"/>
    <xf numFmtId="43" fontId="17" fillId="0" borderId="0" applyFont="0" applyFill="0" applyBorder="0" applyAlignment="0" applyProtection="0"/>
    <xf numFmtId="0" fontId="56"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0" fontId="36" fillId="0" borderId="0"/>
    <xf numFmtId="0" fontId="36" fillId="0" borderId="0"/>
    <xf numFmtId="0" fontId="36" fillId="0" borderId="0"/>
    <xf numFmtId="0" fontId="55" fillId="0" borderId="0" applyNumberFormat="0" applyFill="0" applyBorder="0" applyAlignment="0" applyProtection="0"/>
    <xf numFmtId="0" fontId="1" fillId="0" borderId="0"/>
    <xf numFmtId="0" fontId="1" fillId="0" borderId="0"/>
    <xf numFmtId="0" fontId="1" fillId="0" borderId="0"/>
    <xf numFmtId="0" fontId="36" fillId="0" borderId="0"/>
    <xf numFmtId="9" fontId="36" fillId="0" borderId="0" applyFont="0" applyFill="0" applyBorder="0" applyAlignment="0" applyProtection="0"/>
    <xf numFmtId="0" fontId="36" fillId="0" borderId="0"/>
    <xf numFmtId="0" fontId="36" fillId="0" borderId="0"/>
    <xf numFmtId="0" fontId="1" fillId="0" borderId="0"/>
    <xf numFmtId="0" fontId="23" fillId="0" borderId="25" applyNumberFormat="0" applyFill="0" applyAlignment="0" applyProtection="0"/>
    <xf numFmtId="0" fontId="24" fillId="0" borderId="26" applyNumberFormat="0" applyFill="0" applyAlignment="0" applyProtection="0"/>
    <xf numFmtId="0" fontId="25" fillId="0" borderId="27" applyNumberFormat="0" applyFill="0" applyAlignment="0" applyProtection="0"/>
    <xf numFmtId="0" fontId="25" fillId="0" borderId="0" applyNumberFormat="0" applyFill="0" applyBorder="0" applyAlignment="0" applyProtection="0"/>
    <xf numFmtId="0" fontId="26" fillId="9" borderId="0" applyNumberFormat="0" applyBorder="0" applyAlignment="0" applyProtection="0"/>
    <xf numFmtId="0" fontId="27" fillId="10" borderId="0" applyNumberFormat="0" applyBorder="0" applyAlignment="0" applyProtection="0"/>
    <xf numFmtId="0" fontId="28" fillId="11" borderId="0" applyNumberFormat="0" applyBorder="0" applyAlignment="0" applyProtection="0"/>
    <xf numFmtId="0" fontId="57" fillId="4" borderId="12" applyNumberFormat="0" applyAlignment="0" applyProtection="0"/>
    <xf numFmtId="0" fontId="29" fillId="7" borderId="28" applyNumberFormat="0" applyAlignment="0" applyProtection="0"/>
    <xf numFmtId="0" fontId="58" fillId="7" borderId="12" applyNumberFormat="0" applyAlignment="0" applyProtection="0"/>
    <xf numFmtId="0" fontId="30" fillId="0" borderId="29" applyNumberFormat="0" applyFill="0" applyAlignment="0" applyProtection="0"/>
    <xf numFmtId="0" fontId="31" fillId="12" borderId="30" applyNumberFormat="0" applyAlignment="0" applyProtection="0"/>
    <xf numFmtId="0" fontId="32" fillId="0" borderId="0" applyNumberFormat="0" applyFill="0" applyBorder="0" applyAlignment="0" applyProtection="0"/>
    <xf numFmtId="0" fontId="1" fillId="8" borderId="23" applyNumberFormat="0" applyFont="0" applyAlignment="0" applyProtection="0"/>
    <xf numFmtId="0" fontId="33" fillId="0" borderId="0" applyNumberFormat="0" applyFill="0" applyBorder="0" applyAlignment="0" applyProtection="0"/>
    <xf numFmtId="0" fontId="34" fillId="0" borderId="31" applyNumberFormat="0" applyFill="0" applyAlignment="0" applyProtection="0"/>
    <xf numFmtId="0" fontId="3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35" fillId="16" borderId="0" applyNumberFormat="0" applyBorder="0" applyAlignment="0" applyProtection="0"/>
    <xf numFmtId="0" fontId="3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35" fillId="20" borderId="0" applyNumberFormat="0" applyBorder="0" applyAlignment="0" applyProtection="0"/>
    <xf numFmtId="0" fontId="3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35" fillId="24" borderId="0" applyNumberFormat="0" applyBorder="0" applyAlignment="0" applyProtection="0"/>
    <xf numFmtId="0" fontId="3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35" fillId="28" borderId="0" applyNumberFormat="0" applyBorder="0" applyAlignment="0" applyProtection="0"/>
    <xf numFmtId="0" fontId="3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35" fillId="32" borderId="0" applyNumberFormat="0" applyBorder="0" applyAlignment="0" applyProtection="0"/>
    <xf numFmtId="0" fontId="3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35"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0" borderId="0"/>
    <xf numFmtId="9" fontId="36" fillId="0" borderId="0" applyFont="0" applyFill="0" applyBorder="0" applyAlignment="0" applyProtection="0"/>
    <xf numFmtId="0" fontId="36" fillId="0" borderId="0"/>
    <xf numFmtId="0" fontId="36"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7" fillId="0" borderId="0"/>
    <xf numFmtId="9" fontId="17" fillId="0" borderId="0" applyFont="0" applyFill="0" applyBorder="0" applyAlignment="0" applyProtection="0"/>
    <xf numFmtId="0" fontId="42" fillId="0" borderId="25" applyNumberFormat="0" applyFill="0" applyAlignment="0" applyProtection="0"/>
    <xf numFmtId="0" fontId="43" fillId="0" borderId="26" applyNumberFormat="0" applyFill="0" applyAlignment="0" applyProtection="0"/>
    <xf numFmtId="0" fontId="44" fillId="0" borderId="27" applyNumberFormat="0" applyFill="0" applyAlignment="0" applyProtection="0"/>
    <xf numFmtId="0" fontId="44" fillId="0" borderId="0" applyNumberFormat="0" applyFill="0" applyBorder="0" applyAlignment="0" applyProtection="0"/>
    <xf numFmtId="0" fontId="45" fillId="9" borderId="0" applyNumberFormat="0" applyBorder="0" applyAlignment="0" applyProtection="0"/>
    <xf numFmtId="0" fontId="46" fillId="10" borderId="0" applyNumberFormat="0" applyBorder="0" applyAlignment="0" applyProtection="0"/>
    <xf numFmtId="0" fontId="47" fillId="11" borderId="0" applyNumberFormat="0" applyBorder="0" applyAlignment="0" applyProtection="0"/>
    <xf numFmtId="0" fontId="8" fillId="4" borderId="12" applyNumberFormat="0" applyAlignment="0" applyProtection="0"/>
    <xf numFmtId="0" fontId="48" fillId="7" borderId="28" applyNumberFormat="0" applyAlignment="0" applyProtection="0"/>
    <xf numFmtId="0" fontId="12" fillId="7" borderId="12" applyNumberFormat="0" applyAlignment="0" applyProtection="0"/>
    <xf numFmtId="0" fontId="49" fillId="0" borderId="29" applyNumberFormat="0" applyFill="0" applyAlignment="0" applyProtection="0"/>
    <xf numFmtId="0" fontId="50" fillId="12" borderId="30" applyNumberFormat="0" applyAlignment="0" applyProtection="0"/>
    <xf numFmtId="0" fontId="13" fillId="0" borderId="0" applyNumberFormat="0" applyFill="0" applyBorder="0" applyAlignment="0" applyProtection="0"/>
    <xf numFmtId="0" fontId="17" fillId="8" borderId="23" applyNumberFormat="0" applyFont="0" applyAlignment="0" applyProtection="0"/>
    <xf numFmtId="0" fontId="51" fillId="0" borderId="0" applyNumberFormat="0" applyFill="0" applyBorder="0" applyAlignment="0" applyProtection="0"/>
    <xf numFmtId="0" fontId="14" fillId="0" borderId="31" applyNumberFormat="0" applyFill="0" applyAlignment="0" applyProtection="0"/>
    <xf numFmtId="0" fontId="52"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52" fillId="36" borderId="0" applyNumberFormat="0" applyBorder="0" applyAlignment="0" applyProtection="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7" fillId="0" borderId="0"/>
    <xf numFmtId="9" fontId="17" fillId="0" borderId="0" applyFont="0" applyFill="0" applyBorder="0" applyAlignment="0" applyProtection="0"/>
    <xf numFmtId="0" fontId="42" fillId="0" borderId="25" applyNumberFormat="0" applyFill="0" applyAlignment="0" applyProtection="0"/>
    <xf numFmtId="0" fontId="43" fillId="0" borderId="26" applyNumberFormat="0" applyFill="0" applyAlignment="0" applyProtection="0"/>
    <xf numFmtId="0" fontId="44" fillId="0" borderId="27" applyNumberFormat="0" applyFill="0" applyAlignment="0" applyProtection="0"/>
    <xf numFmtId="0" fontId="44" fillId="0" borderId="0" applyNumberFormat="0" applyFill="0" applyBorder="0" applyAlignment="0" applyProtection="0"/>
    <xf numFmtId="0" fontId="45" fillId="9" borderId="0" applyNumberFormat="0" applyBorder="0" applyAlignment="0" applyProtection="0"/>
    <xf numFmtId="0" fontId="46" fillId="10" borderId="0" applyNumberFormat="0" applyBorder="0" applyAlignment="0" applyProtection="0"/>
    <xf numFmtId="0" fontId="47" fillId="11" borderId="0" applyNumberFormat="0" applyBorder="0" applyAlignment="0" applyProtection="0"/>
    <xf numFmtId="0" fontId="8" fillId="4" borderId="12" applyNumberFormat="0" applyAlignment="0" applyProtection="0"/>
    <xf numFmtId="0" fontId="48" fillId="7" borderId="28" applyNumberFormat="0" applyAlignment="0" applyProtection="0"/>
    <xf numFmtId="0" fontId="12" fillId="7" borderId="12" applyNumberFormat="0" applyAlignment="0" applyProtection="0"/>
    <xf numFmtId="0" fontId="49" fillId="0" borderId="29" applyNumberFormat="0" applyFill="0" applyAlignment="0" applyProtection="0"/>
    <xf numFmtId="0" fontId="50" fillId="12" borderId="30" applyNumberFormat="0" applyAlignment="0" applyProtection="0"/>
    <xf numFmtId="0" fontId="13" fillId="0" borderId="0" applyNumberFormat="0" applyFill="0" applyBorder="0" applyAlignment="0" applyProtection="0"/>
    <xf numFmtId="0" fontId="17" fillId="8" borderId="23" applyNumberFormat="0" applyFont="0" applyAlignment="0" applyProtection="0"/>
    <xf numFmtId="0" fontId="51" fillId="0" borderId="0" applyNumberFormat="0" applyFill="0" applyBorder="0" applyAlignment="0" applyProtection="0"/>
    <xf numFmtId="0" fontId="14" fillId="0" borderId="31" applyNumberFormat="0" applyFill="0" applyAlignment="0" applyProtection="0"/>
    <xf numFmtId="0" fontId="52"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52" fillId="36" borderId="0" applyNumberFormat="0" applyBorder="0" applyAlignment="0" applyProtection="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8" borderId="23" applyNumberFormat="0" applyFont="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8" borderId="23" applyNumberFormat="0" applyFont="0" applyAlignment="0" applyProtection="0"/>
    <xf numFmtId="0" fontId="1" fillId="0" borderId="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100">
    <xf numFmtId="0" fontId="0" fillId="0" borderId="0" xfId="0"/>
    <xf numFmtId="0" fontId="0" fillId="0" borderId="0" xfId="0" applyFont="1"/>
    <xf numFmtId="0" fontId="0" fillId="0" borderId="1" xfId="0" applyFont="1" applyBorder="1"/>
    <xf numFmtId="0" fontId="0" fillId="2" borderId="2" xfId="0" applyFont="1" applyFill="1" applyBorder="1" applyAlignment="1">
      <alignment horizontal="center"/>
    </xf>
    <xf numFmtId="0" fontId="0" fillId="2" borderId="2" xfId="0" applyFont="1" applyFill="1" applyBorder="1"/>
    <xf numFmtId="0" fontId="2" fillId="0" borderId="0" xfId="0" applyFont="1"/>
    <xf numFmtId="0" fontId="0" fillId="0" borderId="3" xfId="0" applyFont="1" applyBorder="1"/>
    <xf numFmtId="0" fontId="0" fillId="0" borderId="3" xfId="0" applyFont="1" applyBorder="1" applyAlignment="1">
      <alignment horizontal="center" vertical="center"/>
    </xf>
    <xf numFmtId="0" fontId="0" fillId="0" borderId="1" xfId="0" applyFont="1" applyBorder="1" applyAlignment="1">
      <alignment horizontal="center" vertical="center"/>
    </xf>
    <xf numFmtId="0" fontId="3" fillId="3" borderId="0" xfId="0" applyFont="1" applyFill="1"/>
    <xf numFmtId="0" fontId="4" fillId="0" borderId="3" xfId="0" applyFont="1" applyBorder="1" applyAlignment="1">
      <alignment horizontal="center"/>
    </xf>
    <xf numFmtId="0" fontId="0" fillId="0" borderId="3" xfId="0" applyFont="1" applyBorder="1" applyAlignment="1">
      <alignment vertical="center"/>
    </xf>
    <xf numFmtId="0" fontId="0" fillId="0" borderId="1" xfId="0" applyFont="1" applyBorder="1" applyAlignment="1">
      <alignment vertical="center"/>
    </xf>
    <xf numFmtId="0" fontId="0" fillId="0" borderId="0" xfId="0" applyFont="1" applyAlignment="1">
      <alignment horizontal="center"/>
    </xf>
    <xf numFmtId="0" fontId="0" fillId="0" borderId="0" xfId="0" applyFont="1" applyAlignment="1">
      <alignment horizontal="right"/>
    </xf>
    <xf numFmtId="0" fontId="3" fillId="0" borderId="0" xfId="0" applyFont="1" applyFill="1" applyAlignment="1">
      <alignment horizontal="center"/>
    </xf>
    <xf numFmtId="0" fontId="0" fillId="0" borderId="0" xfId="0" applyFont="1" applyBorder="1"/>
    <xf numFmtId="0" fontId="0" fillId="0" borderId="4" xfId="0" applyFont="1" applyBorder="1" applyAlignment="1">
      <alignment vertical="center"/>
    </xf>
    <xf numFmtId="0" fontId="0" fillId="0" borderId="5" xfId="0"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10" xfId="0" applyFont="1" applyBorder="1" applyAlignment="1">
      <alignment horizontal="center" vertic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7" fillId="0" borderId="0" xfId="0" applyFont="1"/>
    <xf numFmtId="0" fontId="7" fillId="0" borderId="0" xfId="0" applyFont="1" applyAlignment="1">
      <alignment horizontal="center"/>
    </xf>
    <xf numFmtId="0" fontId="0" fillId="0" borderId="0" xfId="0" applyFont="1" applyFill="1"/>
    <xf numFmtId="0" fontId="6" fillId="3" borderId="0" xfId="0" applyFont="1" applyFill="1"/>
    <xf numFmtId="0" fontId="8" fillId="4" borderId="12" xfId="1"/>
    <xf numFmtId="0" fontId="3" fillId="5" borderId="11" xfId="0" applyFont="1" applyFill="1" applyBorder="1" applyAlignment="1">
      <alignment horizontal="center"/>
    </xf>
    <xf numFmtId="0" fontId="0" fillId="0" borderId="0" xfId="0" applyFont="1" applyFill="1" applyBorder="1"/>
    <xf numFmtId="0" fontId="10" fillId="0" borderId="0" xfId="0" applyFont="1"/>
    <xf numFmtId="0" fontId="8" fillId="4" borderId="12" xfId="1" applyAlignment="1">
      <alignment horizontal="left"/>
    </xf>
    <xf numFmtId="0" fontId="0" fillId="6" borderId="0" xfId="0" applyFont="1" applyFill="1" applyAlignment="1">
      <alignment horizontal="center"/>
    </xf>
    <xf numFmtId="0" fontId="0" fillId="6" borderId="0" xfId="0" applyFont="1" applyFill="1"/>
    <xf numFmtId="0" fontId="0" fillId="0" borderId="0" xfId="0" applyFont="1" applyFill="1" applyAlignment="1">
      <alignment horizontal="right"/>
    </xf>
    <xf numFmtId="0" fontId="8" fillId="4" borderId="12" xfId="1" applyAlignment="1">
      <alignment horizontal="center"/>
    </xf>
    <xf numFmtId="0" fontId="0" fillId="0" borderId="0" xfId="0" applyFont="1" applyAlignment="1">
      <alignment horizontal="right" indent="1"/>
    </xf>
    <xf numFmtId="0" fontId="0" fillId="0" borderId="0" xfId="0" applyFont="1" applyAlignment="1">
      <alignment horizontal="center"/>
    </xf>
    <xf numFmtId="0" fontId="11" fillId="3" borderId="0" xfId="0" applyFont="1" applyFill="1" applyAlignment="1">
      <alignment horizontal="center"/>
    </xf>
    <xf numFmtId="0" fontId="0" fillId="0" borderId="1" xfId="0" applyFont="1" applyBorder="1" applyAlignment="1">
      <alignment horizontal="center" vertical="center" wrapText="1"/>
    </xf>
    <xf numFmtId="0" fontId="0" fillId="0" borderId="0" xfId="0" applyFont="1" applyAlignment="1">
      <alignment horizontal="right" vertical="center"/>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vertical="center" wrapText="1"/>
    </xf>
    <xf numFmtId="0" fontId="3"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xf>
    <xf numFmtId="0" fontId="8" fillId="4" borderId="12" xfId="1" quotePrefix="1" applyAlignment="1">
      <alignment horizontal="left"/>
    </xf>
    <xf numFmtId="0" fontId="0" fillId="0" borderId="0" xfId="0" applyFont="1" applyAlignment="1">
      <alignment horizontal="center"/>
    </xf>
    <xf numFmtId="0" fontId="13" fillId="0" borderId="0" xfId="0" applyFont="1"/>
    <xf numFmtId="0" fontId="12" fillId="7" borderId="12" xfId="2" applyAlignment="1">
      <alignment horizontal="left"/>
    </xf>
    <xf numFmtId="0" fontId="12" fillId="7" borderId="12" xfId="2"/>
    <xf numFmtId="0" fontId="0" fillId="0" borderId="0" xfId="0" applyFont="1" applyAlignment="1">
      <alignment horizontal="center"/>
    </xf>
    <xf numFmtId="0" fontId="0" fillId="0" borderId="0" xfId="0" applyFont="1" applyBorder="1" applyAlignment="1">
      <alignment horizontal="center" vertical="center" wrapText="1"/>
    </xf>
    <xf numFmtId="0" fontId="8" fillId="4" borderId="13" xfId="1" applyBorder="1"/>
    <xf numFmtId="0" fontId="0" fillId="0" borderId="15" xfId="0" applyFont="1" applyBorder="1" applyAlignment="1">
      <alignment horizontal="center" vertical="center" textRotation="90" wrapText="1"/>
    </xf>
    <xf numFmtId="0" fontId="0" fillId="0" borderId="0" xfId="0" applyFont="1" applyBorder="1" applyAlignment="1">
      <alignment horizontal="center" vertical="center" textRotation="90" wrapText="1"/>
    </xf>
    <xf numFmtId="0" fontId="0" fillId="0" borderId="16" xfId="0" applyFont="1" applyBorder="1" applyAlignment="1">
      <alignment horizontal="center" vertical="center" textRotation="90" wrapText="1"/>
    </xf>
    <xf numFmtId="0" fontId="8" fillId="4" borderId="13" xfId="1" applyBorder="1" applyAlignment="1">
      <alignment horizontal="center"/>
    </xf>
    <xf numFmtId="0" fontId="10" fillId="0" borderId="0" xfId="0" applyFont="1" applyAlignment="1">
      <alignment vertical="center"/>
    </xf>
    <xf numFmtId="0" fontId="8" fillId="4" borderId="17" xfId="1" applyBorder="1" applyAlignment="1">
      <alignment horizontal="center"/>
    </xf>
    <xf numFmtId="0" fontId="8" fillId="4" borderId="19" xfId="1" applyBorder="1" applyAlignment="1">
      <alignment horizontal="center"/>
    </xf>
    <xf numFmtId="0" fontId="8" fillId="4" borderId="12" xfId="1" applyBorder="1" applyAlignment="1">
      <alignment horizontal="center"/>
    </xf>
    <xf numFmtId="0" fontId="8" fillId="4" borderId="18" xfId="1" applyBorder="1" applyAlignment="1">
      <alignment horizontal="center"/>
    </xf>
    <xf numFmtId="0" fontId="0" fillId="6" borderId="0" xfId="0" applyFont="1" applyFill="1" applyAlignment="1">
      <alignment horizontal="left"/>
    </xf>
    <xf numFmtId="0" fontId="0" fillId="0" borderId="14" xfId="0" applyFont="1" applyBorder="1" applyAlignment="1">
      <alignment horizontal="center" vertical="center" textRotation="90" wrapText="1"/>
    </xf>
    <xf numFmtId="0" fontId="0" fillId="0" borderId="3" xfId="0" applyFont="1" applyBorder="1" applyAlignment="1">
      <alignment horizontal="center" vertical="center" textRotation="90" wrapText="1"/>
    </xf>
    <xf numFmtId="0" fontId="3" fillId="0" borderId="3" xfId="0" applyFont="1" applyBorder="1" applyAlignment="1">
      <alignment horizontal="center" vertical="center" textRotation="90" wrapText="1"/>
    </xf>
    <xf numFmtId="0" fontId="0" fillId="0" borderId="0" xfId="0" applyFont="1" applyAlignment="1">
      <alignment horizontal="center"/>
    </xf>
    <xf numFmtId="0" fontId="0" fillId="0" borderId="0" xfId="0" applyFont="1" applyAlignment="1">
      <alignment horizontal="left"/>
    </xf>
    <xf numFmtId="0" fontId="14" fillId="0" borderId="0" xfId="0" applyFont="1" applyAlignment="1">
      <alignment horizontal="center"/>
    </xf>
    <xf numFmtId="0" fontId="12" fillId="7" borderId="19" xfId="2" applyBorder="1" applyAlignment="1">
      <alignment horizontal="center"/>
    </xf>
    <xf numFmtId="0" fontId="14" fillId="0" borderId="22" xfId="0" applyFont="1" applyBorder="1" applyAlignment="1">
      <alignment horizontal="center"/>
    </xf>
    <xf numFmtId="0" fontId="0" fillId="0" borderId="22" xfId="0" applyFont="1" applyBorder="1" applyAlignment="1">
      <alignment horizontal="center"/>
    </xf>
    <xf numFmtId="0" fontId="14" fillId="0" borderId="1" xfId="0" applyFont="1" applyBorder="1" applyAlignment="1">
      <alignment horizontal="center" vertical="center" wrapText="1"/>
    </xf>
    <xf numFmtId="0" fontId="0" fillId="0" borderId="0" xfId="0" applyFont="1" applyAlignment="1">
      <alignment horizontal="center"/>
    </xf>
    <xf numFmtId="0" fontId="18" fillId="8" borderId="23" xfId="3" applyFont="1" applyAlignment="1">
      <alignment horizontal="center"/>
    </xf>
    <xf numFmtId="0" fontId="18" fillId="8" borderId="24" xfId="3" applyFont="1" applyBorder="1" applyAlignment="1">
      <alignment horizontal="center"/>
    </xf>
    <xf numFmtId="0" fontId="3" fillId="0" borderId="22" xfId="0" applyFont="1" applyBorder="1" applyAlignment="1">
      <alignment horizontal="center" vertical="center" textRotation="90" wrapText="1"/>
    </xf>
    <xf numFmtId="0" fontId="3" fillId="0" borderId="21" xfId="0" applyFont="1" applyBorder="1" applyAlignment="1">
      <alignment horizontal="center" vertical="center" textRotation="90" wrapText="1"/>
    </xf>
    <xf numFmtId="0" fontId="19" fillId="0" borderId="0" xfId="0" applyFont="1"/>
    <xf numFmtId="0" fontId="20" fillId="0" borderId="0" xfId="0" applyFont="1" applyAlignment="1">
      <alignment horizontal="center"/>
    </xf>
    <xf numFmtId="0" fontId="19" fillId="0" borderId="3" xfId="0" applyFont="1" applyBorder="1" applyAlignment="1">
      <alignment horizontal="center" vertical="center"/>
    </xf>
    <xf numFmtId="0" fontId="19" fillId="0" borderId="1" xfId="0" applyFont="1" applyBorder="1" applyAlignment="1">
      <alignment horizontal="center" vertical="center"/>
    </xf>
    <xf numFmtId="0" fontId="21" fillId="3" borderId="0" xfId="0" applyFont="1" applyFill="1"/>
    <xf numFmtId="0" fontId="19" fillId="0" borderId="3" xfId="0" applyFont="1" applyBorder="1"/>
    <xf numFmtId="0" fontId="18" fillId="8" borderId="0" xfId="3" applyFont="1" applyBorder="1" applyAlignment="1">
      <alignment horizontal="center"/>
    </xf>
    <xf numFmtId="0" fontId="8" fillId="4" borderId="12" xfId="1"/>
    <xf numFmtId="0" fontId="8" fillId="4" borderId="12" xfId="1" applyAlignment="1">
      <alignment horizontal="left"/>
    </xf>
    <xf numFmtId="0" fontId="8" fillId="4" borderId="12" xfId="1" applyAlignment="1">
      <alignment horizontal="center"/>
    </xf>
    <xf numFmtId="0" fontId="8" fillId="4" borderId="13" xfId="1" applyBorder="1"/>
    <xf numFmtId="0" fontId="0" fillId="0" borderId="0" xfId="0" applyFont="1" applyAlignment="1">
      <alignment horizontal="center"/>
    </xf>
    <xf numFmtId="0" fontId="4" fillId="0" borderId="0" xfId="0" applyFont="1" applyAlignment="1">
      <alignment horizontal="center"/>
    </xf>
    <xf numFmtId="0" fontId="0" fillId="0" borderId="20" xfId="0" applyFont="1" applyBorder="1" applyAlignment="1">
      <alignment horizontal="center"/>
    </xf>
    <xf numFmtId="0" fontId="0" fillId="0" borderId="2" xfId="0" applyFont="1" applyBorder="1" applyAlignment="1">
      <alignment horizontal="center"/>
    </xf>
    <xf numFmtId="0" fontId="0" fillId="0" borderId="21" xfId="0" applyFont="1" applyBorder="1" applyAlignment="1">
      <alignment horizontal="center"/>
    </xf>
    <xf numFmtId="0" fontId="0" fillId="0" borderId="0" xfId="0" applyFont="1" applyAlignment="1">
      <alignment horizontal="center"/>
    </xf>
  </cellXfs>
  <cellStyles count="592">
    <cellStyle name="1" xfId="6"/>
    <cellStyle name="2" xfId="7"/>
    <cellStyle name="20% - Accent1 2" xfId="173"/>
    <cellStyle name="20% - Accent1 2 2" xfId="273"/>
    <cellStyle name="20% - Accent1 2 2 2" xfId="345"/>
    <cellStyle name="20% - Accent1 2 2 2 2" xfId="548"/>
    <cellStyle name="20% - Accent1 2 2 3" xfId="476"/>
    <cellStyle name="20% - Accent1 2 3" xfId="302"/>
    <cellStyle name="20% - Accent1 2 3 2" xfId="505"/>
    <cellStyle name="20% - Accent1 2 4" xfId="433"/>
    <cellStyle name="20% - Accent1 3" xfId="245"/>
    <cellStyle name="20% - Accent1 4" xfId="214"/>
    <cellStyle name="20% - Accent1 4 2" xfId="328"/>
    <cellStyle name="20% - Accent1 4 2 2" xfId="531"/>
    <cellStyle name="20% - Accent1 4 3" xfId="459"/>
    <cellStyle name="20% - Accent1 5" xfId="405"/>
    <cellStyle name="20% - Accent1 6" xfId="374"/>
    <cellStyle name="20% - Accent1 7" xfId="580"/>
    <cellStyle name="20% - Accent1 8" xfId="86"/>
    <cellStyle name="20% - Accent2 2" xfId="177"/>
    <cellStyle name="20% - Accent2 2 2" xfId="275"/>
    <cellStyle name="20% - Accent2 2 2 2" xfId="347"/>
    <cellStyle name="20% - Accent2 2 2 2 2" xfId="550"/>
    <cellStyle name="20% - Accent2 2 2 3" xfId="478"/>
    <cellStyle name="20% - Accent2 2 3" xfId="304"/>
    <cellStyle name="20% - Accent2 2 3 2" xfId="507"/>
    <cellStyle name="20% - Accent2 2 4" xfId="435"/>
    <cellStyle name="20% - Accent2 3" xfId="249"/>
    <cellStyle name="20% - Accent2 4" xfId="216"/>
    <cellStyle name="20% - Accent2 4 2" xfId="330"/>
    <cellStyle name="20% - Accent2 4 2 2" xfId="533"/>
    <cellStyle name="20% - Accent2 4 3" xfId="461"/>
    <cellStyle name="20% - Accent2 5" xfId="409"/>
    <cellStyle name="20% - Accent2 6" xfId="376"/>
    <cellStyle name="20% - Accent2 7" xfId="582"/>
    <cellStyle name="20% - Accent2 8" xfId="90"/>
    <cellStyle name="20% - Accent3 2" xfId="181"/>
    <cellStyle name="20% - Accent3 2 2" xfId="277"/>
    <cellStyle name="20% - Accent3 2 2 2" xfId="349"/>
    <cellStyle name="20% - Accent3 2 2 2 2" xfId="552"/>
    <cellStyle name="20% - Accent3 2 2 3" xfId="480"/>
    <cellStyle name="20% - Accent3 2 3" xfId="306"/>
    <cellStyle name="20% - Accent3 2 3 2" xfId="509"/>
    <cellStyle name="20% - Accent3 2 4" xfId="437"/>
    <cellStyle name="20% - Accent3 3" xfId="253"/>
    <cellStyle name="20% - Accent3 4" xfId="218"/>
    <cellStyle name="20% - Accent3 4 2" xfId="332"/>
    <cellStyle name="20% - Accent3 4 2 2" xfId="535"/>
    <cellStyle name="20% - Accent3 4 3" xfId="463"/>
    <cellStyle name="20% - Accent3 5" xfId="413"/>
    <cellStyle name="20% - Accent3 6" xfId="378"/>
    <cellStyle name="20% - Accent3 7" xfId="584"/>
    <cellStyle name="20% - Accent3 8" xfId="94"/>
    <cellStyle name="20% - Accent4 2" xfId="185"/>
    <cellStyle name="20% - Accent4 2 2" xfId="279"/>
    <cellStyle name="20% - Accent4 2 2 2" xfId="351"/>
    <cellStyle name="20% - Accent4 2 2 2 2" xfId="554"/>
    <cellStyle name="20% - Accent4 2 2 3" xfId="482"/>
    <cellStyle name="20% - Accent4 2 3" xfId="308"/>
    <cellStyle name="20% - Accent4 2 3 2" xfId="511"/>
    <cellStyle name="20% - Accent4 2 4" xfId="439"/>
    <cellStyle name="20% - Accent4 3" xfId="257"/>
    <cellStyle name="20% - Accent4 4" xfId="220"/>
    <cellStyle name="20% - Accent4 4 2" xfId="334"/>
    <cellStyle name="20% - Accent4 4 2 2" xfId="537"/>
    <cellStyle name="20% - Accent4 4 3" xfId="465"/>
    <cellStyle name="20% - Accent4 5" xfId="417"/>
    <cellStyle name="20% - Accent4 6" xfId="380"/>
    <cellStyle name="20% - Accent4 7" xfId="586"/>
    <cellStyle name="20% - Accent4 8" xfId="98"/>
    <cellStyle name="20% - Accent5 2" xfId="189"/>
    <cellStyle name="20% - Accent5 2 2" xfId="281"/>
    <cellStyle name="20% - Accent5 2 2 2" xfId="353"/>
    <cellStyle name="20% - Accent5 2 2 2 2" xfId="556"/>
    <cellStyle name="20% - Accent5 2 2 3" xfId="484"/>
    <cellStyle name="20% - Accent5 2 3" xfId="310"/>
    <cellStyle name="20% - Accent5 2 3 2" xfId="513"/>
    <cellStyle name="20% - Accent5 2 4" xfId="441"/>
    <cellStyle name="20% - Accent5 3" xfId="261"/>
    <cellStyle name="20% - Accent5 4" xfId="222"/>
    <cellStyle name="20% - Accent5 4 2" xfId="336"/>
    <cellStyle name="20% - Accent5 4 2 2" xfId="539"/>
    <cellStyle name="20% - Accent5 4 3" xfId="467"/>
    <cellStyle name="20% - Accent5 5" xfId="421"/>
    <cellStyle name="20% - Accent5 6" xfId="382"/>
    <cellStyle name="20% - Accent5 7" xfId="588"/>
    <cellStyle name="20% - Accent5 8" xfId="102"/>
    <cellStyle name="20% - Accent6 2" xfId="193"/>
    <cellStyle name="20% - Accent6 2 2" xfId="283"/>
    <cellStyle name="20% - Accent6 2 2 2" xfId="355"/>
    <cellStyle name="20% - Accent6 2 2 2 2" xfId="558"/>
    <cellStyle name="20% - Accent6 2 2 3" xfId="486"/>
    <cellStyle name="20% - Accent6 2 3" xfId="312"/>
    <cellStyle name="20% - Accent6 2 3 2" xfId="515"/>
    <cellStyle name="20% - Accent6 2 4" xfId="443"/>
    <cellStyle name="20% - Accent6 3" xfId="265"/>
    <cellStyle name="20% - Accent6 4" xfId="224"/>
    <cellStyle name="20% - Accent6 4 2" xfId="338"/>
    <cellStyle name="20% - Accent6 4 2 2" xfId="541"/>
    <cellStyle name="20% - Accent6 4 3" xfId="469"/>
    <cellStyle name="20% - Accent6 5" xfId="425"/>
    <cellStyle name="20% - Accent6 6" xfId="384"/>
    <cellStyle name="20% - Accent6 7" xfId="590"/>
    <cellStyle name="20% - Accent6 8" xfId="106"/>
    <cellStyle name="40% - Accent1 2" xfId="174"/>
    <cellStyle name="40% - Accent1 2 2" xfId="274"/>
    <cellStyle name="40% - Accent1 2 2 2" xfId="346"/>
    <cellStyle name="40% - Accent1 2 2 2 2" xfId="549"/>
    <cellStyle name="40% - Accent1 2 2 3" xfId="477"/>
    <cellStyle name="40% - Accent1 2 3" xfId="303"/>
    <cellStyle name="40% - Accent1 2 3 2" xfId="506"/>
    <cellStyle name="40% - Accent1 2 4" xfId="434"/>
    <cellStyle name="40% - Accent1 3" xfId="246"/>
    <cellStyle name="40% - Accent1 4" xfId="215"/>
    <cellStyle name="40% - Accent1 4 2" xfId="329"/>
    <cellStyle name="40% - Accent1 4 2 2" xfId="532"/>
    <cellStyle name="40% - Accent1 4 3" xfId="460"/>
    <cellStyle name="40% - Accent1 5" xfId="406"/>
    <cellStyle name="40% - Accent1 6" xfId="375"/>
    <cellStyle name="40% - Accent1 7" xfId="581"/>
    <cellStyle name="40% - Accent1 8" xfId="87"/>
    <cellStyle name="40% - Accent2 2" xfId="178"/>
    <cellStyle name="40% - Accent2 2 2" xfId="276"/>
    <cellStyle name="40% - Accent2 2 2 2" xfId="348"/>
    <cellStyle name="40% - Accent2 2 2 2 2" xfId="551"/>
    <cellStyle name="40% - Accent2 2 2 3" xfId="479"/>
    <cellStyle name="40% - Accent2 2 3" xfId="305"/>
    <cellStyle name="40% - Accent2 2 3 2" xfId="508"/>
    <cellStyle name="40% - Accent2 2 4" xfId="436"/>
    <cellStyle name="40% - Accent2 3" xfId="250"/>
    <cellStyle name="40% - Accent2 4" xfId="217"/>
    <cellStyle name="40% - Accent2 4 2" xfId="331"/>
    <cellStyle name="40% - Accent2 4 2 2" xfId="534"/>
    <cellStyle name="40% - Accent2 4 3" xfId="462"/>
    <cellStyle name="40% - Accent2 5" xfId="410"/>
    <cellStyle name="40% - Accent2 6" xfId="377"/>
    <cellStyle name="40% - Accent2 7" xfId="583"/>
    <cellStyle name="40% - Accent2 8" xfId="91"/>
    <cellStyle name="40% - Accent3 2" xfId="182"/>
    <cellStyle name="40% - Accent3 2 2" xfId="278"/>
    <cellStyle name="40% - Accent3 2 2 2" xfId="350"/>
    <cellStyle name="40% - Accent3 2 2 2 2" xfId="553"/>
    <cellStyle name="40% - Accent3 2 2 3" xfId="481"/>
    <cellStyle name="40% - Accent3 2 3" xfId="307"/>
    <cellStyle name="40% - Accent3 2 3 2" xfId="510"/>
    <cellStyle name="40% - Accent3 2 4" xfId="438"/>
    <cellStyle name="40% - Accent3 3" xfId="254"/>
    <cellStyle name="40% - Accent3 4" xfId="219"/>
    <cellStyle name="40% - Accent3 4 2" xfId="333"/>
    <cellStyle name="40% - Accent3 4 2 2" xfId="536"/>
    <cellStyle name="40% - Accent3 4 3" xfId="464"/>
    <cellStyle name="40% - Accent3 5" xfId="414"/>
    <cellStyle name="40% - Accent3 6" xfId="379"/>
    <cellStyle name="40% - Accent3 7" xfId="585"/>
    <cellStyle name="40% - Accent3 8" xfId="95"/>
    <cellStyle name="40% - Accent4 2" xfId="186"/>
    <cellStyle name="40% - Accent4 2 2" xfId="280"/>
    <cellStyle name="40% - Accent4 2 2 2" xfId="352"/>
    <cellStyle name="40% - Accent4 2 2 2 2" xfId="555"/>
    <cellStyle name="40% - Accent4 2 2 3" xfId="483"/>
    <cellStyle name="40% - Accent4 2 3" xfId="309"/>
    <cellStyle name="40% - Accent4 2 3 2" xfId="512"/>
    <cellStyle name="40% - Accent4 2 4" xfId="440"/>
    <cellStyle name="40% - Accent4 3" xfId="258"/>
    <cellStyle name="40% - Accent4 4" xfId="221"/>
    <cellStyle name="40% - Accent4 4 2" xfId="335"/>
    <cellStyle name="40% - Accent4 4 2 2" xfId="538"/>
    <cellStyle name="40% - Accent4 4 3" xfId="466"/>
    <cellStyle name="40% - Accent4 5" xfId="418"/>
    <cellStyle name="40% - Accent4 6" xfId="381"/>
    <cellStyle name="40% - Accent4 7" xfId="587"/>
    <cellStyle name="40% - Accent4 8" xfId="99"/>
    <cellStyle name="40% - Accent5 2" xfId="190"/>
    <cellStyle name="40% - Accent5 2 2" xfId="282"/>
    <cellStyle name="40% - Accent5 2 2 2" xfId="354"/>
    <cellStyle name="40% - Accent5 2 2 2 2" xfId="557"/>
    <cellStyle name="40% - Accent5 2 2 3" xfId="485"/>
    <cellStyle name="40% - Accent5 2 3" xfId="311"/>
    <cellStyle name="40% - Accent5 2 3 2" xfId="514"/>
    <cellStyle name="40% - Accent5 2 4" xfId="442"/>
    <cellStyle name="40% - Accent5 3" xfId="262"/>
    <cellStyle name="40% - Accent5 4" xfId="223"/>
    <cellStyle name="40% - Accent5 4 2" xfId="337"/>
    <cellStyle name="40% - Accent5 4 2 2" xfId="540"/>
    <cellStyle name="40% - Accent5 4 3" xfId="468"/>
    <cellStyle name="40% - Accent5 5" xfId="422"/>
    <cellStyle name="40% - Accent5 6" xfId="383"/>
    <cellStyle name="40% - Accent5 7" xfId="589"/>
    <cellStyle name="40% - Accent5 8" xfId="103"/>
    <cellStyle name="40% - Accent6 2" xfId="194"/>
    <cellStyle name="40% - Accent6 2 2" xfId="284"/>
    <cellStyle name="40% - Accent6 2 2 2" xfId="356"/>
    <cellStyle name="40% - Accent6 2 2 2 2" xfId="559"/>
    <cellStyle name="40% - Accent6 2 2 3" xfId="487"/>
    <cellStyle name="40% - Accent6 2 3" xfId="313"/>
    <cellStyle name="40% - Accent6 2 3 2" xfId="516"/>
    <cellStyle name="40% - Accent6 2 4" xfId="444"/>
    <cellStyle name="40% - Accent6 3" xfId="266"/>
    <cellStyle name="40% - Accent6 4" xfId="225"/>
    <cellStyle name="40% - Accent6 4 2" xfId="339"/>
    <cellStyle name="40% - Accent6 4 2 2" xfId="542"/>
    <cellStyle name="40% - Accent6 4 3" xfId="470"/>
    <cellStyle name="40% - Accent6 5" xfId="426"/>
    <cellStyle name="40% - Accent6 6" xfId="385"/>
    <cellStyle name="40% - Accent6 7" xfId="591"/>
    <cellStyle name="40% - Accent6 8" xfId="107"/>
    <cellStyle name="60% - Accent1 2" xfId="175"/>
    <cellStyle name="60% - Accent1 3" xfId="247"/>
    <cellStyle name="60% - Accent1 4" xfId="407"/>
    <cellStyle name="60% - Accent1 5" xfId="88"/>
    <cellStyle name="60% - Accent2 2" xfId="179"/>
    <cellStyle name="60% - Accent2 3" xfId="251"/>
    <cellStyle name="60% - Accent2 4" xfId="411"/>
    <cellStyle name="60% - Accent2 5" xfId="92"/>
    <cellStyle name="60% - Accent3 2" xfId="183"/>
    <cellStyle name="60% - Accent3 3" xfId="255"/>
    <cellStyle name="60% - Accent3 4" xfId="415"/>
    <cellStyle name="60% - Accent3 5" xfId="96"/>
    <cellStyle name="60% - Accent4 2" xfId="187"/>
    <cellStyle name="60% - Accent4 3" xfId="259"/>
    <cellStyle name="60% - Accent4 4" xfId="419"/>
    <cellStyle name="60% - Accent4 5" xfId="100"/>
    <cellStyle name="60% - Accent5 2" xfId="191"/>
    <cellStyle name="60% - Accent5 3" xfId="263"/>
    <cellStyle name="60% - Accent5 4" xfId="423"/>
    <cellStyle name="60% - Accent5 5" xfId="104"/>
    <cellStyle name="60% - Accent6 2" xfId="195"/>
    <cellStyle name="60% - Accent6 3" xfId="267"/>
    <cellStyle name="60% - Accent6 4" xfId="427"/>
    <cellStyle name="60% - Accent6 5" xfId="108"/>
    <cellStyle name="Accent1 2" xfId="172"/>
    <cellStyle name="Accent1 3" xfId="244"/>
    <cellStyle name="Accent1 4" xfId="404"/>
    <cellStyle name="Accent1 5" xfId="85"/>
    <cellStyle name="Accent2 2" xfId="176"/>
    <cellStyle name="Accent2 3" xfId="248"/>
    <cellStyle name="Accent2 4" xfId="408"/>
    <cellStyle name="Accent2 5" xfId="89"/>
    <cellStyle name="Accent3 2" xfId="180"/>
    <cellStyle name="Accent3 3" xfId="252"/>
    <cellStyle name="Accent3 4" xfId="412"/>
    <cellStyle name="Accent3 5" xfId="93"/>
    <cellStyle name="Accent4 2" xfId="184"/>
    <cellStyle name="Accent4 3" xfId="256"/>
    <cellStyle name="Accent4 4" xfId="416"/>
    <cellStyle name="Accent4 5" xfId="97"/>
    <cellStyle name="Accent5 2" xfId="188"/>
    <cellStyle name="Accent5 3" xfId="260"/>
    <cellStyle name="Accent5 4" xfId="420"/>
    <cellStyle name="Accent5 5" xfId="101"/>
    <cellStyle name="Accent6 2" xfId="192"/>
    <cellStyle name="Accent6 3" xfId="264"/>
    <cellStyle name="Accent6 4" xfId="424"/>
    <cellStyle name="Accent6 5" xfId="105"/>
    <cellStyle name="Bad 2" xfId="161"/>
    <cellStyle name="Bad 3" xfId="233"/>
    <cellStyle name="Bad 4" xfId="393"/>
    <cellStyle name="Bad 5" xfId="77"/>
    <cellStyle name="Calculation" xfId="2" builtinId="22" customBuiltin="1"/>
    <cellStyle name="Calculation 2" xfId="165"/>
    <cellStyle name="Calculation 3" xfId="237"/>
    <cellStyle name="Calculation 4" xfId="397"/>
    <cellStyle name="Check Cell 2" xfId="167"/>
    <cellStyle name="Check Cell 3" xfId="239"/>
    <cellStyle name="Check Cell 4" xfId="399"/>
    <cellStyle name="Check Cell 5" xfId="81"/>
    <cellStyle name="Comma 2" xfId="8"/>
    <cellStyle name="Comma 2 2" xfId="9"/>
    <cellStyle name="Comma 2 3" xfId="10"/>
    <cellStyle name="Comma 2 4" xfId="134"/>
    <cellStyle name="Comma 3" xfId="11"/>
    <cellStyle name="Comma 4" xfId="135"/>
    <cellStyle name="Comma 5" xfId="136"/>
    <cellStyle name="Comma 6" xfId="141"/>
    <cellStyle name="Comma 7" xfId="131"/>
    <cellStyle name="CommaSimple" xfId="12"/>
    <cellStyle name="Currency Simple" xfId="13"/>
    <cellStyle name="Explanatory Text 2" xfId="170"/>
    <cellStyle name="Explanatory Text 3" xfId="242"/>
    <cellStyle name="Explanatory Text 4" xfId="402"/>
    <cellStyle name="Explanatory Text 5" xfId="83"/>
    <cellStyle name="Good 2" xfId="160"/>
    <cellStyle name="Good 3" xfId="232"/>
    <cellStyle name="Good 4" xfId="392"/>
    <cellStyle name="Good 5" xfId="76"/>
    <cellStyle name="Heading 1 2" xfId="156"/>
    <cellStyle name="Heading 1 3" xfId="228"/>
    <cellStyle name="Heading 1 4" xfId="388"/>
    <cellStyle name="Heading 1 5" xfId="72"/>
    <cellStyle name="Heading 2 2" xfId="157"/>
    <cellStyle name="Heading 2 3" xfId="229"/>
    <cellStyle name="Heading 2 4" xfId="389"/>
    <cellStyle name="Heading 2 5" xfId="73"/>
    <cellStyle name="Heading 3 2" xfId="158"/>
    <cellStyle name="Heading 3 3" xfId="230"/>
    <cellStyle name="Heading 3 4" xfId="390"/>
    <cellStyle name="Heading 3 5" xfId="74"/>
    <cellStyle name="Heading 4 2" xfId="159"/>
    <cellStyle name="Heading 4 3" xfId="231"/>
    <cellStyle name="Heading 4 4" xfId="391"/>
    <cellStyle name="Heading 4 5" xfId="75"/>
    <cellStyle name="Hyperlink 2" xfId="14"/>
    <cellStyle name="Hyperlink 2 2" xfId="143"/>
    <cellStyle name="Hyperlink 3" xfId="15"/>
    <cellStyle name="Hyperlink 4" xfId="142"/>
    <cellStyle name="Input" xfId="1" builtinId="20" customBuiltin="1"/>
    <cellStyle name="Input 2" xfId="163"/>
    <cellStyle name="Input 3" xfId="235"/>
    <cellStyle name="Input 4" xfId="395"/>
    <cellStyle name="Linked Cell 2" xfId="166"/>
    <cellStyle name="Linked Cell 3" xfId="238"/>
    <cellStyle name="Linked Cell 4" xfId="398"/>
    <cellStyle name="Linked Cell 5" xfId="80"/>
    <cellStyle name="Neutral 2" xfId="162"/>
    <cellStyle name="Neutral 3" xfId="234"/>
    <cellStyle name="Neutral 4" xfId="394"/>
    <cellStyle name="Neutral 5" xfId="78"/>
    <cellStyle name="Normal" xfId="0" builtinId="0"/>
    <cellStyle name="Normal 10" xfId="67"/>
    <cellStyle name="Normal 10 2" xfId="110"/>
    <cellStyle name="Normal 10 3" xfId="128"/>
    <cellStyle name="Normal 10 3 2" xfId="209"/>
    <cellStyle name="Normal 10 3 3" xfId="154"/>
    <cellStyle name="Normal 10_Results" xfId="111"/>
    <cellStyle name="Normal 11" xfId="155"/>
    <cellStyle name="Normal 11 2" xfId="271"/>
    <cellStyle name="Normal 11 2 2" xfId="343"/>
    <cellStyle name="Normal 11 2 2 2" xfId="546"/>
    <cellStyle name="Normal 11 2 3" xfId="474"/>
    <cellStyle name="Normal 11 3" xfId="300"/>
    <cellStyle name="Normal 11 3 2" xfId="503"/>
    <cellStyle name="Normal 11 4" xfId="431"/>
    <cellStyle name="Normal 12" xfId="196"/>
    <cellStyle name="Normal 12 2" xfId="285"/>
    <cellStyle name="Normal 12 2 2" xfId="357"/>
    <cellStyle name="Normal 12 2 2 2" xfId="560"/>
    <cellStyle name="Normal 12 2 3" xfId="488"/>
    <cellStyle name="Normal 12 3" xfId="314"/>
    <cellStyle name="Normal 12 3 2" xfId="517"/>
    <cellStyle name="Normal 12 4" xfId="445"/>
    <cellStyle name="Normal 13" xfId="197"/>
    <cellStyle name="Normal 13 2" xfId="286"/>
    <cellStyle name="Normal 13 2 2" xfId="358"/>
    <cellStyle name="Normal 13 2 2 2" xfId="561"/>
    <cellStyle name="Normal 13 2 3" xfId="489"/>
    <cellStyle name="Normal 13 3" xfId="315"/>
    <cellStyle name="Normal 13 3 2" xfId="518"/>
    <cellStyle name="Normal 13 4" xfId="446"/>
    <cellStyle name="Normal 14" xfId="198"/>
    <cellStyle name="Normal 14 2" xfId="287"/>
    <cellStyle name="Normal 14 2 2" xfId="359"/>
    <cellStyle name="Normal 14 2 2 2" xfId="562"/>
    <cellStyle name="Normal 14 2 3" xfId="490"/>
    <cellStyle name="Normal 14 3" xfId="316"/>
    <cellStyle name="Normal 14 3 2" xfId="519"/>
    <cellStyle name="Normal 14 4" xfId="447"/>
    <cellStyle name="Normal 15" xfId="200"/>
    <cellStyle name="Normal 15 2" xfId="289"/>
    <cellStyle name="Normal 15 2 2" xfId="361"/>
    <cellStyle name="Normal 15 2 2 2" xfId="564"/>
    <cellStyle name="Normal 15 2 3" xfId="492"/>
    <cellStyle name="Normal 15 3" xfId="318"/>
    <cellStyle name="Normal 15 3 2" xfId="521"/>
    <cellStyle name="Normal 15 4" xfId="449"/>
    <cellStyle name="Normal 16" xfId="202"/>
    <cellStyle name="Normal 16 2" xfId="291"/>
    <cellStyle name="Normal 16 2 2" xfId="363"/>
    <cellStyle name="Normal 16 2 2 2" xfId="566"/>
    <cellStyle name="Normal 16 2 3" xfId="494"/>
    <cellStyle name="Normal 16 3" xfId="320"/>
    <cellStyle name="Normal 16 3 2" xfId="523"/>
    <cellStyle name="Normal 16 4" xfId="451"/>
    <cellStyle name="Normal 17" xfId="199"/>
    <cellStyle name="Normal 17 2" xfId="288"/>
    <cellStyle name="Normal 17 2 2" xfId="360"/>
    <cellStyle name="Normal 17 2 2 2" xfId="563"/>
    <cellStyle name="Normal 17 2 3" xfId="491"/>
    <cellStyle name="Normal 17 3" xfId="317"/>
    <cellStyle name="Normal 17 3 2" xfId="520"/>
    <cellStyle name="Normal 17 4" xfId="448"/>
    <cellStyle name="Normal 18" xfId="204"/>
    <cellStyle name="Normal 18 2" xfId="293"/>
    <cellStyle name="Normal 18 2 2" xfId="365"/>
    <cellStyle name="Normal 18 2 2 2" xfId="568"/>
    <cellStyle name="Normal 18 2 3" xfId="496"/>
    <cellStyle name="Normal 18 3" xfId="322"/>
    <cellStyle name="Normal 18 3 2" xfId="525"/>
    <cellStyle name="Normal 18 4" xfId="453"/>
    <cellStyle name="Normal 19" xfId="203"/>
    <cellStyle name="Normal 19 2" xfId="292"/>
    <cellStyle name="Normal 19 2 2" xfId="364"/>
    <cellStyle name="Normal 19 2 2 2" xfId="567"/>
    <cellStyle name="Normal 19 2 3" xfId="495"/>
    <cellStyle name="Normal 19 3" xfId="321"/>
    <cellStyle name="Normal 19 3 2" xfId="524"/>
    <cellStyle name="Normal 19 4" xfId="452"/>
    <cellStyle name="Normal 2" xfId="5"/>
    <cellStyle name="Normal 2 2" xfId="16"/>
    <cellStyle name="Normal 2 3" xfId="17"/>
    <cellStyle name="Normal 2 4" xfId="137"/>
    <cellStyle name="Normal 2_AEDG50_HotelSmall_Inputs" xfId="18"/>
    <cellStyle name="Normal 20" xfId="201"/>
    <cellStyle name="Normal 20 2" xfId="290"/>
    <cellStyle name="Normal 20 2 2" xfId="362"/>
    <cellStyle name="Normal 20 2 2 2" xfId="565"/>
    <cellStyle name="Normal 20 2 3" xfId="493"/>
    <cellStyle name="Normal 20 3" xfId="319"/>
    <cellStyle name="Normal 20 3 2" xfId="522"/>
    <cellStyle name="Normal 20 4" xfId="450"/>
    <cellStyle name="Normal 21" xfId="205"/>
    <cellStyle name="Normal 21 2" xfId="294"/>
    <cellStyle name="Normal 21 2 2" xfId="366"/>
    <cellStyle name="Normal 21 2 2 2" xfId="569"/>
    <cellStyle name="Normal 21 2 3" xfId="497"/>
    <cellStyle name="Normal 21 3" xfId="323"/>
    <cellStyle name="Normal 21 3 2" xfId="526"/>
    <cellStyle name="Normal 21 4" xfId="454"/>
    <cellStyle name="Normal 22" xfId="210"/>
    <cellStyle name="Normal 22 2" xfId="295"/>
    <cellStyle name="Normal 22 2 2" xfId="367"/>
    <cellStyle name="Normal 22 2 2 2" xfId="570"/>
    <cellStyle name="Normal 22 2 3" xfId="498"/>
    <cellStyle name="Normal 22 3" xfId="324"/>
    <cellStyle name="Normal 22 3 2" xfId="527"/>
    <cellStyle name="Normal 22 4" xfId="455"/>
    <cellStyle name="Normal 23" xfId="211"/>
    <cellStyle name="Normal 23 2" xfId="296"/>
    <cellStyle name="Normal 23 2 2" xfId="368"/>
    <cellStyle name="Normal 23 2 2 2" xfId="571"/>
    <cellStyle name="Normal 23 2 3" xfId="499"/>
    <cellStyle name="Normal 23 3" xfId="325"/>
    <cellStyle name="Normal 23 3 2" xfId="528"/>
    <cellStyle name="Normal 23 4" xfId="456"/>
    <cellStyle name="Normal 24" xfId="148"/>
    <cellStyle name="Normal 24 2" xfId="268"/>
    <cellStyle name="Normal 24 2 2" xfId="340"/>
    <cellStyle name="Normal 24 2 2 2" xfId="543"/>
    <cellStyle name="Normal 24 2 3" xfId="471"/>
    <cellStyle name="Normal 24 3" xfId="297"/>
    <cellStyle name="Normal 24 3 2" xfId="500"/>
    <cellStyle name="Normal 24 4" xfId="428"/>
    <cellStyle name="Normal 25" xfId="150"/>
    <cellStyle name="Normal 25 2" xfId="270"/>
    <cellStyle name="Normal 25 2 2" xfId="342"/>
    <cellStyle name="Normal 25 2 2 2" xfId="545"/>
    <cellStyle name="Normal 25 2 3" xfId="473"/>
    <cellStyle name="Normal 25 3" xfId="299"/>
    <cellStyle name="Normal 25 3 2" xfId="502"/>
    <cellStyle name="Normal 25 4" xfId="430"/>
    <cellStyle name="Normal 26" xfId="149"/>
    <cellStyle name="Normal 26 2" xfId="269"/>
    <cellStyle name="Normal 26 2 2" xfId="341"/>
    <cellStyle name="Normal 26 2 2 2" xfId="544"/>
    <cellStyle name="Normal 26 2 3" xfId="472"/>
    <cellStyle name="Normal 26 3" xfId="298"/>
    <cellStyle name="Normal 26 3 2" xfId="501"/>
    <cellStyle name="Normal 26 4" xfId="429"/>
    <cellStyle name="Normal 265" xfId="19"/>
    <cellStyle name="Normal 265 2" xfId="46"/>
    <cellStyle name="Normal 265 2 2" xfId="63"/>
    <cellStyle name="Normal 265 2_Results" xfId="113"/>
    <cellStyle name="Normal 265 3" xfId="56"/>
    <cellStyle name="Normal 265_Results" xfId="112"/>
    <cellStyle name="Normal 266" xfId="20"/>
    <cellStyle name="Normal 266 2" xfId="45"/>
    <cellStyle name="Normal 266 2 2" xfId="62"/>
    <cellStyle name="Normal 266 2_Results" xfId="115"/>
    <cellStyle name="Normal 266 3" xfId="55"/>
    <cellStyle name="Normal 266_Results" xfId="114"/>
    <cellStyle name="Normal 27" xfId="226"/>
    <cellStyle name="Normal 28" xfId="212"/>
    <cellStyle name="Normal 28 2" xfId="326"/>
    <cellStyle name="Normal 28 2 2" xfId="529"/>
    <cellStyle name="Normal 28 3" xfId="457"/>
    <cellStyle name="Normal 29" xfId="369"/>
    <cellStyle name="Normal 29 2" xfId="572"/>
    <cellStyle name="Normal 3" xfId="21"/>
    <cellStyle name="Normal 3 2" xfId="22"/>
    <cellStyle name="Normal 3 2 2" xfId="47"/>
    <cellStyle name="Normal 3 2 2 2" xfId="64"/>
    <cellStyle name="Normal 3 2 2_Results" xfId="118"/>
    <cellStyle name="Normal 3 2 3" xfId="57"/>
    <cellStyle name="Normal 3 2_Results" xfId="117"/>
    <cellStyle name="Normal 3 3" xfId="42"/>
    <cellStyle name="Normal 3 3 2" xfId="50"/>
    <cellStyle name="Normal 3 3 2 2" xfId="65"/>
    <cellStyle name="Normal 3 3 2_Results" xfId="120"/>
    <cellStyle name="Normal 3 3 3" xfId="58"/>
    <cellStyle name="Normal 3 3 4" xfId="138"/>
    <cellStyle name="Normal 3 3 5" xfId="129"/>
    <cellStyle name="Normal 3 3 6" xfId="130"/>
    <cellStyle name="Normal 3 3 7" xfId="132"/>
    <cellStyle name="Normal 3 3 8" xfId="147"/>
    <cellStyle name="Normal 3 3_Results" xfId="119"/>
    <cellStyle name="Normal 3 4" xfId="43"/>
    <cellStyle name="Normal 3 4 2" xfId="59"/>
    <cellStyle name="Normal 3 4_Results" xfId="121"/>
    <cellStyle name="Normal 3 5" xfId="52"/>
    <cellStyle name="Normal 3_Results" xfId="116"/>
    <cellStyle name="Normal 30" xfId="370"/>
    <cellStyle name="Normal 30 2" xfId="573"/>
    <cellStyle name="Normal 31" xfId="371"/>
    <cellStyle name="Normal 31 2" xfId="574"/>
    <cellStyle name="Normal 32" xfId="386"/>
    <cellStyle name="Normal 33" xfId="575"/>
    <cellStyle name="Normal 34" xfId="372"/>
    <cellStyle name="Normal 35" xfId="576"/>
    <cellStyle name="Normal 36" xfId="579"/>
    <cellStyle name="Normal 37" xfId="577"/>
    <cellStyle name="Normal 4" xfId="23"/>
    <cellStyle name="Normal 4 2" xfId="24"/>
    <cellStyle name="Normal 4 2 2" xfId="60"/>
    <cellStyle name="Normal 4 2_Results" xfId="122"/>
    <cellStyle name="Normal 4 3" xfId="53"/>
    <cellStyle name="Normal 4 3 2" xfId="144"/>
    <cellStyle name="Normal 4 4" xfId="68"/>
    <cellStyle name="Normal 5" xfId="25"/>
    <cellStyle name="Normal 5 2" xfId="26"/>
    <cellStyle name="Normal 5 2 2" xfId="48"/>
    <cellStyle name="Normal 6" xfId="27"/>
    <cellStyle name="Normal 6 2" xfId="145"/>
    <cellStyle name="Normal 7" xfId="40"/>
    <cellStyle name="Normal 7 2" xfId="69"/>
    <cellStyle name="Normal 7 3" xfId="125"/>
    <cellStyle name="Normal 7 3 2" xfId="206"/>
    <cellStyle name="Normal 7 3 3" xfId="151"/>
    <cellStyle name="Normal 7 4" xfId="133"/>
    <cellStyle name="Normal 7_Results" xfId="123"/>
    <cellStyle name="Normal 8" xfId="70"/>
    <cellStyle name="Normal 8 2" xfId="146"/>
    <cellStyle name="Normal 8 3" xfId="140"/>
    <cellStyle name="Normal 9" xfId="66"/>
    <cellStyle name="Normal 9 2" xfId="109"/>
    <cellStyle name="Normal 9 3" xfId="127"/>
    <cellStyle name="Normal 9 3 2" xfId="139"/>
    <cellStyle name="Normal 9 3 3" xfId="208"/>
    <cellStyle name="Normal 9 3 4" xfId="153"/>
    <cellStyle name="Normal 9_Results" xfId="124"/>
    <cellStyle name="Note" xfId="3" builtinId="10" customBuiltin="1"/>
    <cellStyle name="Note 2" xfId="28"/>
    <cellStyle name="Note 3" xfId="169"/>
    <cellStyle name="Note 3 2" xfId="272"/>
    <cellStyle name="Note 3 2 2" xfId="344"/>
    <cellStyle name="Note 3 2 2 2" xfId="547"/>
    <cellStyle name="Note 3 2 3" xfId="475"/>
    <cellStyle name="Note 3 3" xfId="301"/>
    <cellStyle name="Note 3 3 2" xfId="504"/>
    <cellStyle name="Note 3 4" xfId="432"/>
    <cellStyle name="Note 4" xfId="241"/>
    <cellStyle name="Note 5" xfId="213"/>
    <cellStyle name="Note 5 2" xfId="327"/>
    <cellStyle name="Note 5 2 2" xfId="530"/>
    <cellStyle name="Note 5 3" xfId="458"/>
    <cellStyle name="Note 6" xfId="401"/>
    <cellStyle name="Note 7" xfId="373"/>
    <cellStyle name="Note 8" xfId="578"/>
    <cellStyle name="NumColmHd" xfId="29"/>
    <cellStyle name="Output 2" xfId="164"/>
    <cellStyle name="Output 3" xfId="236"/>
    <cellStyle name="Output 4" xfId="396"/>
    <cellStyle name="Output 5" xfId="79"/>
    <cellStyle name="Percent 10" xfId="387"/>
    <cellStyle name="Percent 2" xfId="30"/>
    <cellStyle name="Percent 2 2" xfId="31"/>
    <cellStyle name="Percent 2 3" xfId="32"/>
    <cellStyle name="Percent 3" xfId="33"/>
    <cellStyle name="Percent 4" xfId="34"/>
    <cellStyle name="Percent 4 2" xfId="35"/>
    <cellStyle name="Percent 5" xfId="36"/>
    <cellStyle name="Percent 6" xfId="37"/>
    <cellStyle name="Percent 6 2" xfId="44"/>
    <cellStyle name="Percent 6 2 2" xfId="61"/>
    <cellStyle name="Percent 6 3" xfId="54"/>
    <cellStyle name="Percent 7" xfId="41"/>
    <cellStyle name="Percent 7 2" xfId="49"/>
    <cellStyle name="Percent 8" xfId="51"/>
    <cellStyle name="Percent 8 2" xfId="71"/>
    <cellStyle name="Percent 8 3" xfId="126"/>
    <cellStyle name="Percent 8 3 2" xfId="207"/>
    <cellStyle name="Percent 8 3 3" xfId="152"/>
    <cellStyle name="Percent 9" xfId="227"/>
    <cellStyle name="RowLabel" xfId="38"/>
    <cellStyle name="Style 1" xfId="39"/>
    <cellStyle name="Title" xfId="4" builtinId="15" customBuiltin="1"/>
    <cellStyle name="Total 2" xfId="171"/>
    <cellStyle name="Total 3" xfId="243"/>
    <cellStyle name="Total 4" xfId="403"/>
    <cellStyle name="Total 5" xfId="84"/>
    <cellStyle name="Warning Text 2" xfId="168"/>
    <cellStyle name="Warning Text 3" xfId="240"/>
    <cellStyle name="Warning Text 4" xfId="400"/>
    <cellStyle name="Warning Text 5" xfId="82"/>
  </cellStyles>
  <dxfs count="86">
    <dxf>
      <font>
        <color rgb="FF9C0006"/>
      </font>
      <fill>
        <patternFill>
          <bgColor rgb="FFFFC7CE"/>
        </patternFill>
      </fill>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2</xdr:row>
          <xdr:rowOff>9525</xdr:rowOff>
        </xdr:from>
        <xdr:to>
          <xdr:col>13</xdr:col>
          <xdr:colOff>1704975</xdr:colOff>
          <xdr:row>4</xdr:row>
          <xdr:rowOff>9525</xdr:rowOff>
        </xdr:to>
        <xdr:sp macro="" textlink="">
          <xdr:nvSpPr>
            <xdr:cNvPr id="5158" name="Button 38" hidden="1">
              <a:extLst>
                <a:ext uri="{63B3BB69-23CF-44E3-9099-C40C66FF867C}">
                  <a14:compatExt spid="_x0000_s5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V403"/>
  <sheetViews>
    <sheetView tabSelected="1" zoomScale="70" zoomScaleNormal="70" workbookViewId="0">
      <pane ySplit="16" topLeftCell="A313" activePane="bottomLeft" state="frozen"/>
      <selection activeCell="M1" sqref="M1"/>
      <selection pane="bottomLeft" activeCell="M12" sqref="M12"/>
    </sheetView>
  </sheetViews>
  <sheetFormatPr defaultColWidth="9.140625" defaultRowHeight="15" outlineLevelRow="1" outlineLevelCol="1" x14ac:dyDescent="0.25"/>
  <cols>
    <col min="1" max="1" width="9.140625" style="1" customWidth="1"/>
    <col min="2" max="2" width="123.140625" style="1" hidden="1" customWidth="1" outlineLevel="1"/>
    <col min="3" max="3" width="83.140625" style="1" hidden="1" customWidth="1" outlineLevel="1"/>
    <col min="4" max="4" width="68.85546875" style="1" hidden="1" customWidth="1" outlineLevel="1"/>
    <col min="5" max="5" width="34.140625" style="1" hidden="1" customWidth="1" outlineLevel="1"/>
    <col min="6" max="8" width="8.7109375" style="1" hidden="1" customWidth="1" outlineLevel="1"/>
    <col min="9" max="9" width="11.42578125" style="1" hidden="1" customWidth="1" outlineLevel="1"/>
    <col min="10" max="10" width="255.5703125" style="83" hidden="1" customWidth="1" outlineLevel="1"/>
    <col min="11" max="11" width="6.140625" style="51" customWidth="1" collapsed="1"/>
    <col min="12" max="12" width="19.5703125" style="51" customWidth="1"/>
    <col min="13" max="13" width="62.28515625" style="51" customWidth="1"/>
    <col min="14" max="14" width="65.85546875" style="1" customWidth="1"/>
    <col min="15" max="15" width="57.85546875" style="1" customWidth="1"/>
    <col min="16" max="35" width="7.28515625" style="1" customWidth="1"/>
    <col min="36" max="40" width="5.85546875" style="1" customWidth="1"/>
    <col min="41" max="41" width="5.7109375" style="1" customWidth="1"/>
    <col min="42" max="44" width="5.85546875" style="1" customWidth="1"/>
    <col min="45" max="62" width="9.140625" style="31" hidden="1" customWidth="1" outlineLevel="1"/>
    <col min="63" max="63" width="14.42578125" style="31" hidden="1" customWidth="1" outlineLevel="1"/>
    <col min="64" max="64" width="15.5703125" style="31" hidden="1" customWidth="1" outlineLevel="1"/>
    <col min="65" max="73" width="9.140625" style="31" hidden="1" customWidth="1" outlineLevel="1"/>
    <col min="74" max="74" width="9.140625" style="31" collapsed="1"/>
    <col min="75" max="16384" width="9.140625" style="1"/>
  </cols>
  <sheetData>
    <row r="1" spans="1:74" x14ac:dyDescent="0.25">
      <c r="A1" s="5" t="s">
        <v>0</v>
      </c>
    </row>
    <row r="2" spans="1:74" x14ac:dyDescent="0.25">
      <c r="A2" s="1" t="s">
        <v>1</v>
      </c>
    </row>
    <row r="3" spans="1:74" x14ac:dyDescent="0.25">
      <c r="A3" s="1" t="s">
        <v>1</v>
      </c>
      <c r="B3" s="5" t="s">
        <v>2</v>
      </c>
      <c r="C3" s="1" t="s">
        <v>3</v>
      </c>
      <c r="L3" s="75" t="s">
        <v>143</v>
      </c>
      <c r="M3" s="64" t="s">
        <v>44</v>
      </c>
      <c r="O3" s="1">
        <f>213-L4</f>
        <v>117</v>
      </c>
    </row>
    <row r="4" spans="1:74" x14ac:dyDescent="0.25">
      <c r="A4" s="1" t="s">
        <v>1</v>
      </c>
      <c r="L4" s="76">
        <f>SUM(L17:L403)</f>
        <v>96</v>
      </c>
      <c r="M4" s="74" t="s">
        <v>144</v>
      </c>
    </row>
    <row r="5" spans="1:74" x14ac:dyDescent="0.25">
      <c r="A5" s="1" t="s">
        <v>1</v>
      </c>
    </row>
    <row r="6" spans="1:74" x14ac:dyDescent="0.25">
      <c r="A6" s="2" t="s">
        <v>1</v>
      </c>
      <c r="B6" s="2"/>
      <c r="C6" s="30"/>
      <c r="D6" s="30"/>
      <c r="E6" s="16"/>
      <c r="F6" s="16"/>
      <c r="G6" s="16"/>
      <c r="H6" s="16"/>
      <c r="L6" s="36" t="s">
        <v>157</v>
      </c>
      <c r="M6" s="71" t="s">
        <v>139</v>
      </c>
    </row>
    <row r="7" spans="1:74" x14ac:dyDescent="0.25">
      <c r="A7" s="1" t="s">
        <v>4</v>
      </c>
      <c r="B7" s="51" t="s">
        <v>18</v>
      </c>
      <c r="C7" s="30"/>
      <c r="D7" s="30"/>
      <c r="L7" s="37" t="s">
        <v>45</v>
      </c>
      <c r="M7" s="32">
        <v>171026</v>
      </c>
    </row>
    <row r="8" spans="1:74" x14ac:dyDescent="0.25">
      <c r="A8" s="1" t="s">
        <v>5</v>
      </c>
      <c r="B8" s="51" t="s">
        <v>19</v>
      </c>
      <c r="C8" s="30"/>
      <c r="D8" s="30"/>
      <c r="L8" s="14" t="s">
        <v>46</v>
      </c>
      <c r="M8" s="91" t="s">
        <v>260</v>
      </c>
    </row>
    <row r="9" spans="1:74" x14ac:dyDescent="0.25">
      <c r="A9" s="3">
        <v>2</v>
      </c>
      <c r="B9" s="4" t="str">
        <f>M10</f>
        <v>BatchResults_171026_r5178_FinalRel-v3-SSTSG.csv</v>
      </c>
      <c r="C9" s="30" t="s">
        <v>1</v>
      </c>
      <c r="D9" s="30"/>
      <c r="K9" s="78"/>
      <c r="L9" s="14" t="s">
        <v>148</v>
      </c>
      <c r="M9" s="54" t="str">
        <f>"BatchInput_"&amp;M7&amp;"_"&amp;M8&amp;".csv"</f>
        <v>BatchInput_171026_r5178_FinalRel-v3-SSTSG.csv</v>
      </c>
    </row>
    <row r="10" spans="1:74" x14ac:dyDescent="0.25">
      <c r="A10" s="1" t="s">
        <v>1</v>
      </c>
      <c r="D10" s="30"/>
      <c r="E10" s="30"/>
      <c r="F10" s="30"/>
      <c r="G10" s="30"/>
      <c r="H10" s="30"/>
      <c r="I10" s="26"/>
      <c r="L10" s="35" t="s">
        <v>39</v>
      </c>
      <c r="M10" s="54" t="str">
        <f>"BatchResults_"&amp;M7&amp;"_"&amp;M8&amp;".csv"</f>
        <v>BatchResults_171026_r5178_FinalRel-v3-SSTSG.csv</v>
      </c>
      <c r="N10" s="1" t="s">
        <v>48</v>
      </c>
    </row>
    <row r="11" spans="1:74" x14ac:dyDescent="0.25">
      <c r="A11" s="1" t="s">
        <v>1</v>
      </c>
      <c r="L11" s="14" t="s">
        <v>16</v>
      </c>
      <c r="M11" s="28" t="s">
        <v>156</v>
      </c>
      <c r="N11" s="1" t="s">
        <v>47</v>
      </c>
    </row>
    <row r="12" spans="1:74" x14ac:dyDescent="0.25">
      <c r="A12" s="1" t="s">
        <v>1</v>
      </c>
      <c r="L12" s="14" t="s">
        <v>17</v>
      </c>
      <c r="M12" s="54" t="str">
        <f>"BatchOut"&amp;"_"&amp;M7&amp;"_"&amp;M8&amp;"_"&amp;L6&amp;"\"</f>
        <v>BatchOut_171026_r5178_FinalRel-v3-SSTSG_Std16\</v>
      </c>
      <c r="N12" s="1" t="s">
        <v>47</v>
      </c>
      <c r="P12" s="1">
        <v>1</v>
      </c>
      <c r="Q12" s="1">
        <f>P12+1</f>
        <v>2</v>
      </c>
      <c r="R12" s="1">
        <f t="shared" ref="R12:AR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ref="AE12" si="1">AD12+1</f>
        <v>16</v>
      </c>
      <c r="AF12" s="1">
        <f t="shared" ref="AF12" si="2">AE12+1</f>
        <v>17</v>
      </c>
      <c r="AG12" s="1">
        <f t="shared" ref="AG12" si="3">AF12+1</f>
        <v>18</v>
      </c>
      <c r="AH12" s="1">
        <f t="shared" ref="AH12" si="4">AG12+1</f>
        <v>19</v>
      </c>
      <c r="AI12" s="1">
        <f t="shared" ref="AI12" si="5">AH12+1</f>
        <v>20</v>
      </c>
      <c r="AJ12" s="1">
        <f t="shared" ref="AJ12" si="6">AI12+1</f>
        <v>21</v>
      </c>
      <c r="AK12" s="1">
        <f t="shared" ref="AK12" si="7">AJ12+1</f>
        <v>22</v>
      </c>
      <c r="AL12" s="1">
        <f t="shared" ref="AL12" si="8">AK12+1</f>
        <v>23</v>
      </c>
      <c r="AM12" s="1">
        <f t="shared" ref="AM12" si="9">AL12+1</f>
        <v>24</v>
      </c>
      <c r="AN12" s="1">
        <f t="shared" ref="AN12" si="10">AM12+1</f>
        <v>25</v>
      </c>
      <c r="AO12" s="1">
        <f t="shared" ref="AO12" si="11">AN12+1</f>
        <v>26</v>
      </c>
      <c r="AP12" s="1">
        <f t="shared" ref="AP12" si="12">AO12+1</f>
        <v>27</v>
      </c>
      <c r="AQ12" s="1">
        <f t="shared" ref="AQ12" si="13">AP12+1</f>
        <v>28</v>
      </c>
      <c r="AR12" s="1">
        <f t="shared" si="0"/>
        <v>29</v>
      </c>
    </row>
    <row r="13" spans="1:74" x14ac:dyDescent="0.25">
      <c r="A13" s="1" t="s">
        <v>1</v>
      </c>
      <c r="L13" s="14" t="s">
        <v>42</v>
      </c>
      <c r="M13" s="54" t="str">
        <f>M12&amp;"XML\"</f>
        <v>BatchOut_171026_r5178_FinalRel-v3-SSTSG_Std16\XML\</v>
      </c>
      <c r="N13" s="1" t="s">
        <v>47</v>
      </c>
      <c r="P13" s="31" t="str">
        <f>P16&amp;","</f>
        <v>SimulationStorage,</v>
      </c>
      <c r="Q13" s="31" t="str">
        <f t="shared" ref="Q13:AE13" si="14">Q16&amp;","</f>
        <v>AnalysisStorage,</v>
      </c>
      <c r="R13" s="31" t="str">
        <f t="shared" si="14"/>
        <v>LogRuleEvaluation,</v>
      </c>
      <c r="S13" s="31" t="str">
        <f t="shared" si="14"/>
        <v>ParallelSimulations,</v>
      </c>
      <c r="T13" s="31" t="str">
        <f t="shared" si="14"/>
        <v>DurationStats,</v>
      </c>
      <c r="U13" s="31" t="str">
        <f t="shared" si="14"/>
        <v>AnalysisThruStep,</v>
      </c>
      <c r="V13" s="31" t="str">
        <f t="shared" si="14"/>
        <v>DontAbortOnErrorsThruStep,</v>
      </c>
      <c r="W13" s="31" t="str">
        <f t="shared" si="14"/>
        <v>BypassValidFileChecks,</v>
      </c>
      <c r="X13" s="31" t="str">
        <f t="shared" si="14"/>
        <v>BypassInputChecks,</v>
      </c>
      <c r="Y13" s="31" t="str">
        <f t="shared" si="14"/>
        <v>BypassUMLHChecks,</v>
      </c>
      <c r="Z13" s="31" t="str">
        <f t="shared" si="14"/>
        <v>BypassCheckSimRules,</v>
      </c>
      <c r="AA13" s="31" t="str">
        <f t="shared" si="14"/>
        <v>BypassCheckCodeRules,</v>
      </c>
      <c r="AB13" s="31" t="str">
        <f t="shared" si="14"/>
        <v>StoreResultsToModelInput,</v>
      </c>
      <c r="AC13" s="31" t="str">
        <f t="shared" si="14"/>
        <v>StoreBEMDetails,</v>
      </c>
      <c r="AD13" s="31" t="str">
        <f t="shared" si="14"/>
        <v>ModelRpt_ALL,</v>
      </c>
      <c r="AE13" s="31" t="str">
        <f t="shared" si="14"/>
        <v>ExportHourlyResults_All,</v>
      </c>
      <c r="AF13" s="31" t="str">
        <f t="shared" ref="AF13:AG13" si="15">AF16&amp;","</f>
        <v>ComplianceReportPDF,</v>
      </c>
      <c r="AG13" s="31" t="str">
        <f t="shared" si="15"/>
        <v>ComplianceReportXML,</v>
      </c>
      <c r="AH13" s="31" t="str">
        <f t="shared" ref="AH13:AI13" si="16">AH16&amp;","</f>
        <v>QuickAnalysis,</v>
      </c>
      <c r="AI13" s="31" t="str">
        <f t="shared" si="16"/>
        <v>PromptUserUMLHWarning,</v>
      </c>
      <c r="AJ13" s="31" t="str">
        <f>$AJ$15&amp;"_"&amp;AJ16&amp;","</f>
        <v>BypassOpenStudio_all,</v>
      </c>
      <c r="AK13" s="31" t="str">
        <f t="shared" ref="AK13:AR13" si="17">$AJ$15&amp;"_"&amp;AK16&amp;","</f>
        <v>BypassOpenStudio_zp,</v>
      </c>
      <c r="AL13" s="31" t="str">
        <f t="shared" si="17"/>
        <v>BypassOpenStudio_zb,</v>
      </c>
      <c r="AM13" s="31" t="str">
        <f t="shared" si="17"/>
        <v>BypassOpenStudio_ap,</v>
      </c>
      <c r="AN13" s="31" t="str">
        <f t="shared" si="17"/>
        <v>BypassOpenStudio_ab,</v>
      </c>
      <c r="AO13" s="31" t="str">
        <f t="shared" si="17"/>
        <v>BypassOpenStudio_zp,</v>
      </c>
      <c r="AP13" s="31" t="str">
        <f t="shared" si="17"/>
        <v>BypassOpenStudio_zb,</v>
      </c>
      <c r="AQ13" s="31" t="str">
        <f t="shared" si="17"/>
        <v>BypassOpenStudio_ap,</v>
      </c>
      <c r="AR13" s="31" t="str">
        <f t="shared" si="17"/>
        <v>BypassOpenStudio_ab,</v>
      </c>
    </row>
    <row r="14" spans="1:74" x14ac:dyDescent="0.25">
      <c r="A14" s="24" t="s">
        <v>25</v>
      </c>
      <c r="B14" s="25">
        <f>COLUMN()</f>
        <v>2</v>
      </c>
      <c r="C14" s="25">
        <f>COLUMN()</f>
        <v>3</v>
      </c>
      <c r="D14" s="25">
        <f>COLUMN()</f>
        <v>4</v>
      </c>
      <c r="E14" s="25">
        <f>COLUMN()</f>
        <v>5</v>
      </c>
      <c r="F14" s="25">
        <f>COLUMN()</f>
        <v>6</v>
      </c>
      <c r="G14" s="25">
        <f>COLUMN()</f>
        <v>7</v>
      </c>
      <c r="H14" s="25">
        <f>COLUMN()</f>
        <v>8</v>
      </c>
      <c r="I14" s="25">
        <f>COLUMN()</f>
        <v>9</v>
      </c>
      <c r="J14" s="84">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row>
    <row r="15" spans="1:74" x14ac:dyDescent="0.25">
      <c r="A15" s="11" t="s">
        <v>14</v>
      </c>
      <c r="B15" s="7" t="s">
        <v>6</v>
      </c>
      <c r="C15" s="7" t="s">
        <v>7</v>
      </c>
      <c r="D15" s="7" t="s">
        <v>40</v>
      </c>
      <c r="E15" s="7"/>
      <c r="F15" s="17" t="s">
        <v>21</v>
      </c>
      <c r="G15" s="7"/>
      <c r="H15" s="18"/>
      <c r="I15" s="7" t="s">
        <v>9</v>
      </c>
      <c r="J15" s="85" t="s">
        <v>12</v>
      </c>
      <c r="K15" s="14"/>
      <c r="L15" s="14"/>
      <c r="N15" s="73"/>
      <c r="O15" s="73"/>
      <c r="P15" s="55"/>
      <c r="Q15" s="55"/>
      <c r="AJ15" s="96" t="s">
        <v>33</v>
      </c>
      <c r="AK15" s="97"/>
      <c r="AL15" s="97"/>
      <c r="AM15" s="97"/>
      <c r="AN15" s="98"/>
      <c r="AO15" s="96" t="s">
        <v>136</v>
      </c>
      <c r="AP15" s="97"/>
      <c r="AQ15" s="97"/>
      <c r="AR15" s="98"/>
    </row>
    <row r="16" spans="1:74" s="46" customFormat="1" ht="148.5" customHeight="1" x14ac:dyDescent="0.25">
      <c r="A16" s="12" t="s">
        <v>15</v>
      </c>
      <c r="B16" s="8" t="s">
        <v>43</v>
      </c>
      <c r="C16" s="8" t="s">
        <v>8</v>
      </c>
      <c r="D16" s="8" t="s">
        <v>41</v>
      </c>
      <c r="E16" s="8" t="s">
        <v>20</v>
      </c>
      <c r="F16" s="19" t="s">
        <v>22</v>
      </c>
      <c r="G16" s="21" t="s">
        <v>23</v>
      </c>
      <c r="H16" s="20" t="s">
        <v>24</v>
      </c>
      <c r="I16" s="8" t="s">
        <v>10</v>
      </c>
      <c r="J16" s="86" t="s">
        <v>13</v>
      </c>
      <c r="K16" s="41"/>
      <c r="L16" s="43" t="s">
        <v>50</v>
      </c>
      <c r="M16" s="43" t="s">
        <v>145</v>
      </c>
      <c r="N16" s="77" t="s">
        <v>146</v>
      </c>
      <c r="O16" s="77" t="s">
        <v>147</v>
      </c>
      <c r="P16" s="68" t="s">
        <v>128</v>
      </c>
      <c r="Q16" s="69" t="s">
        <v>129</v>
      </c>
      <c r="R16" s="69" t="s">
        <v>28</v>
      </c>
      <c r="S16" s="69" t="s">
        <v>126</v>
      </c>
      <c r="T16" s="69" t="s">
        <v>127</v>
      </c>
      <c r="U16" s="69" t="s">
        <v>30</v>
      </c>
      <c r="V16" s="70" t="s">
        <v>49</v>
      </c>
      <c r="W16" s="69" t="s">
        <v>130</v>
      </c>
      <c r="X16" s="69" t="s">
        <v>31</v>
      </c>
      <c r="Y16" s="69" t="s">
        <v>32</v>
      </c>
      <c r="Z16" s="69" t="s">
        <v>36</v>
      </c>
      <c r="AA16" s="69" t="s">
        <v>37</v>
      </c>
      <c r="AB16" s="69" t="s">
        <v>137</v>
      </c>
      <c r="AC16" s="69" t="s">
        <v>38</v>
      </c>
      <c r="AD16" s="81" t="s">
        <v>69</v>
      </c>
      <c r="AE16" s="82" t="s">
        <v>151</v>
      </c>
      <c r="AF16" s="82" t="s">
        <v>152</v>
      </c>
      <c r="AG16" s="82" t="s">
        <v>153</v>
      </c>
      <c r="AH16" s="82" t="s">
        <v>155</v>
      </c>
      <c r="AI16" s="81" t="s">
        <v>154</v>
      </c>
      <c r="AJ16" s="58" t="s">
        <v>131</v>
      </c>
      <c r="AK16" s="59" t="s">
        <v>132</v>
      </c>
      <c r="AL16" s="59" t="s">
        <v>133</v>
      </c>
      <c r="AM16" s="59" t="s">
        <v>134</v>
      </c>
      <c r="AN16" s="60" t="s">
        <v>135</v>
      </c>
      <c r="AO16" s="59" t="s">
        <v>132</v>
      </c>
      <c r="AP16" s="59" t="s">
        <v>133</v>
      </c>
      <c r="AQ16" s="59" t="s">
        <v>134</v>
      </c>
      <c r="AR16" s="60" t="s">
        <v>135</v>
      </c>
      <c r="AS16" s="62">
        <v>1</v>
      </c>
      <c r="AT16" s="62">
        <f>AS16+1</f>
        <v>2</v>
      </c>
      <c r="AU16" s="62">
        <f t="shared" ref="AU16:BG16" si="18">AT16+1</f>
        <v>3</v>
      </c>
      <c r="AV16" s="62">
        <f t="shared" si="18"/>
        <v>4</v>
      </c>
      <c r="AW16" s="62">
        <f t="shared" si="18"/>
        <v>5</v>
      </c>
      <c r="AX16" s="62">
        <f t="shared" si="18"/>
        <v>6</v>
      </c>
      <c r="AY16" s="62">
        <f t="shared" si="18"/>
        <v>7</v>
      </c>
      <c r="AZ16" s="62">
        <f t="shared" si="18"/>
        <v>8</v>
      </c>
      <c r="BA16" s="62">
        <f t="shared" si="18"/>
        <v>9</v>
      </c>
      <c r="BB16" s="62">
        <f t="shared" si="18"/>
        <v>10</v>
      </c>
      <c r="BC16" s="62">
        <f t="shared" si="18"/>
        <v>11</v>
      </c>
      <c r="BD16" s="62">
        <f t="shared" si="18"/>
        <v>12</v>
      </c>
      <c r="BE16" s="62">
        <f t="shared" si="18"/>
        <v>13</v>
      </c>
      <c r="BF16" s="62">
        <f t="shared" si="18"/>
        <v>14</v>
      </c>
      <c r="BG16" s="62">
        <f t="shared" si="18"/>
        <v>15</v>
      </c>
      <c r="BH16" s="62">
        <f t="shared" ref="BH16" si="19">BG16+1</f>
        <v>16</v>
      </c>
      <c r="BI16" s="62">
        <f t="shared" ref="BI16" si="20">BH16+1</f>
        <v>17</v>
      </c>
      <c r="BJ16" s="62">
        <f t="shared" ref="BJ16" si="21">BI16+1</f>
        <v>18</v>
      </c>
      <c r="BK16" s="62">
        <f t="shared" ref="BK16" si="22">BJ16+1</f>
        <v>19</v>
      </c>
      <c r="BL16" s="62">
        <f t="shared" ref="BL16" si="23">BK16+1</f>
        <v>20</v>
      </c>
      <c r="BM16" s="62">
        <f t="shared" ref="BM16" si="24">BL16+1</f>
        <v>21</v>
      </c>
      <c r="BN16" s="62">
        <f t="shared" ref="BN16" si="25">BM16+1</f>
        <v>22</v>
      </c>
      <c r="BO16" s="62">
        <f t="shared" ref="BO16" si="26">BN16+1</f>
        <v>23</v>
      </c>
      <c r="BP16" s="62">
        <f t="shared" ref="BP16" si="27">BO16+1</f>
        <v>24</v>
      </c>
      <c r="BQ16" s="62">
        <f t="shared" ref="BQ16" si="28">BP16+1</f>
        <v>25</v>
      </c>
      <c r="BR16" s="62">
        <f t="shared" ref="BR16" si="29">BQ16+1</f>
        <v>26</v>
      </c>
      <c r="BS16" s="62">
        <f t="shared" ref="BS16" si="30">BR16+1</f>
        <v>27</v>
      </c>
      <c r="BT16" s="62">
        <f t="shared" ref="BT16" si="31">BS16+1</f>
        <v>28</v>
      </c>
      <c r="BU16" s="62">
        <f t="shared" ref="BU16" si="32">BT16+1</f>
        <v>29</v>
      </c>
      <c r="BV16" s="62"/>
    </row>
    <row r="17" spans="1:74" x14ac:dyDescent="0.25">
      <c r="A17" s="39">
        <f>L17</f>
        <v>0</v>
      </c>
      <c r="B17" s="27" t="str">
        <f xml:space="preserve"> M$11&amp;N17&amp;".cibd16"</f>
        <v>StandardModelTests2016\x.cibd16</v>
      </c>
      <c r="C17" s="27" t="str">
        <f xml:space="preserve"> M$12 &amp; O17 &amp; ".cibd16"</f>
        <v>BatchOut_171026_r5178_FinalRel-v3-SSTSG_Std16\x.cibd16</v>
      </c>
      <c r="D17" s="27" t="str">
        <f>$M$13</f>
        <v>BatchOut_171026_r5178_FinalRel-v3-SSTSG_Std16\XML\</v>
      </c>
      <c r="E17" s="9" t="str">
        <f>M17</f>
        <v>x</v>
      </c>
      <c r="F17" s="22"/>
      <c r="G17" s="29"/>
      <c r="H17" s="23"/>
      <c r="I17" s="9" t="s">
        <v>11</v>
      </c>
      <c r="J17" s="87" t="str">
        <f>CONCATENATE(AS17,AT17,AU17,AV17,AW17,AX17,AY17,AZ17,BA17,BB17,BC17,BD17,BE17,BF17,BG17,BH17,BI17,BJ17,BK17,BL17,BM17,BN17,BO17,BP17,BQ17,BR17,BS17,BT17,BU17)</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 s="15" t="s">
        <v>1</v>
      </c>
      <c r="L17" s="36">
        <v>0</v>
      </c>
      <c r="M17" s="32" t="str">
        <f>N17</f>
        <v>x</v>
      </c>
      <c r="N17" s="28" t="s">
        <v>149</v>
      </c>
      <c r="O17" s="57" t="str">
        <f>N17</f>
        <v>x</v>
      </c>
      <c r="P17" s="63">
        <v>1</v>
      </c>
      <c r="Q17" s="65">
        <v>1</v>
      </c>
      <c r="R17" s="65">
        <v>0</v>
      </c>
      <c r="S17" s="65">
        <v>1</v>
      </c>
      <c r="T17" s="65">
        <v>0</v>
      </c>
      <c r="U17" s="65">
        <v>8</v>
      </c>
      <c r="V17" s="65">
        <v>8</v>
      </c>
      <c r="W17" s="65">
        <v>1</v>
      </c>
      <c r="X17" s="65">
        <v>0</v>
      </c>
      <c r="Y17" s="65">
        <v>0</v>
      </c>
      <c r="Z17" s="65">
        <v>0</v>
      </c>
      <c r="AA17" s="65">
        <v>0</v>
      </c>
      <c r="AB17" s="65">
        <v>1</v>
      </c>
      <c r="AC17" s="79">
        <v>0</v>
      </c>
      <c r="AD17" s="80">
        <v>1</v>
      </c>
      <c r="AE17" s="80">
        <v>0</v>
      </c>
      <c r="AF17" s="80">
        <v>0</v>
      </c>
      <c r="AG17" s="80">
        <v>0</v>
      </c>
      <c r="AH17" s="80">
        <v>0</v>
      </c>
      <c r="AI17" s="89">
        <v>0</v>
      </c>
      <c r="AJ17" s="63">
        <v>0</v>
      </c>
      <c r="AK17" s="64">
        <v>0</v>
      </c>
      <c r="AL17" s="64">
        <v>0</v>
      </c>
      <c r="AM17" s="65">
        <v>0</v>
      </c>
      <c r="AN17" s="66">
        <v>0</v>
      </c>
      <c r="AO17" s="63">
        <f>IF(AJ17&gt;1,1,0)</f>
        <v>0</v>
      </c>
      <c r="AP17" s="64">
        <v>0</v>
      </c>
      <c r="AQ17" s="65">
        <f>IF(AM17&gt;1,1,0)</f>
        <v>0</v>
      </c>
      <c r="AR17" s="66">
        <f>IF(AN17&gt;1,1,0)</f>
        <v>0</v>
      </c>
      <c r="AS17" s="31" t="str">
        <f t="shared" ref="AS17:BB18" si="33">P$13&amp;P17&amp;","</f>
        <v>SimulationStorage,1,</v>
      </c>
      <c r="AT17" s="31" t="str">
        <f t="shared" si="33"/>
        <v>AnalysisStorage,1,</v>
      </c>
      <c r="AU17" s="31" t="str">
        <f t="shared" si="33"/>
        <v>LogRuleEvaluation,0,</v>
      </c>
      <c r="AV17" s="31" t="str">
        <f t="shared" si="33"/>
        <v>ParallelSimulations,1,</v>
      </c>
      <c r="AW17" s="31" t="str">
        <f t="shared" si="33"/>
        <v>DurationStats,0,</v>
      </c>
      <c r="AX17" s="31" t="str">
        <f t="shared" si="33"/>
        <v>AnalysisThruStep,8,</v>
      </c>
      <c r="AY17" s="31" t="str">
        <f t="shared" si="33"/>
        <v>DontAbortOnErrorsThruStep,8,</v>
      </c>
      <c r="AZ17" s="31" t="str">
        <f t="shared" si="33"/>
        <v>BypassValidFileChecks,1,</v>
      </c>
      <c r="BA17" s="31" t="str">
        <f t="shared" si="33"/>
        <v>BypassInputChecks,0,</v>
      </c>
      <c r="BB17" s="31" t="str">
        <f t="shared" si="33"/>
        <v>BypassUMLHChecks,0,</v>
      </c>
      <c r="BC17" s="31" t="str">
        <f t="shared" ref="BC17:BL18" si="34">Z$13&amp;Z17&amp;","</f>
        <v>BypassCheckSimRules,0,</v>
      </c>
      <c r="BD17" s="31" t="str">
        <f t="shared" si="34"/>
        <v>BypassCheckCodeRules,0,</v>
      </c>
      <c r="BE17" s="31" t="str">
        <f t="shared" si="34"/>
        <v>StoreResultsToModelInput,1,</v>
      </c>
      <c r="BF17" s="31" t="str">
        <f t="shared" si="34"/>
        <v>StoreBEMDetails,0,</v>
      </c>
      <c r="BG17" s="31" t="str">
        <f t="shared" si="34"/>
        <v>ModelRpt_ALL,1,</v>
      </c>
      <c r="BH17" s="31" t="str">
        <f t="shared" si="34"/>
        <v>ExportHourlyResults_All,0,</v>
      </c>
      <c r="BI17" s="31" t="str">
        <f t="shared" si="34"/>
        <v>ComplianceReportPDF,0,</v>
      </c>
      <c r="BJ17" s="31" t="str">
        <f t="shared" si="34"/>
        <v>ComplianceReportXML,0,</v>
      </c>
      <c r="BK17" s="31" t="str">
        <f t="shared" si="34"/>
        <v>QuickAnalysis,0,</v>
      </c>
      <c r="BL17" s="31" t="str">
        <f t="shared" si="34"/>
        <v>PromptUserUMLHWarning,0,</v>
      </c>
      <c r="BM17" s="31" t="str">
        <f t="shared" ref="BM17:BU18" si="35">AJ$13&amp;AJ17&amp;","</f>
        <v>BypassOpenStudio_all,0,</v>
      </c>
      <c r="BN17" s="31" t="str">
        <f t="shared" si="35"/>
        <v>BypassOpenStudio_zp,0,</v>
      </c>
      <c r="BO17" s="31" t="str">
        <f t="shared" si="35"/>
        <v>BypassOpenStudio_zb,0,</v>
      </c>
      <c r="BP17" s="31" t="str">
        <f t="shared" si="35"/>
        <v>BypassOpenStudio_ap,0,</v>
      </c>
      <c r="BQ17" s="31" t="str">
        <f t="shared" si="35"/>
        <v>BypassOpenStudio_ab,0,</v>
      </c>
      <c r="BR17" s="31" t="str">
        <f t="shared" si="35"/>
        <v>BypassOpenStudio_zp,0,</v>
      </c>
      <c r="BS17" s="31" t="str">
        <f t="shared" si="35"/>
        <v>BypassOpenStudio_zb,0,</v>
      </c>
      <c r="BT17" s="31" t="str">
        <f t="shared" si="35"/>
        <v>BypassOpenStudio_ap,0,</v>
      </c>
      <c r="BU17" s="31" t="str">
        <f t="shared" si="35"/>
        <v>BypassOpenStudio_ab,0,</v>
      </c>
    </row>
    <row r="18" spans="1:74" hidden="1" outlineLevel="1" x14ac:dyDescent="0.25">
      <c r="A18" s="39">
        <f t="shared" ref="A18:A31" si="36">L18</f>
        <v>0</v>
      </c>
      <c r="B18" s="27" t="str">
        <f t="shared" ref="B18:B31" si="37" xml:space="preserve"> M$11&amp;N18&amp;".cibd16"</f>
        <v>StandardModelTests2016\x.cibd16</v>
      </c>
      <c r="C18" s="27" t="str">
        <f t="shared" ref="C18:C31" si="38" xml:space="preserve"> M$12 &amp; O18 &amp; ".cibd16"</f>
        <v>BatchOut_171026_r5178_FinalRel-v3-SSTSG_Std16\x.cibd16</v>
      </c>
      <c r="D18" s="27" t="str">
        <f t="shared" ref="D18:D31" si="39">$M$13</f>
        <v>BatchOut_171026_r5178_FinalRel-v3-SSTSG_Std16\XML\</v>
      </c>
      <c r="E18" s="9" t="str">
        <f t="shared" ref="E18:E31" si="40">M18</f>
        <v>x</v>
      </c>
      <c r="F18" s="22"/>
      <c r="G18" s="29"/>
      <c r="H18" s="23"/>
      <c r="I18" s="9" t="s">
        <v>11</v>
      </c>
      <c r="J18" s="87" t="str">
        <f t="shared" ref="J18:J31" si="41">CONCATENATE(AS18,AT18,AU18,AV18,AW18,AX18,AY18,AZ18,BA18,BB18,BC18,BD18,BE18,BF18,BG18,BH18,BI18,BJ18,BK18,BL18,BM18,BN18,BO18,BP18,BQ18,BR18,BS18,BT18,BU18)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 s="15" t="s">
        <v>1</v>
      </c>
      <c r="L18" s="36">
        <f>L17</f>
        <v>0</v>
      </c>
      <c r="M18" s="91" t="str">
        <f t="shared" ref="M18:M31" si="42">N18</f>
        <v>x</v>
      </c>
      <c r="N18" s="90" t="s">
        <v>149</v>
      </c>
      <c r="O18" s="57" t="str">
        <f t="shared" ref="O18:O26" si="43">N18</f>
        <v>x</v>
      </c>
      <c r="P18" s="63">
        <f>P17</f>
        <v>1</v>
      </c>
      <c r="Q18" s="65">
        <f t="shared" ref="Q18:T18" si="44">Q17</f>
        <v>1</v>
      </c>
      <c r="R18" s="65">
        <f t="shared" si="44"/>
        <v>0</v>
      </c>
      <c r="S18" s="65">
        <f t="shared" si="44"/>
        <v>1</v>
      </c>
      <c r="T18" s="65">
        <f t="shared" si="44"/>
        <v>0</v>
      </c>
      <c r="U18" s="65">
        <f>U17</f>
        <v>8</v>
      </c>
      <c r="V18" s="65">
        <f>V17</f>
        <v>8</v>
      </c>
      <c r="W18" s="65">
        <f>W17</f>
        <v>1</v>
      </c>
      <c r="X18" s="65">
        <f t="shared" ref="X18:Y18" si="45">X17</f>
        <v>0</v>
      </c>
      <c r="Y18" s="65">
        <f t="shared" si="45"/>
        <v>0</v>
      </c>
      <c r="Z18" s="65">
        <f t="shared" ref="Z18:AB18" si="46">Z17</f>
        <v>0</v>
      </c>
      <c r="AA18" s="65">
        <f t="shared" si="46"/>
        <v>0</v>
      </c>
      <c r="AB18" s="65">
        <f t="shared" si="46"/>
        <v>1</v>
      </c>
      <c r="AC18" s="65">
        <f t="shared" ref="AC18:AD31" si="47">AC17</f>
        <v>0</v>
      </c>
      <c r="AD18" s="65">
        <f t="shared" ref="AD18:AK18" si="48">AD17</f>
        <v>1</v>
      </c>
      <c r="AE18" s="65">
        <f t="shared" si="48"/>
        <v>0</v>
      </c>
      <c r="AF18" s="65">
        <f t="shared" si="48"/>
        <v>0</v>
      </c>
      <c r="AG18" s="65">
        <f t="shared" si="48"/>
        <v>0</v>
      </c>
      <c r="AH18" s="65">
        <f t="shared" si="48"/>
        <v>0</v>
      </c>
      <c r="AI18" s="65">
        <f t="shared" ref="AI18" si="49">AI17</f>
        <v>0</v>
      </c>
      <c r="AJ18" s="63">
        <f t="shared" si="48"/>
        <v>0</v>
      </c>
      <c r="AK18" s="64">
        <f t="shared" si="48"/>
        <v>0</v>
      </c>
      <c r="AL18" s="64">
        <f t="shared" ref="AL18:AM18" si="50">AL17</f>
        <v>0</v>
      </c>
      <c r="AM18" s="64">
        <f t="shared" si="50"/>
        <v>0</v>
      </c>
      <c r="AN18" s="66">
        <f t="shared" ref="AN18:AR31" si="51">AN17</f>
        <v>0</v>
      </c>
      <c r="AO18" s="63">
        <f>AO17</f>
        <v>0</v>
      </c>
      <c r="AP18" s="64">
        <f>AP17</f>
        <v>0</v>
      </c>
      <c r="AQ18" s="65">
        <f t="shared" ref="AQ18:AR18" si="52">AQ17</f>
        <v>0</v>
      </c>
      <c r="AR18" s="66">
        <f t="shared" si="52"/>
        <v>0</v>
      </c>
      <c r="AS18" s="31" t="str">
        <f t="shared" si="33"/>
        <v>SimulationStorage,1,</v>
      </c>
      <c r="AT18" s="31" t="str">
        <f t="shared" si="33"/>
        <v>AnalysisStorage,1,</v>
      </c>
      <c r="AU18" s="31" t="str">
        <f t="shared" si="33"/>
        <v>LogRuleEvaluation,0,</v>
      </c>
      <c r="AV18" s="31" t="str">
        <f t="shared" si="33"/>
        <v>ParallelSimulations,1,</v>
      </c>
      <c r="AW18" s="31" t="str">
        <f t="shared" si="33"/>
        <v>DurationStats,0,</v>
      </c>
      <c r="AX18" s="31" t="str">
        <f t="shared" si="33"/>
        <v>AnalysisThruStep,8,</v>
      </c>
      <c r="AY18" s="31" t="str">
        <f t="shared" si="33"/>
        <v>DontAbortOnErrorsThruStep,8,</v>
      </c>
      <c r="AZ18" s="31" t="str">
        <f t="shared" si="33"/>
        <v>BypassValidFileChecks,1,</v>
      </c>
      <c r="BA18" s="31" t="str">
        <f t="shared" si="33"/>
        <v>BypassInputChecks,0,</v>
      </c>
      <c r="BB18" s="31" t="str">
        <f t="shared" si="33"/>
        <v>BypassUMLHChecks,0,</v>
      </c>
      <c r="BC18" s="31" t="str">
        <f t="shared" si="34"/>
        <v>BypassCheckSimRules,0,</v>
      </c>
      <c r="BD18" s="31" t="str">
        <f t="shared" si="34"/>
        <v>BypassCheckCodeRules,0,</v>
      </c>
      <c r="BE18" s="31" t="str">
        <f t="shared" si="34"/>
        <v>StoreResultsToModelInput,1,</v>
      </c>
      <c r="BF18" s="31" t="str">
        <f t="shared" si="34"/>
        <v>StoreBEMDetails,0,</v>
      </c>
      <c r="BG18" s="31" t="str">
        <f t="shared" si="34"/>
        <v>ModelRpt_ALL,1,</v>
      </c>
      <c r="BH18" s="31" t="str">
        <f t="shared" si="34"/>
        <v>ExportHourlyResults_All,0,</v>
      </c>
      <c r="BI18" s="31" t="str">
        <f t="shared" si="34"/>
        <v>ComplianceReportPDF,0,</v>
      </c>
      <c r="BJ18" s="31" t="str">
        <f t="shared" si="34"/>
        <v>ComplianceReportXML,0,</v>
      </c>
      <c r="BK18" s="31" t="str">
        <f t="shared" si="34"/>
        <v>QuickAnalysis,0,</v>
      </c>
      <c r="BL18" s="31" t="str">
        <f t="shared" si="34"/>
        <v>PromptUserUMLHWarning,0,</v>
      </c>
      <c r="BM18" s="31" t="str">
        <f t="shared" si="35"/>
        <v>BypassOpenStudio_all,0,</v>
      </c>
      <c r="BN18" s="31" t="str">
        <f t="shared" si="35"/>
        <v>BypassOpenStudio_zp,0,</v>
      </c>
      <c r="BO18" s="31" t="str">
        <f t="shared" si="35"/>
        <v>BypassOpenStudio_zb,0,</v>
      </c>
      <c r="BP18" s="31" t="str">
        <f t="shared" si="35"/>
        <v>BypassOpenStudio_ap,0,</v>
      </c>
      <c r="BQ18" s="31" t="str">
        <f t="shared" si="35"/>
        <v>BypassOpenStudio_ab,0,</v>
      </c>
      <c r="BR18" s="31" t="str">
        <f t="shared" si="35"/>
        <v>BypassOpenStudio_zp,0,</v>
      </c>
      <c r="BS18" s="31" t="str">
        <f t="shared" si="35"/>
        <v>BypassOpenStudio_zb,0,</v>
      </c>
      <c r="BT18" s="31" t="str">
        <f t="shared" si="35"/>
        <v>BypassOpenStudio_ap,0,</v>
      </c>
      <c r="BU18" s="31" t="str">
        <f t="shared" si="35"/>
        <v>BypassOpenStudio_ab,0,</v>
      </c>
    </row>
    <row r="19" spans="1:74" hidden="1" outlineLevel="1" x14ac:dyDescent="0.25">
      <c r="A19" s="39">
        <f t="shared" si="36"/>
        <v>0</v>
      </c>
      <c r="B19" s="27" t="str">
        <f t="shared" si="37"/>
        <v>StandardModelTests2016\x.cibd16</v>
      </c>
      <c r="C19" s="27" t="str">
        <f t="shared" si="38"/>
        <v>BatchOut_171026_r5178_FinalRel-v3-SSTSG_Std16\x.cibd16</v>
      </c>
      <c r="D19" s="27" t="str">
        <f t="shared" si="39"/>
        <v>BatchOut_171026_r5178_FinalRel-v3-SSTSG_Std16\XML\</v>
      </c>
      <c r="E19" s="9" t="str">
        <f t="shared" si="40"/>
        <v>x</v>
      </c>
      <c r="F19" s="22"/>
      <c r="G19" s="29"/>
      <c r="H19" s="23"/>
      <c r="I19" s="9" t="s">
        <v>11</v>
      </c>
      <c r="J1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 s="15" t="s">
        <v>1</v>
      </c>
      <c r="L19" s="36">
        <f t="shared" ref="L19:L31" si="53">L18</f>
        <v>0</v>
      </c>
      <c r="M19" s="91" t="str">
        <f t="shared" si="42"/>
        <v>x</v>
      </c>
      <c r="N19" s="90" t="s">
        <v>149</v>
      </c>
      <c r="O19" s="57" t="str">
        <f t="shared" si="43"/>
        <v>x</v>
      </c>
      <c r="P19" s="63">
        <f t="shared" ref="P19:T31" si="54">P18</f>
        <v>1</v>
      </c>
      <c r="Q19" s="65">
        <f t="shared" si="54"/>
        <v>1</v>
      </c>
      <c r="R19" s="65">
        <f t="shared" si="54"/>
        <v>0</v>
      </c>
      <c r="S19" s="65">
        <f t="shared" si="54"/>
        <v>1</v>
      </c>
      <c r="T19" s="65">
        <f t="shared" si="54"/>
        <v>0</v>
      </c>
      <c r="U19" s="65">
        <f t="shared" ref="U19:U31" si="55">U18</f>
        <v>8</v>
      </c>
      <c r="V19" s="65">
        <f t="shared" ref="V19:V31" si="56">V18</f>
        <v>8</v>
      </c>
      <c r="W19" s="65">
        <f t="shared" ref="W19:AB31" si="57">W18</f>
        <v>1</v>
      </c>
      <c r="X19" s="65">
        <f t="shared" si="57"/>
        <v>0</v>
      </c>
      <c r="Y19" s="65">
        <f t="shared" si="57"/>
        <v>0</v>
      </c>
      <c r="Z19" s="65">
        <f t="shared" si="57"/>
        <v>0</v>
      </c>
      <c r="AA19" s="65">
        <f t="shared" si="57"/>
        <v>0</v>
      </c>
      <c r="AB19" s="65">
        <f t="shared" si="57"/>
        <v>1</v>
      </c>
      <c r="AC19" s="65">
        <f t="shared" si="47"/>
        <v>0</v>
      </c>
      <c r="AD19" s="65">
        <f t="shared" si="47"/>
        <v>1</v>
      </c>
      <c r="AE19" s="65">
        <f t="shared" ref="AE19:AF19" si="58">AE18</f>
        <v>0</v>
      </c>
      <c r="AF19" s="65">
        <f t="shared" si="58"/>
        <v>0</v>
      </c>
      <c r="AG19" s="65">
        <f t="shared" ref="AG19:AH19" si="59">AG18</f>
        <v>0</v>
      </c>
      <c r="AH19" s="65">
        <f t="shared" si="59"/>
        <v>0</v>
      </c>
      <c r="AI19" s="65">
        <f t="shared" ref="AI19" si="60">AI18</f>
        <v>0</v>
      </c>
      <c r="AJ19" s="63">
        <f t="shared" ref="AJ19:AJ31" si="61">AJ18</f>
        <v>0</v>
      </c>
      <c r="AK19" s="64">
        <f t="shared" ref="AK19:AM31" si="62">AK18</f>
        <v>0</v>
      </c>
      <c r="AL19" s="64">
        <f t="shared" si="62"/>
        <v>0</v>
      </c>
      <c r="AM19" s="64">
        <f t="shared" si="62"/>
        <v>0</v>
      </c>
      <c r="AN19" s="66">
        <f t="shared" si="51"/>
        <v>0</v>
      </c>
      <c r="AO19" s="63">
        <f t="shared" si="51"/>
        <v>0</v>
      </c>
      <c r="AP19" s="64">
        <f t="shared" si="51"/>
        <v>0</v>
      </c>
      <c r="AQ19" s="65">
        <f t="shared" si="51"/>
        <v>0</v>
      </c>
      <c r="AR19" s="66">
        <f t="shared" si="51"/>
        <v>0</v>
      </c>
      <c r="AS19" s="31" t="str">
        <f t="shared" ref="AS19:AS31" si="63">P$13&amp;P19&amp;","</f>
        <v>SimulationStorage,1,</v>
      </c>
      <c r="AT19" s="31" t="str">
        <f t="shared" ref="AT19:AT31" si="64">Q$13&amp;Q19&amp;","</f>
        <v>AnalysisStorage,1,</v>
      </c>
      <c r="AU19" s="31" t="str">
        <f t="shared" ref="AU19:AU31" si="65">R$13&amp;R19&amp;","</f>
        <v>LogRuleEvaluation,0,</v>
      </c>
      <c r="AV19" s="31" t="str">
        <f t="shared" ref="AV19:AV31" si="66">S$13&amp;S19&amp;","</f>
        <v>ParallelSimulations,1,</v>
      </c>
      <c r="AW19" s="31" t="str">
        <f t="shared" ref="AW19:AW31" si="67">T$13&amp;T19&amp;","</f>
        <v>DurationStats,0,</v>
      </c>
      <c r="AX19" s="31" t="str">
        <f t="shared" ref="AX19:AX31" si="68">U$13&amp;U19&amp;","</f>
        <v>AnalysisThruStep,8,</v>
      </c>
      <c r="AY19" s="31" t="str">
        <f t="shared" ref="AY19:AY31" si="69">V$13&amp;V19&amp;","</f>
        <v>DontAbortOnErrorsThruStep,8,</v>
      </c>
      <c r="AZ19" s="31" t="str">
        <f t="shared" ref="AZ19:AZ31" si="70">W$13&amp;W19&amp;","</f>
        <v>BypassValidFileChecks,1,</v>
      </c>
      <c r="BA19" s="31" t="str">
        <f t="shared" ref="BA19:BA31" si="71">X$13&amp;X19&amp;","</f>
        <v>BypassInputChecks,0,</v>
      </c>
      <c r="BB19" s="31" t="str">
        <f t="shared" ref="BB19:BB31" si="72">Y$13&amp;Y19&amp;","</f>
        <v>BypassUMLHChecks,0,</v>
      </c>
      <c r="BC19" s="31" t="str">
        <f t="shared" ref="BC19:BC31" si="73">Z$13&amp;Z19&amp;","</f>
        <v>BypassCheckSimRules,0,</v>
      </c>
      <c r="BD19" s="31" t="str">
        <f t="shared" ref="BD19:BD31" si="74">AA$13&amp;AA19&amp;","</f>
        <v>BypassCheckCodeRules,0,</v>
      </c>
      <c r="BE19" s="31" t="str">
        <f t="shared" ref="BE19:BE30" si="75">AB$13&amp;AB19&amp;","</f>
        <v>StoreResultsToModelInput,1,</v>
      </c>
      <c r="BF19" s="31" t="str">
        <f t="shared" ref="BF19:BF30" si="76">AC$13&amp;AC19&amp;","</f>
        <v>StoreBEMDetails,0,</v>
      </c>
      <c r="BG19" s="31" t="str">
        <f t="shared" ref="BG19:BG30" si="77">AD$13&amp;AD19&amp;","</f>
        <v>ModelRpt_ALL,1,</v>
      </c>
      <c r="BH19" s="31" t="str">
        <f t="shared" ref="BH19:BH30" si="78">AE$13&amp;AE19&amp;","</f>
        <v>ExportHourlyResults_All,0,</v>
      </c>
      <c r="BI19" s="31" t="str">
        <f t="shared" ref="BI19:BI30" si="79">AF$13&amp;AF19&amp;","</f>
        <v>ComplianceReportPDF,0,</v>
      </c>
      <c r="BJ19" s="31" t="str">
        <f t="shared" ref="BJ19:BJ30" si="80">AG$13&amp;AG19&amp;","</f>
        <v>ComplianceReportXML,0,</v>
      </c>
      <c r="BK19" s="31" t="str">
        <f t="shared" ref="BK19:BK30" si="81">AH$13&amp;AH19&amp;","</f>
        <v>QuickAnalysis,0,</v>
      </c>
      <c r="BL19" s="31" t="str">
        <f t="shared" ref="BL19:BL30" si="82">AI$13&amp;AI19&amp;","</f>
        <v>PromptUserUMLHWarning,0,</v>
      </c>
      <c r="BM19" s="31" t="str">
        <f t="shared" ref="BM19:BM30" si="83">AJ$13&amp;AJ19&amp;","</f>
        <v>BypassOpenStudio_all,0,</v>
      </c>
      <c r="BN19" s="31" t="str">
        <f t="shared" ref="BN19:BN30" si="84">AK$13&amp;AK19&amp;","</f>
        <v>BypassOpenStudio_zp,0,</v>
      </c>
      <c r="BO19" s="31" t="str">
        <f t="shared" ref="BO19:BO30" si="85">AL$13&amp;AL19&amp;","</f>
        <v>BypassOpenStudio_zb,0,</v>
      </c>
      <c r="BP19" s="31" t="str">
        <f t="shared" ref="BP19:BP30" si="86">AM$13&amp;AM19&amp;","</f>
        <v>BypassOpenStudio_ap,0,</v>
      </c>
      <c r="BQ19" s="31" t="str">
        <f t="shared" ref="BQ19:BQ30" si="87">AN$13&amp;AN19&amp;","</f>
        <v>BypassOpenStudio_ab,0,</v>
      </c>
      <c r="BR19" s="31" t="str">
        <f t="shared" ref="BR19:BR30" si="88">AO$13&amp;AO19&amp;","</f>
        <v>BypassOpenStudio_zp,0,</v>
      </c>
      <c r="BS19" s="31" t="str">
        <f t="shared" ref="BS19:BS30" si="89">AP$13&amp;AP19&amp;","</f>
        <v>BypassOpenStudio_zb,0,</v>
      </c>
      <c r="BT19" s="31" t="str">
        <f t="shared" ref="BT19:BT30" si="90">AQ$13&amp;AQ19&amp;","</f>
        <v>BypassOpenStudio_ap,0,</v>
      </c>
      <c r="BU19" s="31" t="str">
        <f t="shared" ref="BU19:BU30" si="91">AR$13&amp;AR19&amp;","</f>
        <v>BypassOpenStudio_ab,0,</v>
      </c>
    </row>
    <row r="20" spans="1:74" hidden="1" outlineLevel="1" x14ac:dyDescent="0.25">
      <c r="A20" s="39">
        <f t="shared" si="36"/>
        <v>0</v>
      </c>
      <c r="B20" s="27" t="str">
        <f t="shared" si="37"/>
        <v>StandardModelTests2016\x.cibd16</v>
      </c>
      <c r="C20" s="27" t="str">
        <f t="shared" si="38"/>
        <v>BatchOut_171026_r5178_FinalRel-v3-SSTSG_Std16\x.cibd16</v>
      </c>
      <c r="D20" s="27" t="str">
        <f t="shared" si="39"/>
        <v>BatchOut_171026_r5178_FinalRel-v3-SSTSG_Std16\XML\</v>
      </c>
      <c r="E20" s="9" t="str">
        <f t="shared" si="40"/>
        <v>x</v>
      </c>
      <c r="F20" s="22"/>
      <c r="G20" s="29"/>
      <c r="H20" s="23"/>
      <c r="I20" s="9" t="s">
        <v>11</v>
      </c>
      <c r="J2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 s="15" t="s">
        <v>1</v>
      </c>
      <c r="L20" s="36">
        <f>L19</f>
        <v>0</v>
      </c>
      <c r="M20" s="91" t="str">
        <f t="shared" si="42"/>
        <v>x</v>
      </c>
      <c r="N20" s="90" t="s">
        <v>149</v>
      </c>
      <c r="O20" s="57" t="str">
        <f t="shared" si="43"/>
        <v>x</v>
      </c>
      <c r="P20" s="63">
        <f t="shared" ref="P20:AR20" si="92">P19</f>
        <v>1</v>
      </c>
      <c r="Q20" s="65">
        <f t="shared" si="92"/>
        <v>1</v>
      </c>
      <c r="R20" s="65">
        <f t="shared" si="92"/>
        <v>0</v>
      </c>
      <c r="S20" s="65">
        <f t="shared" si="92"/>
        <v>1</v>
      </c>
      <c r="T20" s="65">
        <f t="shared" si="92"/>
        <v>0</v>
      </c>
      <c r="U20" s="65">
        <f t="shared" si="92"/>
        <v>8</v>
      </c>
      <c r="V20" s="65">
        <f t="shared" si="92"/>
        <v>8</v>
      </c>
      <c r="W20" s="65">
        <f t="shared" si="92"/>
        <v>1</v>
      </c>
      <c r="X20" s="65">
        <f t="shared" si="92"/>
        <v>0</v>
      </c>
      <c r="Y20" s="65">
        <f t="shared" si="92"/>
        <v>0</v>
      </c>
      <c r="Z20" s="65">
        <f t="shared" si="92"/>
        <v>0</v>
      </c>
      <c r="AA20" s="65">
        <f t="shared" si="92"/>
        <v>0</v>
      </c>
      <c r="AB20" s="65">
        <f t="shared" si="92"/>
        <v>1</v>
      </c>
      <c r="AC20" s="65">
        <f t="shared" si="92"/>
        <v>0</v>
      </c>
      <c r="AD20" s="65">
        <f t="shared" si="92"/>
        <v>1</v>
      </c>
      <c r="AE20" s="65">
        <f t="shared" si="92"/>
        <v>0</v>
      </c>
      <c r="AF20" s="65">
        <f t="shared" si="92"/>
        <v>0</v>
      </c>
      <c r="AG20" s="65">
        <f t="shared" si="92"/>
        <v>0</v>
      </c>
      <c r="AH20" s="65">
        <f t="shared" si="92"/>
        <v>0</v>
      </c>
      <c r="AI20" s="65">
        <f t="shared" si="92"/>
        <v>0</v>
      </c>
      <c r="AJ20" s="63">
        <f t="shared" si="92"/>
        <v>0</v>
      </c>
      <c r="AK20" s="64">
        <f t="shared" si="92"/>
        <v>0</v>
      </c>
      <c r="AL20" s="64">
        <f t="shared" si="92"/>
        <v>0</v>
      </c>
      <c r="AM20" s="64">
        <f t="shared" si="92"/>
        <v>0</v>
      </c>
      <c r="AN20" s="66">
        <f t="shared" si="92"/>
        <v>0</v>
      </c>
      <c r="AO20" s="63">
        <f t="shared" si="92"/>
        <v>0</v>
      </c>
      <c r="AP20" s="64">
        <f t="shared" si="92"/>
        <v>0</v>
      </c>
      <c r="AQ20" s="65">
        <f t="shared" si="92"/>
        <v>0</v>
      </c>
      <c r="AR20" s="66">
        <f t="shared" si="92"/>
        <v>0</v>
      </c>
      <c r="AS20" s="31" t="str">
        <f t="shared" si="63"/>
        <v>SimulationStorage,1,</v>
      </c>
      <c r="AT20" s="31" t="str">
        <f t="shared" si="64"/>
        <v>AnalysisStorage,1,</v>
      </c>
      <c r="AU20" s="31" t="str">
        <f t="shared" si="65"/>
        <v>LogRuleEvaluation,0,</v>
      </c>
      <c r="AV20" s="31" t="str">
        <f t="shared" si="66"/>
        <v>ParallelSimulations,1,</v>
      </c>
      <c r="AW20" s="31" t="str">
        <f t="shared" si="67"/>
        <v>DurationStats,0,</v>
      </c>
      <c r="AX20" s="31" t="str">
        <f t="shared" si="68"/>
        <v>AnalysisThruStep,8,</v>
      </c>
      <c r="AY20" s="31" t="str">
        <f t="shared" si="69"/>
        <v>DontAbortOnErrorsThruStep,8,</v>
      </c>
      <c r="AZ20" s="31" t="str">
        <f t="shared" si="70"/>
        <v>BypassValidFileChecks,1,</v>
      </c>
      <c r="BA20" s="31" t="str">
        <f t="shared" si="71"/>
        <v>BypassInputChecks,0,</v>
      </c>
      <c r="BB20" s="31" t="str">
        <f t="shared" si="72"/>
        <v>BypassUMLHChecks,0,</v>
      </c>
      <c r="BC20" s="31" t="str">
        <f t="shared" si="73"/>
        <v>BypassCheckSimRules,0,</v>
      </c>
      <c r="BD20" s="31" t="str">
        <f t="shared" si="74"/>
        <v>BypassCheckCodeRules,0,</v>
      </c>
      <c r="BE20" s="31" t="str">
        <f t="shared" si="75"/>
        <v>StoreResultsToModelInput,1,</v>
      </c>
      <c r="BF20" s="31" t="str">
        <f t="shared" si="76"/>
        <v>StoreBEMDetails,0,</v>
      </c>
      <c r="BG20" s="31" t="str">
        <f t="shared" si="77"/>
        <v>ModelRpt_ALL,1,</v>
      </c>
      <c r="BH20" s="31" t="str">
        <f t="shared" si="78"/>
        <v>ExportHourlyResults_All,0,</v>
      </c>
      <c r="BI20" s="31" t="str">
        <f t="shared" si="79"/>
        <v>ComplianceReportPDF,0,</v>
      </c>
      <c r="BJ20" s="31" t="str">
        <f t="shared" si="80"/>
        <v>ComplianceReportXML,0,</v>
      </c>
      <c r="BK20" s="31" t="str">
        <f t="shared" si="81"/>
        <v>QuickAnalysis,0,</v>
      </c>
      <c r="BL20" s="31" t="str">
        <f t="shared" si="82"/>
        <v>PromptUserUMLHWarning,0,</v>
      </c>
      <c r="BM20" s="31" t="str">
        <f t="shared" si="83"/>
        <v>BypassOpenStudio_all,0,</v>
      </c>
      <c r="BN20" s="31" t="str">
        <f t="shared" si="84"/>
        <v>BypassOpenStudio_zp,0,</v>
      </c>
      <c r="BO20" s="31" t="str">
        <f t="shared" si="85"/>
        <v>BypassOpenStudio_zb,0,</v>
      </c>
      <c r="BP20" s="31" t="str">
        <f t="shared" si="86"/>
        <v>BypassOpenStudio_ap,0,</v>
      </c>
      <c r="BQ20" s="31" t="str">
        <f t="shared" si="87"/>
        <v>BypassOpenStudio_ab,0,</v>
      </c>
      <c r="BR20" s="31" t="str">
        <f t="shared" si="88"/>
        <v>BypassOpenStudio_zp,0,</v>
      </c>
      <c r="BS20" s="31" t="str">
        <f t="shared" si="89"/>
        <v>BypassOpenStudio_zb,0,</v>
      </c>
      <c r="BT20" s="31" t="str">
        <f t="shared" si="90"/>
        <v>BypassOpenStudio_ap,0,</v>
      </c>
      <c r="BU20" s="31" t="str">
        <f t="shared" si="91"/>
        <v>BypassOpenStudio_ab,0,</v>
      </c>
    </row>
    <row r="21" spans="1:74" hidden="1" outlineLevel="1" x14ac:dyDescent="0.25">
      <c r="A21" s="39">
        <f t="shared" si="36"/>
        <v>0</v>
      </c>
      <c r="B21" s="27" t="str">
        <f t="shared" si="37"/>
        <v>StandardModelTests2016\x.cibd16</v>
      </c>
      <c r="C21" s="27" t="str">
        <f t="shared" si="38"/>
        <v>BatchOut_171026_r5178_FinalRel-v3-SSTSG_Std16\x.cibd16</v>
      </c>
      <c r="D21" s="27" t="str">
        <f t="shared" si="39"/>
        <v>BatchOut_171026_r5178_FinalRel-v3-SSTSG_Std16\XML\</v>
      </c>
      <c r="E21" s="9" t="str">
        <f t="shared" si="40"/>
        <v>x</v>
      </c>
      <c r="F21" s="22"/>
      <c r="G21" s="29"/>
      <c r="H21" s="23"/>
      <c r="I21" s="9" t="s">
        <v>11</v>
      </c>
      <c r="J2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 s="15" t="s">
        <v>1</v>
      </c>
      <c r="L21" s="36">
        <f t="shared" si="53"/>
        <v>0</v>
      </c>
      <c r="M21" s="91" t="str">
        <f t="shared" si="42"/>
        <v>x</v>
      </c>
      <c r="N21" s="90" t="s">
        <v>149</v>
      </c>
      <c r="O21" s="57" t="str">
        <f t="shared" si="43"/>
        <v>x</v>
      </c>
      <c r="P21" s="63">
        <f t="shared" si="54"/>
        <v>1</v>
      </c>
      <c r="Q21" s="65">
        <f t="shared" si="54"/>
        <v>1</v>
      </c>
      <c r="R21" s="65">
        <f t="shared" si="54"/>
        <v>0</v>
      </c>
      <c r="S21" s="65">
        <f t="shared" si="54"/>
        <v>1</v>
      </c>
      <c r="T21" s="65">
        <f t="shared" si="54"/>
        <v>0</v>
      </c>
      <c r="U21" s="65">
        <f t="shared" si="55"/>
        <v>8</v>
      </c>
      <c r="V21" s="65">
        <f t="shared" si="56"/>
        <v>8</v>
      </c>
      <c r="W21" s="65">
        <f t="shared" si="57"/>
        <v>1</v>
      </c>
      <c r="X21" s="65">
        <f t="shared" si="57"/>
        <v>0</v>
      </c>
      <c r="Y21" s="65">
        <f t="shared" si="57"/>
        <v>0</v>
      </c>
      <c r="Z21" s="65">
        <f t="shared" si="57"/>
        <v>0</v>
      </c>
      <c r="AA21" s="65">
        <f t="shared" si="57"/>
        <v>0</v>
      </c>
      <c r="AB21" s="65">
        <f t="shared" si="57"/>
        <v>1</v>
      </c>
      <c r="AC21" s="65">
        <f t="shared" si="47"/>
        <v>0</v>
      </c>
      <c r="AD21" s="65">
        <f t="shared" si="47"/>
        <v>1</v>
      </c>
      <c r="AE21" s="65">
        <f t="shared" ref="AE21:AF21" si="93">AE20</f>
        <v>0</v>
      </c>
      <c r="AF21" s="65">
        <f t="shared" si="93"/>
        <v>0</v>
      </c>
      <c r="AG21" s="65">
        <f t="shared" ref="AG21:AH21" si="94">AG20</f>
        <v>0</v>
      </c>
      <c r="AH21" s="65">
        <f t="shared" si="94"/>
        <v>0</v>
      </c>
      <c r="AI21" s="65">
        <f t="shared" ref="AI21" si="95">AI20</f>
        <v>0</v>
      </c>
      <c r="AJ21" s="63">
        <f t="shared" si="61"/>
        <v>0</v>
      </c>
      <c r="AK21" s="64">
        <f t="shared" si="62"/>
        <v>0</v>
      </c>
      <c r="AL21" s="64">
        <f t="shared" si="62"/>
        <v>0</v>
      </c>
      <c r="AM21" s="64">
        <f t="shared" si="62"/>
        <v>0</v>
      </c>
      <c r="AN21" s="66">
        <f t="shared" si="51"/>
        <v>0</v>
      </c>
      <c r="AO21" s="63">
        <f t="shared" si="51"/>
        <v>0</v>
      </c>
      <c r="AP21" s="64">
        <f t="shared" si="51"/>
        <v>0</v>
      </c>
      <c r="AQ21" s="65">
        <f t="shared" si="51"/>
        <v>0</v>
      </c>
      <c r="AR21" s="66">
        <f t="shared" si="51"/>
        <v>0</v>
      </c>
      <c r="AS21" s="31" t="str">
        <f t="shared" si="63"/>
        <v>SimulationStorage,1,</v>
      </c>
      <c r="AT21" s="31" t="str">
        <f t="shared" si="64"/>
        <v>AnalysisStorage,1,</v>
      </c>
      <c r="AU21" s="31" t="str">
        <f t="shared" si="65"/>
        <v>LogRuleEvaluation,0,</v>
      </c>
      <c r="AV21" s="31" t="str">
        <f t="shared" si="66"/>
        <v>ParallelSimulations,1,</v>
      </c>
      <c r="AW21" s="31" t="str">
        <f t="shared" si="67"/>
        <v>DurationStats,0,</v>
      </c>
      <c r="AX21" s="31" t="str">
        <f t="shared" si="68"/>
        <v>AnalysisThruStep,8,</v>
      </c>
      <c r="AY21" s="31" t="str">
        <f t="shared" si="69"/>
        <v>DontAbortOnErrorsThruStep,8,</v>
      </c>
      <c r="AZ21" s="31" t="str">
        <f t="shared" si="70"/>
        <v>BypassValidFileChecks,1,</v>
      </c>
      <c r="BA21" s="31" t="str">
        <f t="shared" si="71"/>
        <v>BypassInputChecks,0,</v>
      </c>
      <c r="BB21" s="31" t="str">
        <f t="shared" si="72"/>
        <v>BypassUMLHChecks,0,</v>
      </c>
      <c r="BC21" s="31" t="str">
        <f t="shared" si="73"/>
        <v>BypassCheckSimRules,0,</v>
      </c>
      <c r="BD21" s="31" t="str">
        <f t="shared" si="74"/>
        <v>BypassCheckCodeRules,0,</v>
      </c>
      <c r="BE21" s="31" t="str">
        <f t="shared" si="75"/>
        <v>StoreResultsToModelInput,1,</v>
      </c>
      <c r="BF21" s="31" t="str">
        <f t="shared" si="76"/>
        <v>StoreBEMDetails,0,</v>
      </c>
      <c r="BG21" s="31" t="str">
        <f t="shared" si="77"/>
        <v>ModelRpt_ALL,1,</v>
      </c>
      <c r="BH21" s="31" t="str">
        <f t="shared" si="78"/>
        <v>ExportHourlyResults_All,0,</v>
      </c>
      <c r="BI21" s="31" t="str">
        <f t="shared" si="79"/>
        <v>ComplianceReportPDF,0,</v>
      </c>
      <c r="BJ21" s="31" t="str">
        <f t="shared" si="80"/>
        <v>ComplianceReportXML,0,</v>
      </c>
      <c r="BK21" s="31" t="str">
        <f t="shared" si="81"/>
        <v>QuickAnalysis,0,</v>
      </c>
      <c r="BL21" s="31" t="str">
        <f t="shared" si="82"/>
        <v>PromptUserUMLHWarning,0,</v>
      </c>
      <c r="BM21" s="31" t="str">
        <f t="shared" si="83"/>
        <v>BypassOpenStudio_all,0,</v>
      </c>
      <c r="BN21" s="31" t="str">
        <f t="shared" si="84"/>
        <v>BypassOpenStudio_zp,0,</v>
      </c>
      <c r="BO21" s="31" t="str">
        <f t="shared" si="85"/>
        <v>BypassOpenStudio_zb,0,</v>
      </c>
      <c r="BP21" s="31" t="str">
        <f t="shared" si="86"/>
        <v>BypassOpenStudio_ap,0,</v>
      </c>
      <c r="BQ21" s="31" t="str">
        <f t="shared" si="87"/>
        <v>BypassOpenStudio_ab,0,</v>
      </c>
      <c r="BR21" s="31" t="str">
        <f t="shared" si="88"/>
        <v>BypassOpenStudio_zp,0,</v>
      </c>
      <c r="BS21" s="31" t="str">
        <f t="shared" si="89"/>
        <v>BypassOpenStudio_zb,0,</v>
      </c>
      <c r="BT21" s="31" t="str">
        <f t="shared" si="90"/>
        <v>BypassOpenStudio_ap,0,</v>
      </c>
      <c r="BU21" s="31" t="str">
        <f t="shared" si="91"/>
        <v>BypassOpenStudio_ab,0,</v>
      </c>
    </row>
    <row r="22" spans="1:74" hidden="1" outlineLevel="1" x14ac:dyDescent="0.25">
      <c r="A22" s="39">
        <f t="shared" si="36"/>
        <v>0</v>
      </c>
      <c r="B22" s="27" t="str">
        <f t="shared" si="37"/>
        <v>StandardModelTests2016\x.cibd16</v>
      </c>
      <c r="C22" s="27" t="str">
        <f t="shared" si="38"/>
        <v>BatchOut_171026_r5178_FinalRel-v3-SSTSG_Std16\x.cibd16</v>
      </c>
      <c r="D22" s="27" t="str">
        <f t="shared" si="39"/>
        <v>BatchOut_171026_r5178_FinalRel-v3-SSTSG_Std16\XML\</v>
      </c>
      <c r="E22" s="9" t="str">
        <f t="shared" si="40"/>
        <v>x</v>
      </c>
      <c r="F22" s="22"/>
      <c r="G22" s="29"/>
      <c r="H22" s="23"/>
      <c r="I22" s="9" t="s">
        <v>11</v>
      </c>
      <c r="J22"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 s="15" t="s">
        <v>1</v>
      </c>
      <c r="L22" s="36">
        <f t="shared" si="53"/>
        <v>0</v>
      </c>
      <c r="M22" s="91" t="str">
        <f t="shared" si="42"/>
        <v>x</v>
      </c>
      <c r="N22" s="90" t="s">
        <v>149</v>
      </c>
      <c r="O22" s="57" t="str">
        <f t="shared" si="43"/>
        <v>x</v>
      </c>
      <c r="P22" s="63">
        <f t="shared" si="54"/>
        <v>1</v>
      </c>
      <c r="Q22" s="65">
        <f t="shared" si="54"/>
        <v>1</v>
      </c>
      <c r="R22" s="65">
        <f t="shared" si="54"/>
        <v>0</v>
      </c>
      <c r="S22" s="65">
        <f t="shared" si="54"/>
        <v>1</v>
      </c>
      <c r="T22" s="65">
        <f t="shared" si="54"/>
        <v>0</v>
      </c>
      <c r="U22" s="65">
        <f t="shared" si="55"/>
        <v>8</v>
      </c>
      <c r="V22" s="65">
        <f t="shared" si="56"/>
        <v>8</v>
      </c>
      <c r="W22" s="65">
        <f t="shared" si="57"/>
        <v>1</v>
      </c>
      <c r="X22" s="65">
        <f t="shared" si="57"/>
        <v>0</v>
      </c>
      <c r="Y22" s="65">
        <f t="shared" si="57"/>
        <v>0</v>
      </c>
      <c r="Z22" s="65">
        <f t="shared" si="57"/>
        <v>0</v>
      </c>
      <c r="AA22" s="65">
        <f t="shared" si="57"/>
        <v>0</v>
      </c>
      <c r="AB22" s="65">
        <f t="shared" si="57"/>
        <v>1</v>
      </c>
      <c r="AC22" s="65">
        <f t="shared" si="47"/>
        <v>0</v>
      </c>
      <c r="AD22" s="65">
        <f t="shared" si="47"/>
        <v>1</v>
      </c>
      <c r="AE22" s="65">
        <f t="shared" ref="AE22:AF22" si="96">AE21</f>
        <v>0</v>
      </c>
      <c r="AF22" s="65">
        <f t="shared" si="96"/>
        <v>0</v>
      </c>
      <c r="AG22" s="65">
        <f t="shared" ref="AG22:AH22" si="97">AG21</f>
        <v>0</v>
      </c>
      <c r="AH22" s="65">
        <f t="shared" si="97"/>
        <v>0</v>
      </c>
      <c r="AI22" s="65">
        <f t="shared" ref="AI22" si="98">AI21</f>
        <v>0</v>
      </c>
      <c r="AJ22" s="63">
        <f t="shared" si="61"/>
        <v>0</v>
      </c>
      <c r="AK22" s="64">
        <f t="shared" si="62"/>
        <v>0</v>
      </c>
      <c r="AL22" s="64">
        <f t="shared" si="62"/>
        <v>0</v>
      </c>
      <c r="AM22" s="64">
        <f t="shared" si="62"/>
        <v>0</v>
      </c>
      <c r="AN22" s="66">
        <f t="shared" si="51"/>
        <v>0</v>
      </c>
      <c r="AO22" s="63">
        <f t="shared" si="51"/>
        <v>0</v>
      </c>
      <c r="AP22" s="64">
        <f t="shared" si="51"/>
        <v>0</v>
      </c>
      <c r="AQ22" s="65">
        <f t="shared" si="51"/>
        <v>0</v>
      </c>
      <c r="AR22" s="66">
        <f t="shared" si="51"/>
        <v>0</v>
      </c>
      <c r="AS22" s="31" t="str">
        <f t="shared" si="63"/>
        <v>SimulationStorage,1,</v>
      </c>
      <c r="AT22" s="31" t="str">
        <f t="shared" si="64"/>
        <v>AnalysisStorage,1,</v>
      </c>
      <c r="AU22" s="31" t="str">
        <f t="shared" si="65"/>
        <v>LogRuleEvaluation,0,</v>
      </c>
      <c r="AV22" s="31" t="str">
        <f t="shared" si="66"/>
        <v>ParallelSimulations,1,</v>
      </c>
      <c r="AW22" s="31" t="str">
        <f t="shared" si="67"/>
        <v>DurationStats,0,</v>
      </c>
      <c r="AX22" s="31" t="str">
        <f t="shared" si="68"/>
        <v>AnalysisThruStep,8,</v>
      </c>
      <c r="AY22" s="31" t="str">
        <f t="shared" si="69"/>
        <v>DontAbortOnErrorsThruStep,8,</v>
      </c>
      <c r="AZ22" s="31" t="str">
        <f t="shared" si="70"/>
        <v>BypassValidFileChecks,1,</v>
      </c>
      <c r="BA22" s="31" t="str">
        <f t="shared" si="71"/>
        <v>BypassInputChecks,0,</v>
      </c>
      <c r="BB22" s="31" t="str">
        <f t="shared" si="72"/>
        <v>BypassUMLHChecks,0,</v>
      </c>
      <c r="BC22" s="31" t="str">
        <f t="shared" si="73"/>
        <v>BypassCheckSimRules,0,</v>
      </c>
      <c r="BD22" s="31" t="str">
        <f t="shared" si="74"/>
        <v>BypassCheckCodeRules,0,</v>
      </c>
      <c r="BE22" s="31" t="str">
        <f t="shared" si="75"/>
        <v>StoreResultsToModelInput,1,</v>
      </c>
      <c r="BF22" s="31" t="str">
        <f t="shared" si="76"/>
        <v>StoreBEMDetails,0,</v>
      </c>
      <c r="BG22" s="31" t="str">
        <f t="shared" si="77"/>
        <v>ModelRpt_ALL,1,</v>
      </c>
      <c r="BH22" s="31" t="str">
        <f t="shared" si="78"/>
        <v>ExportHourlyResults_All,0,</v>
      </c>
      <c r="BI22" s="31" t="str">
        <f t="shared" si="79"/>
        <v>ComplianceReportPDF,0,</v>
      </c>
      <c r="BJ22" s="31" t="str">
        <f t="shared" si="80"/>
        <v>ComplianceReportXML,0,</v>
      </c>
      <c r="BK22" s="31" t="str">
        <f t="shared" si="81"/>
        <v>QuickAnalysis,0,</v>
      </c>
      <c r="BL22" s="31" t="str">
        <f t="shared" si="82"/>
        <v>PromptUserUMLHWarning,0,</v>
      </c>
      <c r="BM22" s="31" t="str">
        <f t="shared" si="83"/>
        <v>BypassOpenStudio_all,0,</v>
      </c>
      <c r="BN22" s="31" t="str">
        <f t="shared" si="84"/>
        <v>BypassOpenStudio_zp,0,</v>
      </c>
      <c r="BO22" s="31" t="str">
        <f t="shared" si="85"/>
        <v>BypassOpenStudio_zb,0,</v>
      </c>
      <c r="BP22" s="31" t="str">
        <f t="shared" si="86"/>
        <v>BypassOpenStudio_ap,0,</v>
      </c>
      <c r="BQ22" s="31" t="str">
        <f t="shared" si="87"/>
        <v>BypassOpenStudio_ab,0,</v>
      </c>
      <c r="BR22" s="31" t="str">
        <f t="shared" si="88"/>
        <v>BypassOpenStudio_zp,0,</v>
      </c>
      <c r="BS22" s="31" t="str">
        <f t="shared" si="89"/>
        <v>BypassOpenStudio_zb,0,</v>
      </c>
      <c r="BT22" s="31" t="str">
        <f t="shared" si="90"/>
        <v>BypassOpenStudio_ap,0,</v>
      </c>
      <c r="BU22" s="31" t="str">
        <f t="shared" si="91"/>
        <v>BypassOpenStudio_ab,0,</v>
      </c>
    </row>
    <row r="23" spans="1:74" hidden="1" outlineLevel="1" x14ac:dyDescent="0.25">
      <c r="A23" s="39">
        <f t="shared" si="36"/>
        <v>0</v>
      </c>
      <c r="B23" s="27" t="str">
        <f t="shared" si="37"/>
        <v>StandardModelTests2016\x.cibd16</v>
      </c>
      <c r="C23" s="27" t="str">
        <f t="shared" si="38"/>
        <v>BatchOut_171026_r5178_FinalRel-v3-SSTSG_Std16\x.cibd16</v>
      </c>
      <c r="D23" s="27" t="str">
        <f t="shared" si="39"/>
        <v>BatchOut_171026_r5178_FinalRel-v3-SSTSG_Std16\XML\</v>
      </c>
      <c r="E23" s="9" t="str">
        <f t="shared" si="40"/>
        <v>x</v>
      </c>
      <c r="F23" s="22"/>
      <c r="G23" s="29"/>
      <c r="H23" s="23"/>
      <c r="I23" s="9" t="s">
        <v>11</v>
      </c>
      <c r="J23"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 s="15" t="s">
        <v>1</v>
      </c>
      <c r="L23" s="36">
        <f t="shared" si="53"/>
        <v>0</v>
      </c>
      <c r="M23" s="91" t="str">
        <f t="shared" si="42"/>
        <v>x</v>
      </c>
      <c r="N23" s="90" t="s">
        <v>149</v>
      </c>
      <c r="O23" s="57" t="str">
        <f t="shared" si="43"/>
        <v>x</v>
      </c>
      <c r="P23" s="63">
        <f t="shared" si="54"/>
        <v>1</v>
      </c>
      <c r="Q23" s="65">
        <f t="shared" si="54"/>
        <v>1</v>
      </c>
      <c r="R23" s="65">
        <f t="shared" si="54"/>
        <v>0</v>
      </c>
      <c r="S23" s="65">
        <f t="shared" si="54"/>
        <v>1</v>
      </c>
      <c r="T23" s="65">
        <f t="shared" si="54"/>
        <v>0</v>
      </c>
      <c r="U23" s="65">
        <f t="shared" si="55"/>
        <v>8</v>
      </c>
      <c r="V23" s="65">
        <f t="shared" si="56"/>
        <v>8</v>
      </c>
      <c r="W23" s="65">
        <f t="shared" si="57"/>
        <v>1</v>
      </c>
      <c r="X23" s="65">
        <f t="shared" si="57"/>
        <v>0</v>
      </c>
      <c r="Y23" s="65">
        <f t="shared" si="57"/>
        <v>0</v>
      </c>
      <c r="Z23" s="65">
        <f t="shared" si="57"/>
        <v>0</v>
      </c>
      <c r="AA23" s="65">
        <f t="shared" si="57"/>
        <v>0</v>
      </c>
      <c r="AB23" s="65">
        <f t="shared" si="57"/>
        <v>1</v>
      </c>
      <c r="AC23" s="65">
        <f t="shared" si="47"/>
        <v>0</v>
      </c>
      <c r="AD23" s="65">
        <f t="shared" si="47"/>
        <v>1</v>
      </c>
      <c r="AE23" s="65">
        <f t="shared" ref="AE23:AF23" si="99">AE22</f>
        <v>0</v>
      </c>
      <c r="AF23" s="65">
        <f t="shared" si="99"/>
        <v>0</v>
      </c>
      <c r="AG23" s="65">
        <f t="shared" ref="AG23:AH23" si="100">AG22</f>
        <v>0</v>
      </c>
      <c r="AH23" s="65">
        <f t="shared" si="100"/>
        <v>0</v>
      </c>
      <c r="AI23" s="65">
        <f t="shared" ref="AI23" si="101">AI22</f>
        <v>0</v>
      </c>
      <c r="AJ23" s="63">
        <f t="shared" si="61"/>
        <v>0</v>
      </c>
      <c r="AK23" s="64">
        <f t="shared" si="62"/>
        <v>0</v>
      </c>
      <c r="AL23" s="64">
        <f t="shared" si="62"/>
        <v>0</v>
      </c>
      <c r="AM23" s="64">
        <f t="shared" si="62"/>
        <v>0</v>
      </c>
      <c r="AN23" s="66">
        <f t="shared" si="51"/>
        <v>0</v>
      </c>
      <c r="AO23" s="63">
        <f t="shared" si="51"/>
        <v>0</v>
      </c>
      <c r="AP23" s="64">
        <f t="shared" si="51"/>
        <v>0</v>
      </c>
      <c r="AQ23" s="65">
        <f t="shared" si="51"/>
        <v>0</v>
      </c>
      <c r="AR23" s="66">
        <f t="shared" si="51"/>
        <v>0</v>
      </c>
      <c r="AS23" s="31" t="str">
        <f t="shared" si="63"/>
        <v>SimulationStorage,1,</v>
      </c>
      <c r="AT23" s="31" t="str">
        <f t="shared" si="64"/>
        <v>AnalysisStorage,1,</v>
      </c>
      <c r="AU23" s="31" t="str">
        <f t="shared" si="65"/>
        <v>LogRuleEvaluation,0,</v>
      </c>
      <c r="AV23" s="31" t="str">
        <f t="shared" si="66"/>
        <v>ParallelSimulations,1,</v>
      </c>
      <c r="AW23" s="31" t="str">
        <f t="shared" si="67"/>
        <v>DurationStats,0,</v>
      </c>
      <c r="AX23" s="31" t="str">
        <f t="shared" si="68"/>
        <v>AnalysisThruStep,8,</v>
      </c>
      <c r="AY23" s="31" t="str">
        <f t="shared" si="69"/>
        <v>DontAbortOnErrorsThruStep,8,</v>
      </c>
      <c r="AZ23" s="31" t="str">
        <f t="shared" si="70"/>
        <v>BypassValidFileChecks,1,</v>
      </c>
      <c r="BA23" s="31" t="str">
        <f t="shared" si="71"/>
        <v>BypassInputChecks,0,</v>
      </c>
      <c r="BB23" s="31" t="str">
        <f t="shared" si="72"/>
        <v>BypassUMLHChecks,0,</v>
      </c>
      <c r="BC23" s="31" t="str">
        <f t="shared" si="73"/>
        <v>BypassCheckSimRules,0,</v>
      </c>
      <c r="BD23" s="31" t="str">
        <f t="shared" si="74"/>
        <v>BypassCheckCodeRules,0,</v>
      </c>
      <c r="BE23" s="31" t="str">
        <f t="shared" si="75"/>
        <v>StoreResultsToModelInput,1,</v>
      </c>
      <c r="BF23" s="31" t="str">
        <f t="shared" si="76"/>
        <v>StoreBEMDetails,0,</v>
      </c>
      <c r="BG23" s="31" t="str">
        <f t="shared" si="77"/>
        <v>ModelRpt_ALL,1,</v>
      </c>
      <c r="BH23" s="31" t="str">
        <f t="shared" si="78"/>
        <v>ExportHourlyResults_All,0,</v>
      </c>
      <c r="BI23" s="31" t="str">
        <f t="shared" si="79"/>
        <v>ComplianceReportPDF,0,</v>
      </c>
      <c r="BJ23" s="31" t="str">
        <f t="shared" si="80"/>
        <v>ComplianceReportXML,0,</v>
      </c>
      <c r="BK23" s="31" t="str">
        <f t="shared" si="81"/>
        <v>QuickAnalysis,0,</v>
      </c>
      <c r="BL23" s="31" t="str">
        <f t="shared" si="82"/>
        <v>PromptUserUMLHWarning,0,</v>
      </c>
      <c r="BM23" s="31" t="str">
        <f t="shared" si="83"/>
        <v>BypassOpenStudio_all,0,</v>
      </c>
      <c r="BN23" s="31" t="str">
        <f t="shared" si="84"/>
        <v>BypassOpenStudio_zp,0,</v>
      </c>
      <c r="BO23" s="31" t="str">
        <f t="shared" si="85"/>
        <v>BypassOpenStudio_zb,0,</v>
      </c>
      <c r="BP23" s="31" t="str">
        <f t="shared" si="86"/>
        <v>BypassOpenStudio_ap,0,</v>
      </c>
      <c r="BQ23" s="31" t="str">
        <f t="shared" si="87"/>
        <v>BypassOpenStudio_ab,0,</v>
      </c>
      <c r="BR23" s="31" t="str">
        <f t="shared" si="88"/>
        <v>BypassOpenStudio_zp,0,</v>
      </c>
      <c r="BS23" s="31" t="str">
        <f t="shared" si="89"/>
        <v>BypassOpenStudio_zb,0,</v>
      </c>
      <c r="BT23" s="31" t="str">
        <f t="shared" si="90"/>
        <v>BypassOpenStudio_ap,0,</v>
      </c>
      <c r="BU23" s="31" t="str">
        <f t="shared" si="91"/>
        <v>BypassOpenStudio_ab,0,</v>
      </c>
    </row>
    <row r="24" spans="1:74" hidden="1" outlineLevel="1" x14ac:dyDescent="0.25">
      <c r="A24" s="39">
        <f t="shared" si="36"/>
        <v>0</v>
      </c>
      <c r="B24" s="27" t="str">
        <f t="shared" si="37"/>
        <v>StandardModelTests2016\x.cibd16</v>
      </c>
      <c r="C24" s="27" t="str">
        <f t="shared" si="38"/>
        <v>BatchOut_171026_r5178_FinalRel-v3-SSTSG_Std16\x.cibd16</v>
      </c>
      <c r="D24" s="27" t="str">
        <f t="shared" si="39"/>
        <v>BatchOut_171026_r5178_FinalRel-v3-SSTSG_Std16\XML\</v>
      </c>
      <c r="E24" s="9" t="str">
        <f t="shared" si="40"/>
        <v>x</v>
      </c>
      <c r="F24" s="22"/>
      <c r="G24" s="29"/>
      <c r="H24" s="23"/>
      <c r="I24" s="9" t="s">
        <v>11</v>
      </c>
      <c r="J24"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 s="15" t="s">
        <v>1</v>
      </c>
      <c r="L24" s="36">
        <f t="shared" si="53"/>
        <v>0</v>
      </c>
      <c r="M24" s="91" t="str">
        <f t="shared" si="42"/>
        <v>x</v>
      </c>
      <c r="N24" s="90" t="s">
        <v>149</v>
      </c>
      <c r="O24" s="57" t="str">
        <f t="shared" si="43"/>
        <v>x</v>
      </c>
      <c r="P24" s="63">
        <f t="shared" si="54"/>
        <v>1</v>
      </c>
      <c r="Q24" s="65">
        <f t="shared" si="54"/>
        <v>1</v>
      </c>
      <c r="R24" s="65">
        <f t="shared" si="54"/>
        <v>0</v>
      </c>
      <c r="S24" s="65">
        <f t="shared" si="54"/>
        <v>1</v>
      </c>
      <c r="T24" s="65">
        <f t="shared" si="54"/>
        <v>0</v>
      </c>
      <c r="U24" s="65">
        <f t="shared" si="55"/>
        <v>8</v>
      </c>
      <c r="V24" s="65">
        <f t="shared" si="56"/>
        <v>8</v>
      </c>
      <c r="W24" s="65">
        <f t="shared" si="57"/>
        <v>1</v>
      </c>
      <c r="X24" s="65">
        <f t="shared" si="57"/>
        <v>0</v>
      </c>
      <c r="Y24" s="65">
        <f t="shared" si="57"/>
        <v>0</v>
      </c>
      <c r="Z24" s="65">
        <f t="shared" si="57"/>
        <v>0</v>
      </c>
      <c r="AA24" s="65">
        <f t="shared" si="57"/>
        <v>0</v>
      </c>
      <c r="AB24" s="65">
        <f t="shared" si="57"/>
        <v>1</v>
      </c>
      <c r="AC24" s="65">
        <f t="shared" si="47"/>
        <v>0</v>
      </c>
      <c r="AD24" s="65">
        <f t="shared" si="47"/>
        <v>1</v>
      </c>
      <c r="AE24" s="65">
        <f t="shared" ref="AE24:AF24" si="102">AE23</f>
        <v>0</v>
      </c>
      <c r="AF24" s="65">
        <f t="shared" si="102"/>
        <v>0</v>
      </c>
      <c r="AG24" s="65">
        <f t="shared" ref="AG24:AH24" si="103">AG23</f>
        <v>0</v>
      </c>
      <c r="AH24" s="65">
        <f t="shared" si="103"/>
        <v>0</v>
      </c>
      <c r="AI24" s="65">
        <f t="shared" ref="AI24" si="104">AI23</f>
        <v>0</v>
      </c>
      <c r="AJ24" s="63">
        <f t="shared" si="61"/>
        <v>0</v>
      </c>
      <c r="AK24" s="64">
        <f t="shared" si="62"/>
        <v>0</v>
      </c>
      <c r="AL24" s="64">
        <f t="shared" si="62"/>
        <v>0</v>
      </c>
      <c r="AM24" s="64">
        <f t="shared" si="62"/>
        <v>0</v>
      </c>
      <c r="AN24" s="66">
        <f t="shared" si="51"/>
        <v>0</v>
      </c>
      <c r="AO24" s="63">
        <f t="shared" si="51"/>
        <v>0</v>
      </c>
      <c r="AP24" s="64">
        <f t="shared" si="51"/>
        <v>0</v>
      </c>
      <c r="AQ24" s="65">
        <f t="shared" si="51"/>
        <v>0</v>
      </c>
      <c r="AR24" s="66">
        <f t="shared" si="51"/>
        <v>0</v>
      </c>
      <c r="AS24" s="31" t="str">
        <f t="shared" si="63"/>
        <v>SimulationStorage,1,</v>
      </c>
      <c r="AT24" s="31" t="str">
        <f t="shared" si="64"/>
        <v>AnalysisStorage,1,</v>
      </c>
      <c r="AU24" s="31" t="str">
        <f t="shared" si="65"/>
        <v>LogRuleEvaluation,0,</v>
      </c>
      <c r="AV24" s="31" t="str">
        <f t="shared" si="66"/>
        <v>ParallelSimulations,1,</v>
      </c>
      <c r="AW24" s="31" t="str">
        <f t="shared" si="67"/>
        <v>DurationStats,0,</v>
      </c>
      <c r="AX24" s="31" t="str">
        <f t="shared" si="68"/>
        <v>AnalysisThruStep,8,</v>
      </c>
      <c r="AY24" s="31" t="str">
        <f t="shared" si="69"/>
        <v>DontAbortOnErrorsThruStep,8,</v>
      </c>
      <c r="AZ24" s="31" t="str">
        <f t="shared" si="70"/>
        <v>BypassValidFileChecks,1,</v>
      </c>
      <c r="BA24" s="31" t="str">
        <f t="shared" si="71"/>
        <v>BypassInputChecks,0,</v>
      </c>
      <c r="BB24" s="31" t="str">
        <f t="shared" si="72"/>
        <v>BypassUMLHChecks,0,</v>
      </c>
      <c r="BC24" s="31" t="str">
        <f t="shared" si="73"/>
        <v>BypassCheckSimRules,0,</v>
      </c>
      <c r="BD24" s="31" t="str">
        <f t="shared" si="74"/>
        <v>BypassCheckCodeRules,0,</v>
      </c>
      <c r="BE24" s="31" t="str">
        <f t="shared" si="75"/>
        <v>StoreResultsToModelInput,1,</v>
      </c>
      <c r="BF24" s="31" t="str">
        <f t="shared" si="76"/>
        <v>StoreBEMDetails,0,</v>
      </c>
      <c r="BG24" s="31" t="str">
        <f t="shared" si="77"/>
        <v>ModelRpt_ALL,1,</v>
      </c>
      <c r="BH24" s="31" t="str">
        <f t="shared" si="78"/>
        <v>ExportHourlyResults_All,0,</v>
      </c>
      <c r="BI24" s="31" t="str">
        <f t="shared" si="79"/>
        <v>ComplianceReportPDF,0,</v>
      </c>
      <c r="BJ24" s="31" t="str">
        <f t="shared" si="80"/>
        <v>ComplianceReportXML,0,</v>
      </c>
      <c r="BK24" s="31" t="str">
        <f t="shared" si="81"/>
        <v>QuickAnalysis,0,</v>
      </c>
      <c r="BL24" s="31" t="str">
        <f t="shared" si="82"/>
        <v>PromptUserUMLHWarning,0,</v>
      </c>
      <c r="BM24" s="31" t="str">
        <f t="shared" si="83"/>
        <v>BypassOpenStudio_all,0,</v>
      </c>
      <c r="BN24" s="31" t="str">
        <f t="shared" si="84"/>
        <v>BypassOpenStudio_zp,0,</v>
      </c>
      <c r="BO24" s="31" t="str">
        <f t="shared" si="85"/>
        <v>BypassOpenStudio_zb,0,</v>
      </c>
      <c r="BP24" s="31" t="str">
        <f t="shared" si="86"/>
        <v>BypassOpenStudio_ap,0,</v>
      </c>
      <c r="BQ24" s="31" t="str">
        <f t="shared" si="87"/>
        <v>BypassOpenStudio_ab,0,</v>
      </c>
      <c r="BR24" s="31" t="str">
        <f t="shared" si="88"/>
        <v>BypassOpenStudio_zp,0,</v>
      </c>
      <c r="BS24" s="31" t="str">
        <f t="shared" si="89"/>
        <v>BypassOpenStudio_zb,0,</v>
      </c>
      <c r="BT24" s="31" t="str">
        <f t="shared" si="90"/>
        <v>BypassOpenStudio_ap,0,</v>
      </c>
      <c r="BU24" s="31" t="str">
        <f t="shared" si="91"/>
        <v>BypassOpenStudio_ab,0,</v>
      </c>
    </row>
    <row r="25" spans="1:74" hidden="1" outlineLevel="1" x14ac:dyDescent="0.25">
      <c r="A25" s="39">
        <f t="shared" si="36"/>
        <v>0</v>
      </c>
      <c r="B25" s="27" t="str">
        <f t="shared" si="37"/>
        <v>StandardModelTests2016\x.cibd16</v>
      </c>
      <c r="C25" s="27" t="str">
        <f t="shared" si="38"/>
        <v>BatchOut_171026_r5178_FinalRel-v3-SSTSG_Std16\x.cibd16</v>
      </c>
      <c r="D25" s="27" t="str">
        <f t="shared" si="39"/>
        <v>BatchOut_171026_r5178_FinalRel-v3-SSTSG_Std16\XML\</v>
      </c>
      <c r="E25" s="9" t="str">
        <f t="shared" si="40"/>
        <v>x</v>
      </c>
      <c r="F25" s="22"/>
      <c r="G25" s="29"/>
      <c r="H25" s="23"/>
      <c r="I25" s="9" t="s">
        <v>11</v>
      </c>
      <c r="J25"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 s="15" t="s">
        <v>1</v>
      </c>
      <c r="L25" s="36">
        <f t="shared" si="53"/>
        <v>0</v>
      </c>
      <c r="M25" s="91" t="str">
        <f t="shared" si="42"/>
        <v>x</v>
      </c>
      <c r="N25" s="90" t="s">
        <v>149</v>
      </c>
      <c r="O25" s="57" t="str">
        <f t="shared" si="43"/>
        <v>x</v>
      </c>
      <c r="P25" s="63">
        <f t="shared" si="54"/>
        <v>1</v>
      </c>
      <c r="Q25" s="65">
        <f t="shared" si="54"/>
        <v>1</v>
      </c>
      <c r="R25" s="65">
        <f t="shared" si="54"/>
        <v>0</v>
      </c>
      <c r="S25" s="65">
        <f t="shared" si="54"/>
        <v>1</v>
      </c>
      <c r="T25" s="65">
        <f t="shared" si="54"/>
        <v>0</v>
      </c>
      <c r="U25" s="65">
        <f t="shared" si="55"/>
        <v>8</v>
      </c>
      <c r="V25" s="65">
        <f t="shared" si="56"/>
        <v>8</v>
      </c>
      <c r="W25" s="65">
        <f t="shared" si="57"/>
        <v>1</v>
      </c>
      <c r="X25" s="65">
        <f t="shared" si="57"/>
        <v>0</v>
      </c>
      <c r="Y25" s="65">
        <f t="shared" si="57"/>
        <v>0</v>
      </c>
      <c r="Z25" s="65">
        <f t="shared" si="57"/>
        <v>0</v>
      </c>
      <c r="AA25" s="65">
        <f t="shared" si="57"/>
        <v>0</v>
      </c>
      <c r="AB25" s="65">
        <f t="shared" si="57"/>
        <v>1</v>
      </c>
      <c r="AC25" s="65">
        <f t="shared" si="47"/>
        <v>0</v>
      </c>
      <c r="AD25" s="65">
        <f t="shared" si="47"/>
        <v>1</v>
      </c>
      <c r="AE25" s="65">
        <f t="shared" ref="AE25:AF25" si="105">AE24</f>
        <v>0</v>
      </c>
      <c r="AF25" s="65">
        <f t="shared" si="105"/>
        <v>0</v>
      </c>
      <c r="AG25" s="65">
        <f t="shared" ref="AG25:AH25" si="106">AG24</f>
        <v>0</v>
      </c>
      <c r="AH25" s="65">
        <f t="shared" si="106"/>
        <v>0</v>
      </c>
      <c r="AI25" s="65">
        <f t="shared" ref="AI25" si="107">AI24</f>
        <v>0</v>
      </c>
      <c r="AJ25" s="63">
        <f t="shared" si="61"/>
        <v>0</v>
      </c>
      <c r="AK25" s="64">
        <f t="shared" si="62"/>
        <v>0</v>
      </c>
      <c r="AL25" s="64">
        <f t="shared" si="62"/>
        <v>0</v>
      </c>
      <c r="AM25" s="64">
        <f t="shared" si="62"/>
        <v>0</v>
      </c>
      <c r="AN25" s="66">
        <f t="shared" si="51"/>
        <v>0</v>
      </c>
      <c r="AO25" s="63">
        <f t="shared" si="51"/>
        <v>0</v>
      </c>
      <c r="AP25" s="64">
        <f t="shared" si="51"/>
        <v>0</v>
      </c>
      <c r="AQ25" s="65">
        <f t="shared" si="51"/>
        <v>0</v>
      </c>
      <c r="AR25" s="66">
        <f t="shared" si="51"/>
        <v>0</v>
      </c>
      <c r="AS25" s="31" t="str">
        <f t="shared" si="63"/>
        <v>SimulationStorage,1,</v>
      </c>
      <c r="AT25" s="31" t="str">
        <f t="shared" si="64"/>
        <v>AnalysisStorage,1,</v>
      </c>
      <c r="AU25" s="31" t="str">
        <f t="shared" si="65"/>
        <v>LogRuleEvaluation,0,</v>
      </c>
      <c r="AV25" s="31" t="str">
        <f t="shared" si="66"/>
        <v>ParallelSimulations,1,</v>
      </c>
      <c r="AW25" s="31" t="str">
        <f t="shared" si="67"/>
        <v>DurationStats,0,</v>
      </c>
      <c r="AX25" s="31" t="str">
        <f t="shared" si="68"/>
        <v>AnalysisThruStep,8,</v>
      </c>
      <c r="AY25" s="31" t="str">
        <f t="shared" si="69"/>
        <v>DontAbortOnErrorsThruStep,8,</v>
      </c>
      <c r="AZ25" s="31" t="str">
        <f t="shared" si="70"/>
        <v>BypassValidFileChecks,1,</v>
      </c>
      <c r="BA25" s="31" t="str">
        <f t="shared" si="71"/>
        <v>BypassInputChecks,0,</v>
      </c>
      <c r="BB25" s="31" t="str">
        <f t="shared" si="72"/>
        <v>BypassUMLHChecks,0,</v>
      </c>
      <c r="BC25" s="31" t="str">
        <f t="shared" si="73"/>
        <v>BypassCheckSimRules,0,</v>
      </c>
      <c r="BD25" s="31" t="str">
        <f t="shared" si="74"/>
        <v>BypassCheckCodeRules,0,</v>
      </c>
      <c r="BE25" s="31" t="str">
        <f t="shared" si="75"/>
        <v>StoreResultsToModelInput,1,</v>
      </c>
      <c r="BF25" s="31" t="str">
        <f t="shared" si="76"/>
        <v>StoreBEMDetails,0,</v>
      </c>
      <c r="BG25" s="31" t="str">
        <f t="shared" si="77"/>
        <v>ModelRpt_ALL,1,</v>
      </c>
      <c r="BH25" s="31" t="str">
        <f t="shared" si="78"/>
        <v>ExportHourlyResults_All,0,</v>
      </c>
      <c r="BI25" s="31" t="str">
        <f t="shared" si="79"/>
        <v>ComplianceReportPDF,0,</v>
      </c>
      <c r="BJ25" s="31" t="str">
        <f t="shared" si="80"/>
        <v>ComplianceReportXML,0,</v>
      </c>
      <c r="BK25" s="31" t="str">
        <f t="shared" si="81"/>
        <v>QuickAnalysis,0,</v>
      </c>
      <c r="BL25" s="31" t="str">
        <f t="shared" si="82"/>
        <v>PromptUserUMLHWarning,0,</v>
      </c>
      <c r="BM25" s="31" t="str">
        <f t="shared" si="83"/>
        <v>BypassOpenStudio_all,0,</v>
      </c>
      <c r="BN25" s="31" t="str">
        <f t="shared" si="84"/>
        <v>BypassOpenStudio_zp,0,</v>
      </c>
      <c r="BO25" s="31" t="str">
        <f t="shared" si="85"/>
        <v>BypassOpenStudio_zb,0,</v>
      </c>
      <c r="BP25" s="31" t="str">
        <f t="shared" si="86"/>
        <v>BypassOpenStudio_ap,0,</v>
      </c>
      <c r="BQ25" s="31" t="str">
        <f t="shared" si="87"/>
        <v>BypassOpenStudio_ab,0,</v>
      </c>
      <c r="BR25" s="31" t="str">
        <f t="shared" si="88"/>
        <v>BypassOpenStudio_zp,0,</v>
      </c>
      <c r="BS25" s="31" t="str">
        <f t="shared" si="89"/>
        <v>BypassOpenStudio_zb,0,</v>
      </c>
      <c r="BT25" s="31" t="str">
        <f t="shared" si="90"/>
        <v>BypassOpenStudio_ap,0,</v>
      </c>
      <c r="BU25" s="31" t="str">
        <f t="shared" si="91"/>
        <v>BypassOpenStudio_ab,0,</v>
      </c>
    </row>
    <row r="26" spans="1:74" hidden="1" outlineLevel="1" x14ac:dyDescent="0.25">
      <c r="A26" s="39">
        <f t="shared" si="36"/>
        <v>0</v>
      </c>
      <c r="B26" s="27" t="str">
        <f t="shared" si="37"/>
        <v>StandardModelTests2016\x.cibd16</v>
      </c>
      <c r="C26" s="27" t="str">
        <f t="shared" si="38"/>
        <v>BatchOut_171026_r5178_FinalRel-v3-SSTSG_Std16\x.cibd16</v>
      </c>
      <c r="D26" s="27" t="str">
        <f t="shared" si="39"/>
        <v>BatchOut_171026_r5178_FinalRel-v3-SSTSG_Std16\XML\</v>
      </c>
      <c r="E26" s="9" t="str">
        <f t="shared" si="40"/>
        <v>x</v>
      </c>
      <c r="F26" s="22"/>
      <c r="G26" s="29"/>
      <c r="H26" s="23"/>
      <c r="I26" s="9" t="s">
        <v>11</v>
      </c>
      <c r="J26"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 s="15" t="s">
        <v>1</v>
      </c>
      <c r="L26" s="92">
        <f t="shared" si="53"/>
        <v>0</v>
      </c>
      <c r="M26" s="91" t="str">
        <f t="shared" si="42"/>
        <v>x</v>
      </c>
      <c r="N26" s="90" t="s">
        <v>149</v>
      </c>
      <c r="O26" s="57" t="str">
        <f t="shared" si="43"/>
        <v>x</v>
      </c>
      <c r="P26" s="63">
        <f t="shared" si="54"/>
        <v>1</v>
      </c>
      <c r="Q26" s="65">
        <f t="shared" si="54"/>
        <v>1</v>
      </c>
      <c r="R26" s="65">
        <f t="shared" si="54"/>
        <v>0</v>
      </c>
      <c r="S26" s="65">
        <f t="shared" si="54"/>
        <v>1</v>
      </c>
      <c r="T26" s="65">
        <f t="shared" si="54"/>
        <v>0</v>
      </c>
      <c r="U26" s="65">
        <f t="shared" si="55"/>
        <v>8</v>
      </c>
      <c r="V26" s="65">
        <f t="shared" si="56"/>
        <v>8</v>
      </c>
      <c r="W26" s="65">
        <f t="shared" si="57"/>
        <v>1</v>
      </c>
      <c r="X26" s="65">
        <f t="shared" si="57"/>
        <v>0</v>
      </c>
      <c r="Y26" s="65">
        <f t="shared" si="57"/>
        <v>0</v>
      </c>
      <c r="Z26" s="65">
        <f t="shared" si="57"/>
        <v>0</v>
      </c>
      <c r="AA26" s="65">
        <f t="shared" si="57"/>
        <v>0</v>
      </c>
      <c r="AB26" s="65">
        <f t="shared" si="57"/>
        <v>1</v>
      </c>
      <c r="AC26" s="65">
        <f t="shared" si="47"/>
        <v>0</v>
      </c>
      <c r="AD26" s="65">
        <f t="shared" si="47"/>
        <v>1</v>
      </c>
      <c r="AE26" s="65">
        <f t="shared" ref="AE26:AF26" si="108">AE25</f>
        <v>0</v>
      </c>
      <c r="AF26" s="65">
        <f t="shared" si="108"/>
        <v>0</v>
      </c>
      <c r="AG26" s="65">
        <f t="shared" ref="AG26:AH26" si="109">AG25</f>
        <v>0</v>
      </c>
      <c r="AH26" s="65">
        <f t="shared" si="109"/>
        <v>0</v>
      </c>
      <c r="AI26" s="65">
        <f t="shared" ref="AI26" si="110">AI25</f>
        <v>0</v>
      </c>
      <c r="AJ26" s="63">
        <f t="shared" si="61"/>
        <v>0</v>
      </c>
      <c r="AK26" s="64">
        <f t="shared" si="62"/>
        <v>0</v>
      </c>
      <c r="AL26" s="64">
        <f t="shared" si="62"/>
        <v>0</v>
      </c>
      <c r="AM26" s="64">
        <f t="shared" si="62"/>
        <v>0</v>
      </c>
      <c r="AN26" s="66">
        <f t="shared" si="51"/>
        <v>0</v>
      </c>
      <c r="AO26" s="63">
        <f t="shared" si="51"/>
        <v>0</v>
      </c>
      <c r="AP26" s="64">
        <f t="shared" si="51"/>
        <v>0</v>
      </c>
      <c r="AQ26" s="65">
        <f t="shared" si="51"/>
        <v>0</v>
      </c>
      <c r="AR26" s="66">
        <f t="shared" si="51"/>
        <v>0</v>
      </c>
      <c r="AS26" s="31" t="str">
        <f t="shared" si="63"/>
        <v>SimulationStorage,1,</v>
      </c>
      <c r="AT26" s="31" t="str">
        <f t="shared" si="64"/>
        <v>AnalysisStorage,1,</v>
      </c>
      <c r="AU26" s="31" t="str">
        <f t="shared" si="65"/>
        <v>LogRuleEvaluation,0,</v>
      </c>
      <c r="AV26" s="31" t="str">
        <f t="shared" si="66"/>
        <v>ParallelSimulations,1,</v>
      </c>
      <c r="AW26" s="31" t="str">
        <f t="shared" si="67"/>
        <v>DurationStats,0,</v>
      </c>
      <c r="AX26" s="31" t="str">
        <f t="shared" si="68"/>
        <v>AnalysisThruStep,8,</v>
      </c>
      <c r="AY26" s="31" t="str">
        <f t="shared" si="69"/>
        <v>DontAbortOnErrorsThruStep,8,</v>
      </c>
      <c r="AZ26" s="31" t="str">
        <f t="shared" si="70"/>
        <v>BypassValidFileChecks,1,</v>
      </c>
      <c r="BA26" s="31" t="str">
        <f t="shared" si="71"/>
        <v>BypassInputChecks,0,</v>
      </c>
      <c r="BB26" s="31" t="str">
        <f t="shared" si="72"/>
        <v>BypassUMLHChecks,0,</v>
      </c>
      <c r="BC26" s="31" t="str">
        <f t="shared" si="73"/>
        <v>BypassCheckSimRules,0,</v>
      </c>
      <c r="BD26" s="31" t="str">
        <f t="shared" si="74"/>
        <v>BypassCheckCodeRules,0,</v>
      </c>
      <c r="BE26" s="31" t="str">
        <f t="shared" si="75"/>
        <v>StoreResultsToModelInput,1,</v>
      </c>
      <c r="BF26" s="31" t="str">
        <f t="shared" si="76"/>
        <v>StoreBEMDetails,0,</v>
      </c>
      <c r="BG26" s="31" t="str">
        <f t="shared" si="77"/>
        <v>ModelRpt_ALL,1,</v>
      </c>
      <c r="BH26" s="31" t="str">
        <f t="shared" si="78"/>
        <v>ExportHourlyResults_All,0,</v>
      </c>
      <c r="BI26" s="31" t="str">
        <f t="shared" si="79"/>
        <v>ComplianceReportPDF,0,</v>
      </c>
      <c r="BJ26" s="31" t="str">
        <f t="shared" si="80"/>
        <v>ComplianceReportXML,0,</v>
      </c>
      <c r="BK26" s="31" t="str">
        <f t="shared" si="81"/>
        <v>QuickAnalysis,0,</v>
      </c>
      <c r="BL26" s="31" t="str">
        <f t="shared" si="82"/>
        <v>PromptUserUMLHWarning,0,</v>
      </c>
      <c r="BM26" s="31" t="str">
        <f t="shared" si="83"/>
        <v>BypassOpenStudio_all,0,</v>
      </c>
      <c r="BN26" s="31" t="str">
        <f t="shared" si="84"/>
        <v>BypassOpenStudio_zp,0,</v>
      </c>
      <c r="BO26" s="31" t="str">
        <f t="shared" si="85"/>
        <v>BypassOpenStudio_zb,0,</v>
      </c>
      <c r="BP26" s="31" t="str">
        <f t="shared" si="86"/>
        <v>BypassOpenStudio_ap,0,</v>
      </c>
      <c r="BQ26" s="31" t="str">
        <f t="shared" si="87"/>
        <v>BypassOpenStudio_ab,0,</v>
      </c>
      <c r="BR26" s="31" t="str">
        <f t="shared" si="88"/>
        <v>BypassOpenStudio_zp,0,</v>
      </c>
      <c r="BS26" s="31" t="str">
        <f t="shared" si="89"/>
        <v>BypassOpenStudio_zb,0,</v>
      </c>
      <c r="BT26" s="31" t="str">
        <f t="shared" si="90"/>
        <v>BypassOpenStudio_ap,0,</v>
      </c>
      <c r="BU26" s="31" t="str">
        <f t="shared" si="91"/>
        <v>BypassOpenStudio_ab,0,</v>
      </c>
    </row>
    <row r="27" spans="1:74" hidden="1" outlineLevel="1" x14ac:dyDescent="0.25">
      <c r="A27" s="39">
        <f t="shared" si="36"/>
        <v>0</v>
      </c>
      <c r="B27" s="27" t="str">
        <f xml:space="preserve"> M$11&amp;N27&amp;".cibd16"</f>
        <v>StandardModelTests2016\x.cibd16</v>
      </c>
      <c r="C27" s="27" t="str">
        <f t="shared" si="38"/>
        <v>BatchOut_171026_r5178_FinalRel-v3-SSTSG_Std16\x.cibd16</v>
      </c>
      <c r="D27" s="27" t="str">
        <f t="shared" si="39"/>
        <v>BatchOut_171026_r5178_FinalRel-v3-SSTSG_Std16\XML\</v>
      </c>
      <c r="E27" s="9" t="str">
        <f t="shared" si="40"/>
        <v>x</v>
      </c>
      <c r="F27" s="22"/>
      <c r="G27" s="29"/>
      <c r="H27" s="23"/>
      <c r="I27" s="9" t="s">
        <v>11</v>
      </c>
      <c r="J27"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 s="15" t="s">
        <v>1</v>
      </c>
      <c r="L27" s="92">
        <f t="shared" si="53"/>
        <v>0</v>
      </c>
      <c r="M27" s="91" t="str">
        <f t="shared" si="42"/>
        <v>x</v>
      </c>
      <c r="N27" s="90" t="s">
        <v>149</v>
      </c>
      <c r="O27" s="57" t="str">
        <f t="shared" ref="O27" si="111">N27</f>
        <v>x</v>
      </c>
      <c r="P27" s="63">
        <f t="shared" si="54"/>
        <v>1</v>
      </c>
      <c r="Q27" s="65">
        <f t="shared" si="54"/>
        <v>1</v>
      </c>
      <c r="R27" s="65">
        <f t="shared" si="54"/>
        <v>0</v>
      </c>
      <c r="S27" s="65">
        <f t="shared" si="54"/>
        <v>1</v>
      </c>
      <c r="T27" s="65">
        <f t="shared" si="54"/>
        <v>0</v>
      </c>
      <c r="U27" s="65">
        <f t="shared" si="55"/>
        <v>8</v>
      </c>
      <c r="V27" s="65">
        <f t="shared" si="56"/>
        <v>8</v>
      </c>
      <c r="W27" s="65">
        <f t="shared" si="57"/>
        <v>1</v>
      </c>
      <c r="X27" s="65">
        <f t="shared" si="57"/>
        <v>0</v>
      </c>
      <c r="Y27" s="65">
        <f t="shared" si="57"/>
        <v>0</v>
      </c>
      <c r="Z27" s="65">
        <f t="shared" si="57"/>
        <v>0</v>
      </c>
      <c r="AA27" s="65">
        <f t="shared" si="57"/>
        <v>0</v>
      </c>
      <c r="AB27" s="65">
        <f t="shared" si="57"/>
        <v>1</v>
      </c>
      <c r="AC27" s="65">
        <f t="shared" si="47"/>
        <v>0</v>
      </c>
      <c r="AD27" s="65">
        <f t="shared" si="47"/>
        <v>1</v>
      </c>
      <c r="AE27" s="65">
        <f t="shared" ref="AE27:AF27" si="112">AE26</f>
        <v>0</v>
      </c>
      <c r="AF27" s="65">
        <f t="shared" si="112"/>
        <v>0</v>
      </c>
      <c r="AG27" s="65">
        <f t="shared" ref="AG27:AH27" si="113">AG26</f>
        <v>0</v>
      </c>
      <c r="AH27" s="65">
        <f t="shared" si="113"/>
        <v>0</v>
      </c>
      <c r="AI27" s="65">
        <f t="shared" ref="AI27" si="114">AI26</f>
        <v>0</v>
      </c>
      <c r="AJ27" s="63">
        <f t="shared" si="61"/>
        <v>0</v>
      </c>
      <c r="AK27" s="64">
        <f t="shared" si="62"/>
        <v>0</v>
      </c>
      <c r="AL27" s="64">
        <f t="shared" si="62"/>
        <v>0</v>
      </c>
      <c r="AM27" s="64">
        <f t="shared" si="62"/>
        <v>0</v>
      </c>
      <c r="AN27" s="66">
        <f t="shared" si="51"/>
        <v>0</v>
      </c>
      <c r="AO27" s="63">
        <f t="shared" si="51"/>
        <v>0</v>
      </c>
      <c r="AP27" s="64">
        <f t="shared" si="51"/>
        <v>0</v>
      </c>
      <c r="AQ27" s="65">
        <f t="shared" si="51"/>
        <v>0</v>
      </c>
      <c r="AR27" s="66">
        <f t="shared" si="51"/>
        <v>0</v>
      </c>
      <c r="AS27" s="31" t="str">
        <f t="shared" si="63"/>
        <v>SimulationStorage,1,</v>
      </c>
      <c r="AT27" s="31" t="str">
        <f t="shared" si="64"/>
        <v>AnalysisStorage,1,</v>
      </c>
      <c r="AU27" s="31" t="str">
        <f t="shared" si="65"/>
        <v>LogRuleEvaluation,0,</v>
      </c>
      <c r="AV27" s="31" t="str">
        <f t="shared" si="66"/>
        <v>ParallelSimulations,1,</v>
      </c>
      <c r="AW27" s="31" t="str">
        <f t="shared" si="67"/>
        <v>DurationStats,0,</v>
      </c>
      <c r="AX27" s="31" t="str">
        <f t="shared" si="68"/>
        <v>AnalysisThruStep,8,</v>
      </c>
      <c r="AY27" s="31" t="str">
        <f t="shared" si="69"/>
        <v>DontAbortOnErrorsThruStep,8,</v>
      </c>
      <c r="AZ27" s="31" t="str">
        <f t="shared" si="70"/>
        <v>BypassValidFileChecks,1,</v>
      </c>
      <c r="BA27" s="31" t="str">
        <f t="shared" si="71"/>
        <v>BypassInputChecks,0,</v>
      </c>
      <c r="BB27" s="31" t="str">
        <f t="shared" si="72"/>
        <v>BypassUMLHChecks,0,</v>
      </c>
      <c r="BC27" s="31" t="str">
        <f t="shared" si="73"/>
        <v>BypassCheckSimRules,0,</v>
      </c>
      <c r="BD27" s="31" t="str">
        <f t="shared" si="74"/>
        <v>BypassCheckCodeRules,0,</v>
      </c>
      <c r="BE27" s="31" t="str">
        <f t="shared" si="75"/>
        <v>StoreResultsToModelInput,1,</v>
      </c>
      <c r="BF27" s="31" t="str">
        <f t="shared" si="76"/>
        <v>StoreBEMDetails,0,</v>
      </c>
      <c r="BG27" s="31" t="str">
        <f t="shared" si="77"/>
        <v>ModelRpt_ALL,1,</v>
      </c>
      <c r="BH27" s="31" t="str">
        <f t="shared" si="78"/>
        <v>ExportHourlyResults_All,0,</v>
      </c>
      <c r="BI27" s="31" t="str">
        <f t="shared" si="79"/>
        <v>ComplianceReportPDF,0,</v>
      </c>
      <c r="BJ27" s="31" t="str">
        <f t="shared" si="80"/>
        <v>ComplianceReportXML,0,</v>
      </c>
      <c r="BK27" s="31" t="str">
        <f t="shared" si="81"/>
        <v>QuickAnalysis,0,</v>
      </c>
      <c r="BL27" s="31" t="str">
        <f t="shared" si="82"/>
        <v>PromptUserUMLHWarning,0,</v>
      </c>
      <c r="BM27" s="31" t="str">
        <f t="shared" si="83"/>
        <v>BypassOpenStudio_all,0,</v>
      </c>
      <c r="BN27" s="31" t="str">
        <f t="shared" si="84"/>
        <v>BypassOpenStudio_zp,0,</v>
      </c>
      <c r="BO27" s="31" t="str">
        <f t="shared" si="85"/>
        <v>BypassOpenStudio_zb,0,</v>
      </c>
      <c r="BP27" s="31" t="str">
        <f t="shared" si="86"/>
        <v>BypassOpenStudio_ap,0,</v>
      </c>
      <c r="BQ27" s="31" t="str">
        <f t="shared" si="87"/>
        <v>BypassOpenStudio_ab,0,</v>
      </c>
      <c r="BR27" s="31" t="str">
        <f t="shared" si="88"/>
        <v>BypassOpenStudio_zp,0,</v>
      </c>
      <c r="BS27" s="31" t="str">
        <f t="shared" si="89"/>
        <v>BypassOpenStudio_zb,0,</v>
      </c>
      <c r="BT27" s="31" t="str">
        <f t="shared" si="90"/>
        <v>BypassOpenStudio_ap,0,</v>
      </c>
      <c r="BU27" s="31" t="str">
        <f t="shared" si="91"/>
        <v>BypassOpenStudio_ab,0,</v>
      </c>
    </row>
    <row r="28" spans="1:74" hidden="1" outlineLevel="1" x14ac:dyDescent="0.25">
      <c r="A28" s="39">
        <f t="shared" si="36"/>
        <v>0</v>
      </c>
      <c r="B28" s="27" t="str">
        <f t="shared" si="37"/>
        <v>StandardModelTests2016\.cibd16</v>
      </c>
      <c r="C28" s="27" t="str">
        <f t="shared" si="38"/>
        <v>BatchOut_171026_r5178_FinalRel-v3-SSTSG_Std16\.cibd16</v>
      </c>
      <c r="D28" s="27" t="str">
        <f t="shared" si="39"/>
        <v>BatchOut_171026_r5178_FinalRel-v3-SSTSG_Std16\XML\</v>
      </c>
      <c r="E28" s="9">
        <f t="shared" si="40"/>
        <v>0</v>
      </c>
      <c r="F28" s="22"/>
      <c r="G28" s="29"/>
      <c r="H28" s="23"/>
      <c r="I28" s="9" t="s">
        <v>11</v>
      </c>
      <c r="J28"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 s="15" t="s">
        <v>1</v>
      </c>
      <c r="L28" s="36">
        <v>0</v>
      </c>
      <c r="M28" s="91">
        <f t="shared" si="42"/>
        <v>0</v>
      </c>
      <c r="N28" s="28"/>
      <c r="O28" s="57"/>
      <c r="P28" s="63">
        <f t="shared" si="54"/>
        <v>1</v>
      </c>
      <c r="Q28" s="65">
        <f t="shared" si="54"/>
        <v>1</v>
      </c>
      <c r="R28" s="65">
        <f t="shared" si="54"/>
        <v>0</v>
      </c>
      <c r="S28" s="65">
        <f t="shared" si="54"/>
        <v>1</v>
      </c>
      <c r="T28" s="65">
        <f t="shared" si="54"/>
        <v>0</v>
      </c>
      <c r="U28" s="65">
        <f t="shared" si="55"/>
        <v>8</v>
      </c>
      <c r="V28" s="65">
        <f t="shared" si="56"/>
        <v>8</v>
      </c>
      <c r="W28" s="65">
        <f t="shared" si="57"/>
        <v>1</v>
      </c>
      <c r="X28" s="65">
        <f t="shared" si="57"/>
        <v>0</v>
      </c>
      <c r="Y28" s="65">
        <f t="shared" si="57"/>
        <v>0</v>
      </c>
      <c r="Z28" s="65">
        <f t="shared" si="57"/>
        <v>0</v>
      </c>
      <c r="AA28" s="65">
        <f t="shared" si="57"/>
        <v>0</v>
      </c>
      <c r="AB28" s="65">
        <f t="shared" si="57"/>
        <v>1</v>
      </c>
      <c r="AC28" s="65">
        <f t="shared" si="47"/>
        <v>0</v>
      </c>
      <c r="AD28" s="65">
        <f t="shared" si="47"/>
        <v>1</v>
      </c>
      <c r="AE28" s="65">
        <f t="shared" ref="AE28:AF28" si="115">AE27</f>
        <v>0</v>
      </c>
      <c r="AF28" s="65">
        <f t="shared" si="115"/>
        <v>0</v>
      </c>
      <c r="AG28" s="65">
        <f t="shared" ref="AG28:AH28" si="116">AG27</f>
        <v>0</v>
      </c>
      <c r="AH28" s="65">
        <f t="shared" si="116"/>
        <v>0</v>
      </c>
      <c r="AI28" s="65">
        <f t="shared" ref="AI28" si="117">AI27</f>
        <v>0</v>
      </c>
      <c r="AJ28" s="63">
        <f t="shared" si="61"/>
        <v>0</v>
      </c>
      <c r="AK28" s="64">
        <f t="shared" si="62"/>
        <v>0</v>
      </c>
      <c r="AL28" s="64">
        <f t="shared" si="62"/>
        <v>0</v>
      </c>
      <c r="AM28" s="64">
        <f t="shared" si="62"/>
        <v>0</v>
      </c>
      <c r="AN28" s="66">
        <f t="shared" si="51"/>
        <v>0</v>
      </c>
      <c r="AO28" s="63">
        <f t="shared" si="51"/>
        <v>0</v>
      </c>
      <c r="AP28" s="64">
        <f t="shared" si="51"/>
        <v>0</v>
      </c>
      <c r="AQ28" s="65">
        <f t="shared" si="51"/>
        <v>0</v>
      </c>
      <c r="AR28" s="66">
        <f t="shared" si="51"/>
        <v>0</v>
      </c>
      <c r="AS28" s="31" t="str">
        <f t="shared" si="63"/>
        <v>SimulationStorage,1,</v>
      </c>
      <c r="AT28" s="31" t="str">
        <f t="shared" si="64"/>
        <v>AnalysisStorage,1,</v>
      </c>
      <c r="AU28" s="31" t="str">
        <f t="shared" si="65"/>
        <v>LogRuleEvaluation,0,</v>
      </c>
      <c r="AV28" s="31" t="str">
        <f t="shared" si="66"/>
        <v>ParallelSimulations,1,</v>
      </c>
      <c r="AW28" s="31" t="str">
        <f t="shared" si="67"/>
        <v>DurationStats,0,</v>
      </c>
      <c r="AX28" s="31" t="str">
        <f t="shared" si="68"/>
        <v>AnalysisThruStep,8,</v>
      </c>
      <c r="AY28" s="31" t="str">
        <f t="shared" si="69"/>
        <v>DontAbortOnErrorsThruStep,8,</v>
      </c>
      <c r="AZ28" s="31" t="str">
        <f t="shared" si="70"/>
        <v>BypassValidFileChecks,1,</v>
      </c>
      <c r="BA28" s="31" t="str">
        <f t="shared" si="71"/>
        <v>BypassInputChecks,0,</v>
      </c>
      <c r="BB28" s="31" t="str">
        <f t="shared" si="72"/>
        <v>BypassUMLHChecks,0,</v>
      </c>
      <c r="BC28" s="31" t="str">
        <f t="shared" si="73"/>
        <v>BypassCheckSimRules,0,</v>
      </c>
      <c r="BD28" s="31" t="str">
        <f t="shared" si="74"/>
        <v>BypassCheckCodeRules,0,</v>
      </c>
      <c r="BE28" s="31" t="str">
        <f t="shared" si="75"/>
        <v>StoreResultsToModelInput,1,</v>
      </c>
      <c r="BF28" s="31" t="str">
        <f t="shared" si="76"/>
        <v>StoreBEMDetails,0,</v>
      </c>
      <c r="BG28" s="31" t="str">
        <f t="shared" si="77"/>
        <v>ModelRpt_ALL,1,</v>
      </c>
      <c r="BH28" s="31" t="str">
        <f t="shared" si="78"/>
        <v>ExportHourlyResults_All,0,</v>
      </c>
      <c r="BI28" s="31" t="str">
        <f t="shared" si="79"/>
        <v>ComplianceReportPDF,0,</v>
      </c>
      <c r="BJ28" s="31" t="str">
        <f t="shared" si="80"/>
        <v>ComplianceReportXML,0,</v>
      </c>
      <c r="BK28" s="31" t="str">
        <f t="shared" si="81"/>
        <v>QuickAnalysis,0,</v>
      </c>
      <c r="BL28" s="31" t="str">
        <f t="shared" si="82"/>
        <v>PromptUserUMLHWarning,0,</v>
      </c>
      <c r="BM28" s="31" t="str">
        <f t="shared" si="83"/>
        <v>BypassOpenStudio_all,0,</v>
      </c>
      <c r="BN28" s="31" t="str">
        <f t="shared" si="84"/>
        <v>BypassOpenStudio_zp,0,</v>
      </c>
      <c r="BO28" s="31" t="str">
        <f t="shared" si="85"/>
        <v>BypassOpenStudio_zb,0,</v>
      </c>
      <c r="BP28" s="31" t="str">
        <f t="shared" si="86"/>
        <v>BypassOpenStudio_ap,0,</v>
      </c>
      <c r="BQ28" s="31" t="str">
        <f t="shared" si="87"/>
        <v>BypassOpenStudio_ab,0,</v>
      </c>
      <c r="BR28" s="31" t="str">
        <f t="shared" si="88"/>
        <v>BypassOpenStudio_zp,0,</v>
      </c>
      <c r="BS28" s="31" t="str">
        <f t="shared" si="89"/>
        <v>BypassOpenStudio_zb,0,</v>
      </c>
      <c r="BT28" s="31" t="str">
        <f t="shared" si="90"/>
        <v>BypassOpenStudio_ap,0,</v>
      </c>
      <c r="BU28" s="31" t="str">
        <f t="shared" si="91"/>
        <v>BypassOpenStudio_ab,0,</v>
      </c>
    </row>
    <row r="29" spans="1:74" hidden="1" outlineLevel="1" x14ac:dyDescent="0.25">
      <c r="A29" s="39">
        <f>L29</f>
        <v>0</v>
      </c>
      <c r="B29" s="27" t="str">
        <f t="shared" si="37"/>
        <v>StandardModelTests2016\.cibd16</v>
      </c>
      <c r="C29" s="27" t="str">
        <f t="shared" si="38"/>
        <v>BatchOut_171026_r5178_FinalRel-v3-SSTSG_Std16\.cibd16</v>
      </c>
      <c r="D29" s="27" t="str">
        <f t="shared" si="39"/>
        <v>BatchOut_171026_r5178_FinalRel-v3-SSTSG_Std16\XML\</v>
      </c>
      <c r="E29" s="9">
        <f t="shared" si="40"/>
        <v>0</v>
      </c>
      <c r="F29" s="22"/>
      <c r="G29" s="29"/>
      <c r="H29" s="23"/>
      <c r="I29" s="9" t="s">
        <v>11</v>
      </c>
      <c r="J2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 s="15" t="s">
        <v>1</v>
      </c>
      <c r="L29" s="36">
        <f t="shared" si="53"/>
        <v>0</v>
      </c>
      <c r="M29" s="91">
        <f t="shared" si="42"/>
        <v>0</v>
      </c>
      <c r="N29" s="28"/>
      <c r="O29" s="57"/>
      <c r="P29" s="63">
        <f t="shared" si="54"/>
        <v>1</v>
      </c>
      <c r="Q29" s="65">
        <f t="shared" si="54"/>
        <v>1</v>
      </c>
      <c r="R29" s="65">
        <f t="shared" si="54"/>
        <v>0</v>
      </c>
      <c r="S29" s="65">
        <f t="shared" si="54"/>
        <v>1</v>
      </c>
      <c r="T29" s="65">
        <f t="shared" si="54"/>
        <v>0</v>
      </c>
      <c r="U29" s="65">
        <f t="shared" si="55"/>
        <v>8</v>
      </c>
      <c r="V29" s="65">
        <f t="shared" si="56"/>
        <v>8</v>
      </c>
      <c r="W29" s="65">
        <f t="shared" si="57"/>
        <v>1</v>
      </c>
      <c r="X29" s="65">
        <f t="shared" si="57"/>
        <v>0</v>
      </c>
      <c r="Y29" s="65">
        <f t="shared" si="57"/>
        <v>0</v>
      </c>
      <c r="Z29" s="65">
        <f t="shared" si="57"/>
        <v>0</v>
      </c>
      <c r="AA29" s="65">
        <f t="shared" si="57"/>
        <v>0</v>
      </c>
      <c r="AB29" s="65">
        <f t="shared" si="57"/>
        <v>1</v>
      </c>
      <c r="AC29" s="65">
        <f t="shared" si="47"/>
        <v>0</v>
      </c>
      <c r="AD29" s="65">
        <f t="shared" si="47"/>
        <v>1</v>
      </c>
      <c r="AE29" s="65">
        <f t="shared" ref="AE29:AF29" si="118">AE28</f>
        <v>0</v>
      </c>
      <c r="AF29" s="65">
        <f t="shared" si="118"/>
        <v>0</v>
      </c>
      <c r="AG29" s="65">
        <f t="shared" ref="AG29:AH29" si="119">AG28</f>
        <v>0</v>
      </c>
      <c r="AH29" s="65">
        <f t="shared" si="119"/>
        <v>0</v>
      </c>
      <c r="AI29" s="65">
        <f t="shared" ref="AI29" si="120">AI28</f>
        <v>0</v>
      </c>
      <c r="AJ29" s="63">
        <f t="shared" si="61"/>
        <v>0</v>
      </c>
      <c r="AK29" s="64">
        <f t="shared" si="62"/>
        <v>0</v>
      </c>
      <c r="AL29" s="64">
        <f t="shared" si="62"/>
        <v>0</v>
      </c>
      <c r="AM29" s="64">
        <f t="shared" si="62"/>
        <v>0</v>
      </c>
      <c r="AN29" s="66">
        <f t="shared" si="51"/>
        <v>0</v>
      </c>
      <c r="AO29" s="63">
        <f t="shared" si="51"/>
        <v>0</v>
      </c>
      <c r="AP29" s="64">
        <f t="shared" si="51"/>
        <v>0</v>
      </c>
      <c r="AQ29" s="65">
        <f t="shared" si="51"/>
        <v>0</v>
      </c>
      <c r="AR29" s="66">
        <f t="shared" si="51"/>
        <v>0</v>
      </c>
      <c r="AS29" s="31" t="str">
        <f t="shared" ref="AS29:BD30" si="121">P$13&amp;P29&amp;","</f>
        <v>SimulationStorage,1,</v>
      </c>
      <c r="AT29" s="31" t="str">
        <f t="shared" si="121"/>
        <v>AnalysisStorage,1,</v>
      </c>
      <c r="AU29" s="31" t="str">
        <f t="shared" si="121"/>
        <v>LogRuleEvaluation,0,</v>
      </c>
      <c r="AV29" s="31" t="str">
        <f t="shared" si="121"/>
        <v>ParallelSimulations,1,</v>
      </c>
      <c r="AW29" s="31" t="str">
        <f t="shared" si="121"/>
        <v>DurationStats,0,</v>
      </c>
      <c r="AX29" s="31" t="str">
        <f t="shared" si="121"/>
        <v>AnalysisThruStep,8,</v>
      </c>
      <c r="AY29" s="31" t="str">
        <f t="shared" si="121"/>
        <v>DontAbortOnErrorsThruStep,8,</v>
      </c>
      <c r="AZ29" s="31" t="str">
        <f t="shared" si="121"/>
        <v>BypassValidFileChecks,1,</v>
      </c>
      <c r="BA29" s="31" t="str">
        <f t="shared" si="121"/>
        <v>BypassInputChecks,0,</v>
      </c>
      <c r="BB29" s="31" t="str">
        <f t="shared" si="121"/>
        <v>BypassUMLHChecks,0,</v>
      </c>
      <c r="BC29" s="31" t="str">
        <f t="shared" si="121"/>
        <v>BypassCheckSimRules,0,</v>
      </c>
      <c r="BD29" s="31" t="str">
        <f t="shared" si="121"/>
        <v>BypassCheckCodeRules,0,</v>
      </c>
      <c r="BE29" s="31" t="str">
        <f t="shared" si="75"/>
        <v>StoreResultsToModelInput,1,</v>
      </c>
      <c r="BF29" s="31" t="str">
        <f t="shared" si="76"/>
        <v>StoreBEMDetails,0,</v>
      </c>
      <c r="BG29" s="31" t="str">
        <f t="shared" si="77"/>
        <v>ModelRpt_ALL,1,</v>
      </c>
      <c r="BH29" s="31" t="str">
        <f t="shared" si="78"/>
        <v>ExportHourlyResults_All,0,</v>
      </c>
      <c r="BI29" s="31" t="str">
        <f t="shared" si="79"/>
        <v>ComplianceReportPDF,0,</v>
      </c>
      <c r="BJ29" s="31" t="str">
        <f t="shared" si="80"/>
        <v>ComplianceReportXML,0,</v>
      </c>
      <c r="BK29" s="31" t="str">
        <f t="shared" si="81"/>
        <v>QuickAnalysis,0,</v>
      </c>
      <c r="BL29" s="31" t="str">
        <f t="shared" si="82"/>
        <v>PromptUserUMLHWarning,0,</v>
      </c>
      <c r="BM29" s="31" t="str">
        <f t="shared" si="83"/>
        <v>BypassOpenStudio_all,0,</v>
      </c>
      <c r="BN29" s="31" t="str">
        <f t="shared" si="84"/>
        <v>BypassOpenStudio_zp,0,</v>
      </c>
      <c r="BO29" s="31" t="str">
        <f t="shared" si="85"/>
        <v>BypassOpenStudio_zb,0,</v>
      </c>
      <c r="BP29" s="31" t="str">
        <f t="shared" si="86"/>
        <v>BypassOpenStudio_ap,0,</v>
      </c>
      <c r="BQ29" s="31" t="str">
        <f t="shared" si="87"/>
        <v>BypassOpenStudio_ab,0,</v>
      </c>
      <c r="BR29" s="31" t="str">
        <f t="shared" si="88"/>
        <v>BypassOpenStudio_zp,0,</v>
      </c>
      <c r="BS29" s="31" t="str">
        <f t="shared" si="89"/>
        <v>BypassOpenStudio_zb,0,</v>
      </c>
      <c r="BT29" s="31" t="str">
        <f t="shared" si="90"/>
        <v>BypassOpenStudio_ap,0,</v>
      </c>
      <c r="BU29" s="31" t="str">
        <f t="shared" si="91"/>
        <v>BypassOpenStudio_ab,0,</v>
      </c>
    </row>
    <row r="30" spans="1:74" hidden="1" outlineLevel="1" x14ac:dyDescent="0.25">
      <c r="A30" s="39">
        <f>L30</f>
        <v>0</v>
      </c>
      <c r="B30" s="27" t="str">
        <f t="shared" si="37"/>
        <v>StandardModelTests2016\.cibd16</v>
      </c>
      <c r="C30" s="27" t="str">
        <f t="shared" si="38"/>
        <v>BatchOut_171026_r5178_FinalRel-v3-SSTSG_Std16\.cibd16</v>
      </c>
      <c r="D30" s="27" t="str">
        <f t="shared" si="39"/>
        <v>BatchOut_171026_r5178_FinalRel-v3-SSTSG_Std16\XML\</v>
      </c>
      <c r="E30" s="9">
        <f t="shared" si="40"/>
        <v>0</v>
      </c>
      <c r="F30" s="22"/>
      <c r="G30" s="29"/>
      <c r="H30" s="23"/>
      <c r="I30" s="9" t="s">
        <v>11</v>
      </c>
      <c r="J3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 s="15" t="s">
        <v>1</v>
      </c>
      <c r="L30" s="36">
        <f t="shared" si="53"/>
        <v>0</v>
      </c>
      <c r="M30" s="91">
        <f t="shared" si="42"/>
        <v>0</v>
      </c>
      <c r="N30" s="28"/>
      <c r="O30" s="57"/>
      <c r="P30" s="63">
        <f t="shared" si="54"/>
        <v>1</v>
      </c>
      <c r="Q30" s="65">
        <f t="shared" si="54"/>
        <v>1</v>
      </c>
      <c r="R30" s="65">
        <f t="shared" si="54"/>
        <v>0</v>
      </c>
      <c r="S30" s="65">
        <f t="shared" si="54"/>
        <v>1</v>
      </c>
      <c r="T30" s="65">
        <f t="shared" si="54"/>
        <v>0</v>
      </c>
      <c r="U30" s="65">
        <f t="shared" si="55"/>
        <v>8</v>
      </c>
      <c r="V30" s="65">
        <f t="shared" si="56"/>
        <v>8</v>
      </c>
      <c r="W30" s="65">
        <f t="shared" si="57"/>
        <v>1</v>
      </c>
      <c r="X30" s="65">
        <f t="shared" si="57"/>
        <v>0</v>
      </c>
      <c r="Y30" s="65">
        <f t="shared" si="57"/>
        <v>0</v>
      </c>
      <c r="Z30" s="65">
        <f t="shared" si="57"/>
        <v>0</v>
      </c>
      <c r="AA30" s="65">
        <f t="shared" si="57"/>
        <v>0</v>
      </c>
      <c r="AB30" s="65">
        <f t="shared" si="57"/>
        <v>1</v>
      </c>
      <c r="AC30" s="65">
        <f t="shared" si="47"/>
        <v>0</v>
      </c>
      <c r="AD30" s="65">
        <f t="shared" si="47"/>
        <v>1</v>
      </c>
      <c r="AE30" s="65">
        <f t="shared" ref="AE30:AF30" si="122">AE29</f>
        <v>0</v>
      </c>
      <c r="AF30" s="65">
        <f t="shared" si="122"/>
        <v>0</v>
      </c>
      <c r="AG30" s="65">
        <f t="shared" ref="AG30:AH30" si="123">AG29</f>
        <v>0</v>
      </c>
      <c r="AH30" s="65">
        <f t="shared" si="123"/>
        <v>0</v>
      </c>
      <c r="AI30" s="65">
        <f t="shared" ref="AI30" si="124">AI29</f>
        <v>0</v>
      </c>
      <c r="AJ30" s="63">
        <f t="shared" si="61"/>
        <v>0</v>
      </c>
      <c r="AK30" s="64">
        <f t="shared" si="62"/>
        <v>0</v>
      </c>
      <c r="AL30" s="64">
        <f t="shared" si="62"/>
        <v>0</v>
      </c>
      <c r="AM30" s="64">
        <f t="shared" si="62"/>
        <v>0</v>
      </c>
      <c r="AN30" s="66">
        <f t="shared" si="51"/>
        <v>0</v>
      </c>
      <c r="AO30" s="63">
        <f t="shared" si="51"/>
        <v>0</v>
      </c>
      <c r="AP30" s="64">
        <f t="shared" si="51"/>
        <v>0</v>
      </c>
      <c r="AQ30" s="65">
        <f t="shared" si="51"/>
        <v>0</v>
      </c>
      <c r="AR30" s="66">
        <f t="shared" si="51"/>
        <v>0</v>
      </c>
      <c r="AS30" s="31" t="str">
        <f t="shared" si="121"/>
        <v>SimulationStorage,1,</v>
      </c>
      <c r="AT30" s="31" t="str">
        <f t="shared" si="121"/>
        <v>AnalysisStorage,1,</v>
      </c>
      <c r="AU30" s="31" t="str">
        <f t="shared" si="121"/>
        <v>LogRuleEvaluation,0,</v>
      </c>
      <c r="AV30" s="31" t="str">
        <f t="shared" si="121"/>
        <v>ParallelSimulations,1,</v>
      </c>
      <c r="AW30" s="31" t="str">
        <f t="shared" si="121"/>
        <v>DurationStats,0,</v>
      </c>
      <c r="AX30" s="31" t="str">
        <f t="shared" si="121"/>
        <v>AnalysisThruStep,8,</v>
      </c>
      <c r="AY30" s="31" t="str">
        <f t="shared" si="121"/>
        <v>DontAbortOnErrorsThruStep,8,</v>
      </c>
      <c r="AZ30" s="31" t="str">
        <f t="shared" si="121"/>
        <v>BypassValidFileChecks,1,</v>
      </c>
      <c r="BA30" s="31" t="str">
        <f t="shared" si="121"/>
        <v>BypassInputChecks,0,</v>
      </c>
      <c r="BB30" s="31" t="str">
        <f t="shared" si="121"/>
        <v>BypassUMLHChecks,0,</v>
      </c>
      <c r="BC30" s="31" t="str">
        <f t="shared" si="121"/>
        <v>BypassCheckSimRules,0,</v>
      </c>
      <c r="BD30" s="31" t="str">
        <f t="shared" si="121"/>
        <v>BypassCheckCodeRules,0,</v>
      </c>
      <c r="BE30" s="31" t="str">
        <f t="shared" si="75"/>
        <v>StoreResultsToModelInput,1,</v>
      </c>
      <c r="BF30" s="31" t="str">
        <f t="shared" si="76"/>
        <v>StoreBEMDetails,0,</v>
      </c>
      <c r="BG30" s="31" t="str">
        <f t="shared" si="77"/>
        <v>ModelRpt_ALL,1,</v>
      </c>
      <c r="BH30" s="31" t="str">
        <f t="shared" si="78"/>
        <v>ExportHourlyResults_All,0,</v>
      </c>
      <c r="BI30" s="31" t="str">
        <f t="shared" si="79"/>
        <v>ComplianceReportPDF,0,</v>
      </c>
      <c r="BJ30" s="31" t="str">
        <f t="shared" si="80"/>
        <v>ComplianceReportXML,0,</v>
      </c>
      <c r="BK30" s="31" t="str">
        <f t="shared" si="81"/>
        <v>QuickAnalysis,0,</v>
      </c>
      <c r="BL30" s="31" t="str">
        <f t="shared" si="82"/>
        <v>PromptUserUMLHWarning,0,</v>
      </c>
      <c r="BM30" s="31" t="str">
        <f t="shared" si="83"/>
        <v>BypassOpenStudio_all,0,</v>
      </c>
      <c r="BN30" s="31" t="str">
        <f t="shared" si="84"/>
        <v>BypassOpenStudio_zp,0,</v>
      </c>
      <c r="BO30" s="31" t="str">
        <f t="shared" si="85"/>
        <v>BypassOpenStudio_zb,0,</v>
      </c>
      <c r="BP30" s="31" t="str">
        <f t="shared" si="86"/>
        <v>BypassOpenStudio_ap,0,</v>
      </c>
      <c r="BQ30" s="31" t="str">
        <f t="shared" si="87"/>
        <v>BypassOpenStudio_ab,0,</v>
      </c>
      <c r="BR30" s="31" t="str">
        <f t="shared" si="88"/>
        <v>BypassOpenStudio_zp,0,</v>
      </c>
      <c r="BS30" s="31" t="str">
        <f t="shared" si="89"/>
        <v>BypassOpenStudio_zb,0,</v>
      </c>
      <c r="BT30" s="31" t="str">
        <f t="shared" si="90"/>
        <v>BypassOpenStudio_ap,0,</v>
      </c>
      <c r="BU30" s="31" t="str">
        <f t="shared" si="91"/>
        <v>BypassOpenStudio_ab,0,</v>
      </c>
    </row>
    <row r="31" spans="1:74" hidden="1" outlineLevel="1" x14ac:dyDescent="0.25">
      <c r="A31" s="39">
        <f t="shared" si="36"/>
        <v>0</v>
      </c>
      <c r="B31" s="27" t="str">
        <f t="shared" si="37"/>
        <v>StandardModelTests2016\.cibd16</v>
      </c>
      <c r="C31" s="27" t="str">
        <f t="shared" si="38"/>
        <v>BatchOut_171026_r5178_FinalRel-v3-SSTSG_Std16\.cibd16</v>
      </c>
      <c r="D31" s="27" t="str">
        <f t="shared" si="39"/>
        <v>BatchOut_171026_r5178_FinalRel-v3-SSTSG_Std16\XML\</v>
      </c>
      <c r="E31" s="9">
        <f t="shared" si="40"/>
        <v>0</v>
      </c>
      <c r="F31" s="22"/>
      <c r="G31" s="29"/>
      <c r="H31" s="23"/>
      <c r="I31" s="9" t="s">
        <v>11</v>
      </c>
      <c r="J3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 s="15" t="s">
        <v>1</v>
      </c>
      <c r="L31" s="36">
        <f t="shared" si="53"/>
        <v>0</v>
      </c>
      <c r="M31" s="91">
        <f t="shared" si="42"/>
        <v>0</v>
      </c>
      <c r="N31" s="28"/>
      <c r="O31" s="57"/>
      <c r="P31" s="63">
        <f t="shared" si="54"/>
        <v>1</v>
      </c>
      <c r="Q31" s="65">
        <f t="shared" si="54"/>
        <v>1</v>
      </c>
      <c r="R31" s="65">
        <f t="shared" si="54"/>
        <v>0</v>
      </c>
      <c r="S31" s="65">
        <f t="shared" si="54"/>
        <v>1</v>
      </c>
      <c r="T31" s="65">
        <f t="shared" si="54"/>
        <v>0</v>
      </c>
      <c r="U31" s="65">
        <f t="shared" si="55"/>
        <v>8</v>
      </c>
      <c r="V31" s="65">
        <f t="shared" si="56"/>
        <v>8</v>
      </c>
      <c r="W31" s="65">
        <f t="shared" si="57"/>
        <v>1</v>
      </c>
      <c r="X31" s="65">
        <f t="shared" si="57"/>
        <v>0</v>
      </c>
      <c r="Y31" s="65">
        <f t="shared" si="57"/>
        <v>0</v>
      </c>
      <c r="Z31" s="65">
        <f t="shared" si="57"/>
        <v>0</v>
      </c>
      <c r="AA31" s="65">
        <f t="shared" si="57"/>
        <v>0</v>
      </c>
      <c r="AB31" s="65">
        <f t="shared" si="57"/>
        <v>1</v>
      </c>
      <c r="AC31" s="65">
        <f t="shared" si="47"/>
        <v>0</v>
      </c>
      <c r="AD31" s="65">
        <f t="shared" si="47"/>
        <v>1</v>
      </c>
      <c r="AE31" s="65">
        <f t="shared" ref="AE31:AF31" si="125">AE30</f>
        <v>0</v>
      </c>
      <c r="AF31" s="65">
        <f t="shared" si="125"/>
        <v>0</v>
      </c>
      <c r="AG31" s="65">
        <f t="shared" ref="AG31:AH31" si="126">AG30</f>
        <v>0</v>
      </c>
      <c r="AH31" s="65">
        <f t="shared" si="126"/>
        <v>0</v>
      </c>
      <c r="AI31" s="65">
        <f t="shared" ref="AI31" si="127">AI30</f>
        <v>0</v>
      </c>
      <c r="AJ31" s="63">
        <f t="shared" si="61"/>
        <v>0</v>
      </c>
      <c r="AK31" s="64">
        <f t="shared" si="62"/>
        <v>0</v>
      </c>
      <c r="AL31" s="64">
        <f t="shared" si="62"/>
        <v>0</v>
      </c>
      <c r="AM31" s="64">
        <f t="shared" si="62"/>
        <v>0</v>
      </c>
      <c r="AN31" s="66">
        <f t="shared" si="51"/>
        <v>0</v>
      </c>
      <c r="AO31" s="63">
        <f t="shared" si="51"/>
        <v>0</v>
      </c>
      <c r="AP31" s="64">
        <f t="shared" si="51"/>
        <v>0</v>
      </c>
      <c r="AQ31" s="65">
        <f t="shared" si="51"/>
        <v>0</v>
      </c>
      <c r="AR31" s="66">
        <f t="shared" si="51"/>
        <v>0</v>
      </c>
      <c r="AS31" s="31" t="str">
        <f t="shared" si="63"/>
        <v>SimulationStorage,1,</v>
      </c>
      <c r="AT31" s="31" t="str">
        <f t="shared" si="64"/>
        <v>AnalysisStorage,1,</v>
      </c>
      <c r="AU31" s="31" t="str">
        <f t="shared" si="65"/>
        <v>LogRuleEvaluation,0,</v>
      </c>
      <c r="AV31" s="31" t="str">
        <f t="shared" si="66"/>
        <v>ParallelSimulations,1,</v>
      </c>
      <c r="AW31" s="31" t="str">
        <f t="shared" si="67"/>
        <v>DurationStats,0,</v>
      </c>
      <c r="AX31" s="31" t="str">
        <f t="shared" si="68"/>
        <v>AnalysisThruStep,8,</v>
      </c>
      <c r="AY31" s="31" t="str">
        <f t="shared" si="69"/>
        <v>DontAbortOnErrorsThruStep,8,</v>
      </c>
      <c r="AZ31" s="31" t="str">
        <f t="shared" si="70"/>
        <v>BypassValidFileChecks,1,</v>
      </c>
      <c r="BA31" s="31" t="str">
        <f t="shared" si="71"/>
        <v>BypassInputChecks,0,</v>
      </c>
      <c r="BB31" s="31" t="str">
        <f t="shared" si="72"/>
        <v>BypassUMLHChecks,0,</v>
      </c>
      <c r="BC31" s="31" t="str">
        <f t="shared" si="73"/>
        <v>BypassCheckSimRules,0,</v>
      </c>
      <c r="BD31" s="31" t="str">
        <f t="shared" si="74"/>
        <v>BypassCheckCodeRules,0,</v>
      </c>
      <c r="BE31" s="31" t="str">
        <f>AB$13&amp;AB31&amp;","</f>
        <v>StoreResultsToModelInput,1,</v>
      </c>
      <c r="BF31" s="31" t="str">
        <f>AC$13&amp;AC31&amp;","</f>
        <v>StoreBEMDetails,0,</v>
      </c>
      <c r="BG31" s="31" t="str">
        <f>AD$13&amp;AD31&amp;","</f>
        <v>ModelRpt_ALL,1,</v>
      </c>
      <c r="BH31" s="31" t="str">
        <f t="shared" ref="BH31" si="128">AE$13&amp;AE31&amp;","</f>
        <v>ExportHourlyResults_All,0,</v>
      </c>
      <c r="BI31" s="31" t="str">
        <f t="shared" ref="BI31" si="129">AF$13&amp;AF31&amp;","</f>
        <v>ComplianceReportPDF,0,</v>
      </c>
      <c r="BJ31" s="31" t="str">
        <f t="shared" ref="BJ31" si="130">AG$13&amp;AG31&amp;","</f>
        <v>ComplianceReportXML,0,</v>
      </c>
      <c r="BK31" s="31" t="str">
        <f t="shared" ref="BK31:BL31" si="131">AH$13&amp;AH31&amp;","</f>
        <v>QuickAnalysis,0,</v>
      </c>
      <c r="BL31" s="31" t="str">
        <f t="shared" si="131"/>
        <v>PromptUserUMLHWarning,0,</v>
      </c>
      <c r="BM31" s="31" t="str">
        <f t="shared" ref="BM31" si="132">AJ$13&amp;AJ31&amp;","</f>
        <v>BypassOpenStudio_all,0,</v>
      </c>
      <c r="BN31" s="31" t="str">
        <f t="shared" ref="BN31" si="133">AK$13&amp;AK31&amp;","</f>
        <v>BypassOpenStudio_zp,0,</v>
      </c>
      <c r="BO31" s="31" t="str">
        <f t="shared" ref="BO31" si="134">AL$13&amp;AL31&amp;","</f>
        <v>BypassOpenStudio_zb,0,</v>
      </c>
      <c r="BP31" s="31" t="str">
        <f t="shared" ref="BP31" si="135">AM$13&amp;AM31&amp;","</f>
        <v>BypassOpenStudio_ap,0,</v>
      </c>
      <c r="BQ31" s="31" t="str">
        <f t="shared" ref="BQ31" si="136">AN$13&amp;AN31&amp;","</f>
        <v>BypassOpenStudio_ab,0,</v>
      </c>
      <c r="BR31" s="31" t="str">
        <f t="shared" ref="BR31" si="137">AO$13&amp;AO31&amp;","</f>
        <v>BypassOpenStudio_zp,0,</v>
      </c>
      <c r="BS31" s="31" t="str">
        <f t="shared" ref="BS31" si="138">AP$13&amp;AP31&amp;","</f>
        <v>BypassOpenStudio_zb,0,</v>
      </c>
      <c r="BT31" s="31" t="str">
        <f t="shared" ref="BT31" si="139">AQ$13&amp;AQ31&amp;","</f>
        <v>BypassOpenStudio_ap,0,</v>
      </c>
      <c r="BU31" s="31" t="str">
        <f t="shared" ref="BU31" si="140">AR$13&amp;AR31&amp;","</f>
        <v>BypassOpenStudio_ab,0,</v>
      </c>
    </row>
    <row r="32" spans="1:74" customFormat="1" collapsed="1" x14ac:dyDescent="0.25">
      <c r="A32" t="s">
        <v>1</v>
      </c>
      <c r="J32" s="83"/>
      <c r="K32" s="15"/>
      <c r="L32" s="7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row>
    <row r="33" spans="1:74" x14ac:dyDescent="0.25">
      <c r="A33" s="1" t="s">
        <v>1</v>
      </c>
      <c r="B33"/>
      <c r="C33"/>
      <c r="D33" s="30"/>
      <c r="E33" s="16"/>
      <c r="F33" s="16"/>
      <c r="G33" s="16"/>
      <c r="H33" s="16"/>
      <c r="K33" s="15"/>
      <c r="L33" s="36" t="s">
        <v>140</v>
      </c>
      <c r="M33" s="72" t="s">
        <v>138</v>
      </c>
    </row>
    <row r="34" spans="1:74" x14ac:dyDescent="0.25">
      <c r="A34" s="1" t="s">
        <v>1</v>
      </c>
      <c r="B34"/>
      <c r="C34"/>
      <c r="D34" s="30"/>
      <c r="K34" s="15"/>
      <c r="L34" s="37" t="s">
        <v>45</v>
      </c>
      <c r="M34" s="53">
        <f>$M$7</f>
        <v>171026</v>
      </c>
    </row>
    <row r="35" spans="1:74" x14ac:dyDescent="0.25">
      <c r="A35" s="1" t="s">
        <v>1</v>
      </c>
      <c r="B35"/>
      <c r="C35"/>
      <c r="D35" s="30"/>
      <c r="K35" s="15"/>
      <c r="L35" s="14" t="s">
        <v>46</v>
      </c>
      <c r="M35" s="53" t="str">
        <f>$M$8</f>
        <v>r5178_FinalRel-v3-SSTSG</v>
      </c>
      <c r="N35" s="52"/>
    </row>
    <row r="36" spans="1:74" x14ac:dyDescent="0.25">
      <c r="A36" s="1" t="s">
        <v>1</v>
      </c>
      <c r="B36"/>
      <c r="C36"/>
      <c r="D36" s="30"/>
      <c r="E36" s="30"/>
      <c r="F36" s="30"/>
      <c r="G36" s="30"/>
      <c r="H36" s="30"/>
      <c r="I36" s="26"/>
      <c r="K36" s="15"/>
      <c r="L36" s="35" t="s">
        <v>39</v>
      </c>
      <c r="M36" s="53" t="str">
        <f>$M$10</f>
        <v>BatchResults_171026_r5178_FinalRel-v3-SSTSG.csv</v>
      </c>
      <c r="N36" s="1" t="s">
        <v>48</v>
      </c>
    </row>
    <row r="37" spans="1:74" x14ac:dyDescent="0.25">
      <c r="A37" s="1" t="s">
        <v>1</v>
      </c>
      <c r="K37" s="15"/>
      <c r="L37" s="14" t="s">
        <v>16</v>
      </c>
      <c r="M37" s="28" t="s">
        <v>158</v>
      </c>
      <c r="N37" s="1" t="s">
        <v>47</v>
      </c>
      <c r="AJ37" s="95"/>
      <c r="AK37" s="95"/>
      <c r="AL37" s="95"/>
      <c r="AM37" s="95"/>
      <c r="AN37" s="95"/>
      <c r="AO37" s="95"/>
      <c r="AP37" s="95"/>
      <c r="AQ37" s="95"/>
      <c r="AR37" s="95"/>
    </row>
    <row r="38" spans="1:74" x14ac:dyDescent="0.25">
      <c r="A38" s="1" t="s">
        <v>1</v>
      </c>
      <c r="K38" s="15"/>
      <c r="L38" s="14" t="s">
        <v>17</v>
      </c>
      <c r="M38" s="54" t="str">
        <f>"BatchOut"&amp;"_"&amp;M34&amp;"_"&amp;M35&amp;"_"&amp;L33&amp;"\"</f>
        <v>BatchOut_171026_r5178_FinalRel-v3-SSTSG_OT\</v>
      </c>
      <c r="N38" s="1" t="s">
        <v>47</v>
      </c>
    </row>
    <row r="39" spans="1:74" x14ac:dyDescent="0.25">
      <c r="A39" s="1" t="s">
        <v>1</v>
      </c>
      <c r="K39" s="15"/>
      <c r="L39" s="14" t="s">
        <v>42</v>
      </c>
      <c r="M39" s="54" t="str">
        <f>M38&amp;"XML\"</f>
        <v>BatchOut_171026_r5178_FinalRel-v3-SSTSG_OT\XML\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row>
    <row r="40" spans="1:74" s="46" customFormat="1" x14ac:dyDescent="0.25">
      <c r="A40" s="12" t="s">
        <v>1</v>
      </c>
      <c r="B40" s="8"/>
      <c r="C40" s="8"/>
      <c r="D40" s="8"/>
      <c r="E40" s="8"/>
      <c r="F40" s="19"/>
      <c r="G40" s="21"/>
      <c r="H40" s="20"/>
      <c r="I40" s="8"/>
      <c r="J40" s="86"/>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5"/>
      <c r="AJ40" s="43"/>
      <c r="AK40" s="43"/>
      <c r="AL40" s="43"/>
      <c r="AM40" s="43"/>
      <c r="AN40" s="43"/>
      <c r="AO40" s="43"/>
      <c r="AP40" s="43"/>
      <c r="AQ40" s="43"/>
      <c r="AR40" s="43"/>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row>
    <row r="41" spans="1:74" x14ac:dyDescent="0.25">
      <c r="A41" s="39">
        <f t="shared" ref="A41:A63" si="141">L41</f>
        <v>0</v>
      </c>
      <c r="B41" s="27" t="str">
        <f>M$37&amp;N41&amp;".cibd16"</f>
        <v>OtherTests2016\x.cibd16</v>
      </c>
      <c r="C41" s="27" t="str">
        <f xml:space="preserve"> M$38 &amp; O41 &amp; ".cibd16"</f>
        <v>BatchOut_171026_r5178_FinalRel-v3-SSTSG_OT\x.cibd16</v>
      </c>
      <c r="D41" s="27" t="str">
        <f>$M$39</f>
        <v>BatchOut_171026_r5178_FinalRel-v3-SSTSG_OT\XML\</v>
      </c>
      <c r="E41" s="9" t="str">
        <f>M41</f>
        <v>x</v>
      </c>
      <c r="F41" s="22"/>
      <c r="G41" s="29"/>
      <c r="H41" s="23" t="str">
        <f>IF(F41&gt;1,1,"")</f>
        <v/>
      </c>
      <c r="I41" s="9" t="s">
        <v>11</v>
      </c>
      <c r="J41" s="87" t="str">
        <f t="shared" ref="J41:J63" si="142">CONCATENATE(AS41,AT41,AU41,AV41,AW41,AX41,AY41,AZ41,BA41,BB41,BC41,BD41,BE41,BF41,BG41,BH41,BI41,BJ41,BK41,BL41,BM41,BN41,BO41,BP41,BQ41,BR41,BS41,BT41,BU41)</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 s="15" t="s">
        <v>1</v>
      </c>
      <c r="L41" s="36">
        <v>0</v>
      </c>
      <c r="M41" s="32" t="str">
        <f>N41</f>
        <v>x</v>
      </c>
      <c r="N41" s="90" t="s">
        <v>149</v>
      </c>
      <c r="O41" s="28" t="str">
        <f t="shared" ref="O41" si="143">N41</f>
        <v>x</v>
      </c>
      <c r="P41" s="36">
        <f>P$17</f>
        <v>1</v>
      </c>
      <c r="Q41" s="36">
        <f t="shared" ref="Q41:AR50" si="144">Q$17</f>
        <v>1</v>
      </c>
      <c r="R41" s="36">
        <f t="shared" si="144"/>
        <v>0</v>
      </c>
      <c r="S41" s="36">
        <f t="shared" si="144"/>
        <v>1</v>
      </c>
      <c r="T41" s="36">
        <f t="shared" si="144"/>
        <v>0</v>
      </c>
      <c r="U41" s="36">
        <f t="shared" si="144"/>
        <v>8</v>
      </c>
      <c r="V41" s="36">
        <f t="shared" si="144"/>
        <v>8</v>
      </c>
      <c r="W41" s="36">
        <f t="shared" si="144"/>
        <v>1</v>
      </c>
      <c r="X41" s="36">
        <f t="shared" si="144"/>
        <v>0</v>
      </c>
      <c r="Y41" s="36">
        <f t="shared" si="144"/>
        <v>0</v>
      </c>
      <c r="Z41" s="36">
        <f t="shared" si="144"/>
        <v>0</v>
      </c>
      <c r="AA41" s="36">
        <f t="shared" si="144"/>
        <v>0</v>
      </c>
      <c r="AB41" s="36">
        <f t="shared" si="144"/>
        <v>1</v>
      </c>
      <c r="AC41" s="36">
        <f t="shared" si="144"/>
        <v>0</v>
      </c>
      <c r="AD41" s="36">
        <f t="shared" si="144"/>
        <v>1</v>
      </c>
      <c r="AE41" s="36">
        <f t="shared" si="144"/>
        <v>0</v>
      </c>
      <c r="AF41" s="36">
        <f t="shared" si="144"/>
        <v>0</v>
      </c>
      <c r="AG41" s="36">
        <f t="shared" si="144"/>
        <v>0</v>
      </c>
      <c r="AH41" s="36">
        <f t="shared" si="144"/>
        <v>0</v>
      </c>
      <c r="AI41" s="36">
        <f t="shared" si="144"/>
        <v>0</v>
      </c>
      <c r="AJ41" s="36">
        <f t="shared" si="144"/>
        <v>0</v>
      </c>
      <c r="AK41" s="36">
        <f t="shared" si="144"/>
        <v>0</v>
      </c>
      <c r="AL41" s="36">
        <f t="shared" si="144"/>
        <v>0</v>
      </c>
      <c r="AM41" s="36">
        <f t="shared" si="144"/>
        <v>0</v>
      </c>
      <c r="AN41" s="36">
        <f t="shared" si="144"/>
        <v>0</v>
      </c>
      <c r="AO41" s="36">
        <f t="shared" si="144"/>
        <v>0</v>
      </c>
      <c r="AP41" s="36">
        <f t="shared" si="144"/>
        <v>0</v>
      </c>
      <c r="AQ41" s="36">
        <f t="shared" si="144"/>
        <v>0</v>
      </c>
      <c r="AR41" s="36">
        <f t="shared" si="144"/>
        <v>0</v>
      </c>
      <c r="AS41" s="31" t="str">
        <f t="shared" ref="AS41:AS63" si="145">P$13&amp;P41&amp;","</f>
        <v>SimulationStorage,1,</v>
      </c>
      <c r="AT41" s="31" t="str">
        <f t="shared" ref="AT41:AT63" si="146">Q$13&amp;Q41&amp;","</f>
        <v>AnalysisStorage,1,</v>
      </c>
      <c r="AU41" s="31" t="str">
        <f t="shared" ref="AU41:AU63" si="147">R$13&amp;R41&amp;","</f>
        <v>LogRuleEvaluation,0,</v>
      </c>
      <c r="AV41" s="31" t="str">
        <f t="shared" ref="AV41:AV63" si="148">S$13&amp;S41&amp;","</f>
        <v>ParallelSimulations,1,</v>
      </c>
      <c r="AW41" s="31" t="str">
        <f t="shared" ref="AW41:AW63" si="149">T$13&amp;T41&amp;","</f>
        <v>DurationStats,0,</v>
      </c>
      <c r="AX41" s="31" t="str">
        <f t="shared" ref="AX41:AX63" si="150">U$13&amp;U41&amp;","</f>
        <v>AnalysisThruStep,8,</v>
      </c>
      <c r="AY41" s="31" t="str">
        <f t="shared" ref="AY41:AY63" si="151">V$13&amp;V41&amp;","</f>
        <v>DontAbortOnErrorsThruStep,8,</v>
      </c>
      <c r="AZ41" s="31" t="str">
        <f t="shared" ref="AZ41:AZ63" si="152">W$13&amp;W41&amp;","</f>
        <v>BypassValidFileChecks,1,</v>
      </c>
      <c r="BA41" s="31" t="str">
        <f t="shared" ref="BA41:BA63" si="153">X$13&amp;X41&amp;","</f>
        <v>BypassInputChecks,0,</v>
      </c>
      <c r="BB41" s="31" t="str">
        <f t="shared" ref="BB41:BB63" si="154">Y$13&amp;Y41&amp;","</f>
        <v>BypassUMLHChecks,0,</v>
      </c>
      <c r="BC41" s="31" t="str">
        <f t="shared" ref="BC41:BC63" si="155">Z$13&amp;Z41&amp;","</f>
        <v>BypassCheckSimRules,0,</v>
      </c>
      <c r="BD41" s="31" t="str">
        <f t="shared" ref="BD41:BD63" si="156">AA$13&amp;AA41&amp;","</f>
        <v>BypassCheckCodeRules,0,</v>
      </c>
      <c r="BE41" s="31" t="str">
        <f t="shared" ref="BE41:BE63" si="157">AB$13&amp;AB41&amp;","</f>
        <v>StoreResultsToModelInput,1,</v>
      </c>
      <c r="BF41" s="31" t="str">
        <f t="shared" ref="BF41:BF63" si="158">AC$13&amp;AC41&amp;","</f>
        <v>StoreBEMDetails,0,</v>
      </c>
      <c r="BG41" s="31" t="str">
        <f t="shared" ref="BG41:BG63" si="159">AD$13&amp;AD41&amp;","</f>
        <v>ModelRpt_ALL,1,</v>
      </c>
      <c r="BH41" s="31" t="str">
        <f t="shared" ref="BH41:BH63" si="160">AE$13&amp;AE41&amp;","</f>
        <v>ExportHourlyResults_All,0,</v>
      </c>
      <c r="BI41" s="31" t="str">
        <f t="shared" ref="BI41:BI63" si="161">AF$13&amp;AF41&amp;","</f>
        <v>ComplianceReportPDF,0,</v>
      </c>
      <c r="BJ41" s="31" t="str">
        <f t="shared" ref="BJ41:BJ63" si="162">AG$13&amp;AG41&amp;","</f>
        <v>ComplianceReportXML,0,</v>
      </c>
      <c r="BK41" s="31" t="str">
        <f t="shared" ref="BK41:BL63" si="163">AH$13&amp;AH41&amp;","</f>
        <v>QuickAnalysis,0,</v>
      </c>
      <c r="BL41" s="31" t="str">
        <f t="shared" si="163"/>
        <v>PromptUserUMLHWarning,0,</v>
      </c>
      <c r="BM41" s="31" t="str">
        <f t="shared" ref="BM41:BM63" si="164">AJ$13&amp;AJ41&amp;","</f>
        <v>BypassOpenStudio_all,0,</v>
      </c>
      <c r="BN41" s="31" t="str">
        <f t="shared" ref="BN41:BN63" si="165">AK$13&amp;AK41&amp;","</f>
        <v>BypassOpenStudio_zp,0,</v>
      </c>
      <c r="BO41" s="31" t="str">
        <f t="shared" ref="BO41:BO63" si="166">AL$13&amp;AL41&amp;","</f>
        <v>BypassOpenStudio_zb,0,</v>
      </c>
      <c r="BP41" s="31" t="str">
        <f t="shared" ref="BP41:BP63" si="167">AM$13&amp;AM41&amp;","</f>
        <v>BypassOpenStudio_ap,0,</v>
      </c>
      <c r="BQ41" s="31" t="str">
        <f t="shared" ref="BQ41:BQ63" si="168">AN$13&amp;AN41&amp;","</f>
        <v>BypassOpenStudio_ab,0,</v>
      </c>
      <c r="BR41" s="31" t="str">
        <f t="shared" ref="BR41:BR63" si="169">AO$13&amp;AO41&amp;","</f>
        <v>BypassOpenStudio_zp,0,</v>
      </c>
      <c r="BS41" s="31" t="str">
        <f t="shared" ref="BS41:BS63" si="170">AP$13&amp;AP41&amp;","</f>
        <v>BypassOpenStudio_zb,0,</v>
      </c>
      <c r="BT41" s="31" t="str">
        <f t="shared" ref="BT41:BT63" si="171">AQ$13&amp;AQ41&amp;","</f>
        <v>BypassOpenStudio_ap,0,</v>
      </c>
      <c r="BU41" s="31" t="str">
        <f t="shared" ref="BU41:BU63" si="172">AR$13&amp;AR41&amp;","</f>
        <v>BypassOpenStudio_ab,0,</v>
      </c>
    </row>
    <row r="42" spans="1:74" hidden="1" outlineLevel="1" x14ac:dyDescent="0.25">
      <c r="A42" s="39">
        <f t="shared" si="141"/>
        <v>0</v>
      </c>
      <c r="B42" s="27" t="str">
        <f t="shared" ref="B42:B63" si="173">M$37&amp;N42&amp;".cibd16"</f>
        <v>OtherTests2016\x.cibd16</v>
      </c>
      <c r="C42" s="27" t="str">
        <f t="shared" ref="C42:C63" si="174" xml:space="preserve"> M$38 &amp; O42 &amp; ".cibd16"</f>
        <v>BatchOut_171026_r5178_FinalRel-v3-SSTSG_OT\x.cibd16</v>
      </c>
      <c r="D42" s="27" t="str">
        <f t="shared" ref="D42:D63" si="175">$M$39</f>
        <v>BatchOut_171026_r5178_FinalRel-v3-SSTSG_OT\XML\</v>
      </c>
      <c r="E42" s="9" t="str">
        <f t="shared" ref="E42:E63" si="176">M42</f>
        <v>x</v>
      </c>
      <c r="F42" s="22"/>
      <c r="G42" s="29"/>
      <c r="H42" s="23" t="str">
        <f>IF(F42&gt;1,1,"")</f>
        <v/>
      </c>
      <c r="I42" s="9" t="s">
        <v>11</v>
      </c>
      <c r="J42"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2" s="15" t="s">
        <v>1</v>
      </c>
      <c r="L42" s="36">
        <f>L41</f>
        <v>0</v>
      </c>
      <c r="M42" s="91" t="str">
        <f t="shared" ref="M42:M47" si="177">N42</f>
        <v>x</v>
      </c>
      <c r="N42" s="90" t="s">
        <v>149</v>
      </c>
      <c r="O42" s="28" t="str">
        <f t="shared" ref="O42:O63" si="178">N42</f>
        <v>x</v>
      </c>
      <c r="P42" s="36">
        <f t="shared" ref="P42:AE63" si="179">P$17</f>
        <v>1</v>
      </c>
      <c r="Q42" s="36">
        <f t="shared" si="144"/>
        <v>1</v>
      </c>
      <c r="R42" s="36">
        <f t="shared" si="144"/>
        <v>0</v>
      </c>
      <c r="S42" s="36">
        <f t="shared" si="144"/>
        <v>1</v>
      </c>
      <c r="T42" s="36">
        <f t="shared" si="144"/>
        <v>0</v>
      </c>
      <c r="U42" s="36">
        <f t="shared" si="144"/>
        <v>8</v>
      </c>
      <c r="V42" s="36">
        <f t="shared" si="144"/>
        <v>8</v>
      </c>
      <c r="W42" s="36">
        <f t="shared" si="144"/>
        <v>1</v>
      </c>
      <c r="X42" s="36">
        <f t="shared" si="144"/>
        <v>0</v>
      </c>
      <c r="Y42" s="36">
        <f t="shared" si="144"/>
        <v>0</v>
      </c>
      <c r="Z42" s="36">
        <f t="shared" si="144"/>
        <v>0</v>
      </c>
      <c r="AA42" s="36">
        <f t="shared" si="144"/>
        <v>0</v>
      </c>
      <c r="AB42" s="36">
        <f t="shared" si="144"/>
        <v>1</v>
      </c>
      <c r="AC42" s="36">
        <f t="shared" si="144"/>
        <v>0</v>
      </c>
      <c r="AD42" s="36">
        <f t="shared" si="144"/>
        <v>1</v>
      </c>
      <c r="AE42" s="36">
        <f t="shared" si="144"/>
        <v>0</v>
      </c>
      <c r="AF42" s="36">
        <f t="shared" si="144"/>
        <v>0</v>
      </c>
      <c r="AG42" s="36">
        <f t="shared" si="144"/>
        <v>0</v>
      </c>
      <c r="AH42" s="36">
        <f t="shared" si="144"/>
        <v>0</v>
      </c>
      <c r="AI42" s="36">
        <f t="shared" si="144"/>
        <v>0</v>
      </c>
      <c r="AJ42" s="36">
        <f t="shared" si="144"/>
        <v>0</v>
      </c>
      <c r="AK42" s="36">
        <f t="shared" si="144"/>
        <v>0</v>
      </c>
      <c r="AL42" s="36">
        <f t="shared" si="144"/>
        <v>0</v>
      </c>
      <c r="AM42" s="36">
        <f t="shared" si="144"/>
        <v>0</v>
      </c>
      <c r="AN42" s="36">
        <f t="shared" si="144"/>
        <v>0</v>
      </c>
      <c r="AO42" s="36">
        <f t="shared" si="144"/>
        <v>0</v>
      </c>
      <c r="AP42" s="36">
        <f t="shared" si="144"/>
        <v>0</v>
      </c>
      <c r="AQ42" s="36">
        <f t="shared" si="144"/>
        <v>0</v>
      </c>
      <c r="AR42" s="36">
        <f t="shared" si="144"/>
        <v>0</v>
      </c>
      <c r="AS42" s="31" t="str">
        <f t="shared" si="145"/>
        <v>SimulationStorage,1,</v>
      </c>
      <c r="AT42" s="31" t="str">
        <f t="shared" si="146"/>
        <v>AnalysisStorage,1,</v>
      </c>
      <c r="AU42" s="31" t="str">
        <f t="shared" si="147"/>
        <v>LogRuleEvaluation,0,</v>
      </c>
      <c r="AV42" s="31" t="str">
        <f t="shared" si="148"/>
        <v>ParallelSimulations,1,</v>
      </c>
      <c r="AW42" s="31" t="str">
        <f t="shared" si="149"/>
        <v>DurationStats,0,</v>
      </c>
      <c r="AX42" s="31" t="str">
        <f t="shared" si="150"/>
        <v>AnalysisThruStep,8,</v>
      </c>
      <c r="AY42" s="31" t="str">
        <f t="shared" si="151"/>
        <v>DontAbortOnErrorsThruStep,8,</v>
      </c>
      <c r="AZ42" s="31" t="str">
        <f t="shared" si="152"/>
        <v>BypassValidFileChecks,1,</v>
      </c>
      <c r="BA42" s="31" t="str">
        <f t="shared" si="153"/>
        <v>BypassInputChecks,0,</v>
      </c>
      <c r="BB42" s="31" t="str">
        <f t="shared" si="154"/>
        <v>BypassUMLHChecks,0,</v>
      </c>
      <c r="BC42" s="31" t="str">
        <f t="shared" si="155"/>
        <v>BypassCheckSimRules,0,</v>
      </c>
      <c r="BD42" s="31" t="str">
        <f t="shared" si="156"/>
        <v>BypassCheckCodeRules,0,</v>
      </c>
      <c r="BE42" s="31" t="str">
        <f t="shared" si="157"/>
        <v>StoreResultsToModelInput,1,</v>
      </c>
      <c r="BF42" s="31" t="str">
        <f t="shared" si="158"/>
        <v>StoreBEMDetails,0,</v>
      </c>
      <c r="BG42" s="31" t="str">
        <f t="shared" si="159"/>
        <v>ModelRpt_ALL,1,</v>
      </c>
      <c r="BH42" s="31" t="str">
        <f t="shared" si="160"/>
        <v>ExportHourlyResults_All,0,</v>
      </c>
      <c r="BI42" s="31" t="str">
        <f t="shared" si="161"/>
        <v>ComplianceReportPDF,0,</v>
      </c>
      <c r="BJ42" s="31" t="str">
        <f t="shared" si="162"/>
        <v>ComplianceReportXML,0,</v>
      </c>
      <c r="BK42" s="31" t="str">
        <f t="shared" si="163"/>
        <v>QuickAnalysis,0,</v>
      </c>
      <c r="BL42" s="31" t="str">
        <f t="shared" si="163"/>
        <v>PromptUserUMLHWarning,0,</v>
      </c>
      <c r="BM42" s="31" t="str">
        <f t="shared" si="164"/>
        <v>BypassOpenStudio_all,0,</v>
      </c>
      <c r="BN42" s="31" t="str">
        <f t="shared" si="165"/>
        <v>BypassOpenStudio_zp,0,</v>
      </c>
      <c r="BO42" s="31" t="str">
        <f t="shared" si="166"/>
        <v>BypassOpenStudio_zb,0,</v>
      </c>
      <c r="BP42" s="31" t="str">
        <f t="shared" si="167"/>
        <v>BypassOpenStudio_ap,0,</v>
      </c>
      <c r="BQ42" s="31" t="str">
        <f t="shared" si="168"/>
        <v>BypassOpenStudio_ab,0,</v>
      </c>
      <c r="BR42" s="31" t="str">
        <f t="shared" si="169"/>
        <v>BypassOpenStudio_zp,0,</v>
      </c>
      <c r="BS42" s="31" t="str">
        <f t="shared" si="170"/>
        <v>BypassOpenStudio_zb,0,</v>
      </c>
      <c r="BT42" s="31" t="str">
        <f t="shared" si="171"/>
        <v>BypassOpenStudio_ap,0,</v>
      </c>
      <c r="BU42" s="31" t="str">
        <f t="shared" si="172"/>
        <v>BypassOpenStudio_ab,0,</v>
      </c>
    </row>
    <row r="43" spans="1:74" hidden="1" outlineLevel="1" x14ac:dyDescent="0.25">
      <c r="A43" s="39">
        <f t="shared" si="141"/>
        <v>0</v>
      </c>
      <c r="B43" s="27" t="str">
        <f t="shared" si="173"/>
        <v>OtherTests2016\x.cibd16</v>
      </c>
      <c r="C43" s="27" t="str">
        <f t="shared" si="174"/>
        <v>BatchOut_171026_r5178_FinalRel-v3-SSTSG_OT\x.cibd16</v>
      </c>
      <c r="D43" s="27" t="str">
        <f t="shared" si="175"/>
        <v>BatchOut_171026_r5178_FinalRel-v3-SSTSG_OT\XML\</v>
      </c>
      <c r="E43" s="9" t="str">
        <f t="shared" si="176"/>
        <v>x</v>
      </c>
      <c r="F43" s="22"/>
      <c r="G43" s="29"/>
      <c r="H43" s="23" t="str">
        <f>IF(F43&gt;1,1,"")</f>
        <v/>
      </c>
      <c r="I43" s="9" t="s">
        <v>11</v>
      </c>
      <c r="J43"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3" s="15" t="s">
        <v>1</v>
      </c>
      <c r="L43" s="36">
        <f t="shared" ref="L43:L62" si="180">L42</f>
        <v>0</v>
      </c>
      <c r="M43" s="91" t="str">
        <f t="shared" si="177"/>
        <v>x</v>
      </c>
      <c r="N43" s="90" t="s">
        <v>149</v>
      </c>
      <c r="O43" s="28" t="str">
        <f t="shared" si="178"/>
        <v>x</v>
      </c>
      <c r="P43" s="36">
        <f t="shared" si="179"/>
        <v>1</v>
      </c>
      <c r="Q43" s="36">
        <f t="shared" si="144"/>
        <v>1</v>
      </c>
      <c r="R43" s="36">
        <f t="shared" si="144"/>
        <v>0</v>
      </c>
      <c r="S43" s="36">
        <f t="shared" si="144"/>
        <v>1</v>
      </c>
      <c r="T43" s="36">
        <f t="shared" si="144"/>
        <v>0</v>
      </c>
      <c r="U43" s="36">
        <f t="shared" si="144"/>
        <v>8</v>
      </c>
      <c r="V43" s="36">
        <f t="shared" si="144"/>
        <v>8</v>
      </c>
      <c r="W43" s="36">
        <f t="shared" si="144"/>
        <v>1</v>
      </c>
      <c r="X43" s="36">
        <f t="shared" si="144"/>
        <v>0</v>
      </c>
      <c r="Y43" s="36">
        <f t="shared" si="144"/>
        <v>0</v>
      </c>
      <c r="Z43" s="36">
        <f t="shared" si="144"/>
        <v>0</v>
      </c>
      <c r="AA43" s="36">
        <f t="shared" si="144"/>
        <v>0</v>
      </c>
      <c r="AB43" s="36">
        <f t="shared" si="144"/>
        <v>1</v>
      </c>
      <c r="AC43" s="36">
        <f t="shared" si="144"/>
        <v>0</v>
      </c>
      <c r="AD43" s="36">
        <f t="shared" si="144"/>
        <v>1</v>
      </c>
      <c r="AE43" s="36">
        <f t="shared" si="144"/>
        <v>0</v>
      </c>
      <c r="AF43" s="36">
        <f t="shared" si="144"/>
        <v>0</v>
      </c>
      <c r="AG43" s="36">
        <f t="shared" si="144"/>
        <v>0</v>
      </c>
      <c r="AH43" s="36">
        <f t="shared" si="144"/>
        <v>0</v>
      </c>
      <c r="AI43" s="36">
        <f t="shared" si="144"/>
        <v>0</v>
      </c>
      <c r="AJ43" s="36">
        <f t="shared" si="144"/>
        <v>0</v>
      </c>
      <c r="AK43" s="36">
        <f t="shared" si="144"/>
        <v>0</v>
      </c>
      <c r="AL43" s="36">
        <f t="shared" si="144"/>
        <v>0</v>
      </c>
      <c r="AM43" s="36">
        <f t="shared" si="144"/>
        <v>0</v>
      </c>
      <c r="AN43" s="36">
        <f t="shared" si="144"/>
        <v>0</v>
      </c>
      <c r="AO43" s="36">
        <f t="shared" si="144"/>
        <v>0</v>
      </c>
      <c r="AP43" s="36">
        <f t="shared" si="144"/>
        <v>0</v>
      </c>
      <c r="AQ43" s="36">
        <f t="shared" si="144"/>
        <v>0</v>
      </c>
      <c r="AR43" s="36">
        <f t="shared" si="144"/>
        <v>0</v>
      </c>
      <c r="AS43" s="31" t="str">
        <f t="shared" si="145"/>
        <v>SimulationStorage,1,</v>
      </c>
      <c r="AT43" s="31" t="str">
        <f t="shared" si="146"/>
        <v>AnalysisStorage,1,</v>
      </c>
      <c r="AU43" s="31" t="str">
        <f t="shared" si="147"/>
        <v>LogRuleEvaluation,0,</v>
      </c>
      <c r="AV43" s="31" t="str">
        <f t="shared" si="148"/>
        <v>ParallelSimulations,1,</v>
      </c>
      <c r="AW43" s="31" t="str">
        <f t="shared" si="149"/>
        <v>DurationStats,0,</v>
      </c>
      <c r="AX43" s="31" t="str">
        <f t="shared" si="150"/>
        <v>AnalysisThruStep,8,</v>
      </c>
      <c r="AY43" s="31" t="str">
        <f t="shared" si="151"/>
        <v>DontAbortOnErrorsThruStep,8,</v>
      </c>
      <c r="AZ43" s="31" t="str">
        <f t="shared" si="152"/>
        <v>BypassValidFileChecks,1,</v>
      </c>
      <c r="BA43" s="31" t="str">
        <f t="shared" si="153"/>
        <v>BypassInputChecks,0,</v>
      </c>
      <c r="BB43" s="31" t="str">
        <f t="shared" si="154"/>
        <v>BypassUMLHChecks,0,</v>
      </c>
      <c r="BC43" s="31" t="str">
        <f t="shared" si="155"/>
        <v>BypassCheckSimRules,0,</v>
      </c>
      <c r="BD43" s="31" t="str">
        <f t="shared" si="156"/>
        <v>BypassCheckCodeRules,0,</v>
      </c>
      <c r="BE43" s="31" t="str">
        <f t="shared" si="157"/>
        <v>StoreResultsToModelInput,1,</v>
      </c>
      <c r="BF43" s="31" t="str">
        <f t="shared" si="158"/>
        <v>StoreBEMDetails,0,</v>
      </c>
      <c r="BG43" s="31" t="str">
        <f t="shared" si="159"/>
        <v>ModelRpt_ALL,1,</v>
      </c>
      <c r="BH43" s="31" t="str">
        <f t="shared" si="160"/>
        <v>ExportHourlyResults_All,0,</v>
      </c>
      <c r="BI43" s="31" t="str">
        <f t="shared" si="161"/>
        <v>ComplianceReportPDF,0,</v>
      </c>
      <c r="BJ43" s="31" t="str">
        <f t="shared" si="162"/>
        <v>ComplianceReportXML,0,</v>
      </c>
      <c r="BK43" s="31" t="str">
        <f t="shared" si="163"/>
        <v>QuickAnalysis,0,</v>
      </c>
      <c r="BL43" s="31" t="str">
        <f t="shared" si="163"/>
        <v>PromptUserUMLHWarning,0,</v>
      </c>
      <c r="BM43" s="31" t="str">
        <f t="shared" si="164"/>
        <v>BypassOpenStudio_all,0,</v>
      </c>
      <c r="BN43" s="31" t="str">
        <f t="shared" si="165"/>
        <v>BypassOpenStudio_zp,0,</v>
      </c>
      <c r="BO43" s="31" t="str">
        <f t="shared" si="166"/>
        <v>BypassOpenStudio_zb,0,</v>
      </c>
      <c r="BP43" s="31" t="str">
        <f t="shared" si="167"/>
        <v>BypassOpenStudio_ap,0,</v>
      </c>
      <c r="BQ43" s="31" t="str">
        <f t="shared" si="168"/>
        <v>BypassOpenStudio_ab,0,</v>
      </c>
      <c r="BR43" s="31" t="str">
        <f t="shared" si="169"/>
        <v>BypassOpenStudio_zp,0,</v>
      </c>
      <c r="BS43" s="31" t="str">
        <f t="shared" si="170"/>
        <v>BypassOpenStudio_zb,0,</v>
      </c>
      <c r="BT43" s="31" t="str">
        <f t="shared" si="171"/>
        <v>BypassOpenStudio_ap,0,</v>
      </c>
      <c r="BU43" s="31" t="str">
        <f t="shared" si="172"/>
        <v>BypassOpenStudio_ab,0,</v>
      </c>
    </row>
    <row r="44" spans="1:74" hidden="1" outlineLevel="1" x14ac:dyDescent="0.25">
      <c r="A44" s="39">
        <f t="shared" si="141"/>
        <v>0</v>
      </c>
      <c r="B44" s="27" t="str">
        <f t="shared" si="173"/>
        <v>OtherTests2016\x.cibd16</v>
      </c>
      <c r="C44" s="27" t="str">
        <f t="shared" si="174"/>
        <v>BatchOut_171026_r5178_FinalRel-v3-SSTSG_OT\x.cibd16</v>
      </c>
      <c r="D44" s="27" t="str">
        <f t="shared" si="175"/>
        <v>BatchOut_171026_r5178_FinalRel-v3-SSTSG_OT\XML\</v>
      </c>
      <c r="E44" s="9" t="str">
        <f t="shared" si="176"/>
        <v>x</v>
      </c>
      <c r="F44" s="22"/>
      <c r="G44" s="29"/>
      <c r="H44" s="23"/>
      <c r="I44" s="9" t="s">
        <v>11</v>
      </c>
      <c r="J44"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4" s="15" t="s">
        <v>1</v>
      </c>
      <c r="L44" s="36">
        <f t="shared" si="180"/>
        <v>0</v>
      </c>
      <c r="M44" s="91" t="str">
        <f t="shared" si="177"/>
        <v>x</v>
      </c>
      <c r="N44" s="90" t="s">
        <v>149</v>
      </c>
      <c r="O44" s="28" t="str">
        <f t="shared" si="178"/>
        <v>x</v>
      </c>
      <c r="P44" s="36">
        <f t="shared" si="179"/>
        <v>1</v>
      </c>
      <c r="Q44" s="36">
        <f t="shared" si="144"/>
        <v>1</v>
      </c>
      <c r="R44" s="36">
        <f t="shared" si="144"/>
        <v>0</v>
      </c>
      <c r="S44" s="36">
        <f t="shared" si="144"/>
        <v>1</v>
      </c>
      <c r="T44" s="36">
        <f t="shared" si="144"/>
        <v>0</v>
      </c>
      <c r="U44" s="36">
        <f t="shared" si="144"/>
        <v>8</v>
      </c>
      <c r="V44" s="36">
        <f t="shared" si="144"/>
        <v>8</v>
      </c>
      <c r="W44" s="36">
        <f t="shared" si="144"/>
        <v>1</v>
      </c>
      <c r="X44" s="36">
        <f t="shared" si="144"/>
        <v>0</v>
      </c>
      <c r="Y44" s="36">
        <f t="shared" si="144"/>
        <v>0</v>
      </c>
      <c r="Z44" s="36">
        <f t="shared" si="144"/>
        <v>0</v>
      </c>
      <c r="AA44" s="36">
        <f t="shared" si="144"/>
        <v>0</v>
      </c>
      <c r="AB44" s="36">
        <f t="shared" si="144"/>
        <v>1</v>
      </c>
      <c r="AC44" s="36">
        <f t="shared" si="144"/>
        <v>0</v>
      </c>
      <c r="AD44" s="36">
        <f t="shared" si="144"/>
        <v>1</v>
      </c>
      <c r="AE44" s="36">
        <f t="shared" si="144"/>
        <v>0</v>
      </c>
      <c r="AF44" s="36">
        <f t="shared" si="144"/>
        <v>0</v>
      </c>
      <c r="AG44" s="36">
        <f t="shared" si="144"/>
        <v>0</v>
      </c>
      <c r="AH44" s="36">
        <f t="shared" si="144"/>
        <v>0</v>
      </c>
      <c r="AI44" s="36">
        <f t="shared" si="144"/>
        <v>0</v>
      </c>
      <c r="AJ44" s="36">
        <f t="shared" si="144"/>
        <v>0</v>
      </c>
      <c r="AK44" s="36">
        <f t="shared" si="144"/>
        <v>0</v>
      </c>
      <c r="AL44" s="36">
        <f t="shared" si="144"/>
        <v>0</v>
      </c>
      <c r="AM44" s="36">
        <f t="shared" si="144"/>
        <v>0</v>
      </c>
      <c r="AN44" s="36">
        <f t="shared" si="144"/>
        <v>0</v>
      </c>
      <c r="AO44" s="36">
        <f t="shared" si="144"/>
        <v>0</v>
      </c>
      <c r="AP44" s="36">
        <f t="shared" si="144"/>
        <v>0</v>
      </c>
      <c r="AQ44" s="36">
        <f t="shared" si="144"/>
        <v>0</v>
      </c>
      <c r="AR44" s="36">
        <f t="shared" si="144"/>
        <v>0</v>
      </c>
      <c r="AS44" s="31" t="str">
        <f t="shared" si="145"/>
        <v>SimulationStorage,1,</v>
      </c>
      <c r="AT44" s="31" t="str">
        <f t="shared" si="146"/>
        <v>AnalysisStorage,1,</v>
      </c>
      <c r="AU44" s="31" t="str">
        <f t="shared" si="147"/>
        <v>LogRuleEvaluation,0,</v>
      </c>
      <c r="AV44" s="31" t="str">
        <f t="shared" si="148"/>
        <v>ParallelSimulations,1,</v>
      </c>
      <c r="AW44" s="31" t="str">
        <f t="shared" si="149"/>
        <v>DurationStats,0,</v>
      </c>
      <c r="AX44" s="31" t="str">
        <f t="shared" si="150"/>
        <v>AnalysisThruStep,8,</v>
      </c>
      <c r="AY44" s="31" t="str">
        <f t="shared" si="151"/>
        <v>DontAbortOnErrorsThruStep,8,</v>
      </c>
      <c r="AZ44" s="31" t="str">
        <f t="shared" si="152"/>
        <v>BypassValidFileChecks,1,</v>
      </c>
      <c r="BA44" s="31" t="str">
        <f t="shared" si="153"/>
        <v>BypassInputChecks,0,</v>
      </c>
      <c r="BB44" s="31" t="str">
        <f t="shared" si="154"/>
        <v>BypassUMLHChecks,0,</v>
      </c>
      <c r="BC44" s="31" t="str">
        <f t="shared" si="155"/>
        <v>BypassCheckSimRules,0,</v>
      </c>
      <c r="BD44" s="31" t="str">
        <f t="shared" si="156"/>
        <v>BypassCheckCodeRules,0,</v>
      </c>
      <c r="BE44" s="31" t="str">
        <f t="shared" si="157"/>
        <v>StoreResultsToModelInput,1,</v>
      </c>
      <c r="BF44" s="31" t="str">
        <f t="shared" si="158"/>
        <v>StoreBEMDetails,0,</v>
      </c>
      <c r="BG44" s="31" t="str">
        <f t="shared" si="159"/>
        <v>ModelRpt_ALL,1,</v>
      </c>
      <c r="BH44" s="31" t="str">
        <f t="shared" si="160"/>
        <v>ExportHourlyResults_All,0,</v>
      </c>
      <c r="BI44" s="31" t="str">
        <f t="shared" si="161"/>
        <v>ComplianceReportPDF,0,</v>
      </c>
      <c r="BJ44" s="31" t="str">
        <f t="shared" si="162"/>
        <v>ComplianceReportXML,0,</v>
      </c>
      <c r="BK44" s="31" t="str">
        <f t="shared" si="163"/>
        <v>QuickAnalysis,0,</v>
      </c>
      <c r="BL44" s="31" t="str">
        <f t="shared" si="163"/>
        <v>PromptUserUMLHWarning,0,</v>
      </c>
      <c r="BM44" s="31" t="str">
        <f t="shared" si="164"/>
        <v>BypassOpenStudio_all,0,</v>
      </c>
      <c r="BN44" s="31" t="str">
        <f t="shared" si="165"/>
        <v>BypassOpenStudio_zp,0,</v>
      </c>
      <c r="BO44" s="31" t="str">
        <f t="shared" si="166"/>
        <v>BypassOpenStudio_zb,0,</v>
      </c>
      <c r="BP44" s="31" t="str">
        <f t="shared" si="167"/>
        <v>BypassOpenStudio_ap,0,</v>
      </c>
      <c r="BQ44" s="31" t="str">
        <f t="shared" si="168"/>
        <v>BypassOpenStudio_ab,0,</v>
      </c>
      <c r="BR44" s="31" t="str">
        <f t="shared" si="169"/>
        <v>BypassOpenStudio_zp,0,</v>
      </c>
      <c r="BS44" s="31" t="str">
        <f t="shared" si="170"/>
        <v>BypassOpenStudio_zb,0,</v>
      </c>
      <c r="BT44" s="31" t="str">
        <f t="shared" si="171"/>
        <v>BypassOpenStudio_ap,0,</v>
      </c>
      <c r="BU44" s="31" t="str">
        <f t="shared" si="172"/>
        <v>BypassOpenStudio_ab,0,</v>
      </c>
    </row>
    <row r="45" spans="1:74" hidden="1" outlineLevel="1" x14ac:dyDescent="0.25">
      <c r="A45" s="39">
        <f t="shared" ref="A45" si="181">L45</f>
        <v>0</v>
      </c>
      <c r="B45" s="27" t="str">
        <f t="shared" si="173"/>
        <v>OtherTests2016\x.cibd16</v>
      </c>
      <c r="C45" s="27" t="str">
        <f t="shared" si="174"/>
        <v>BatchOut_171026_r5178_FinalRel-v3-SSTSG_OT\x.cibd16</v>
      </c>
      <c r="D45" s="27" t="str">
        <f t="shared" si="175"/>
        <v>BatchOut_171026_r5178_FinalRel-v3-SSTSG_OT\XML\</v>
      </c>
      <c r="E45" s="9" t="str">
        <f t="shared" ref="E45" si="182">M45</f>
        <v>x</v>
      </c>
      <c r="F45" s="22"/>
      <c r="G45" s="29"/>
      <c r="H45" s="23"/>
      <c r="I45" s="9" t="s">
        <v>11</v>
      </c>
      <c r="J45" s="87" t="str">
        <f t="shared" ref="J45" si="183">CONCATENATE(AS45,AT45,AU45,AV45,AW45,AX45,AY45,AZ45,BA45,BB45,BC45,BD45,BE45,BF45,BG45,BH45,BI45,BJ45,BK45,BL45,BM45,BN45,BO45,BP45,BQ45,BR45,BS45,BT45,BU45)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5" s="15" t="s">
        <v>1</v>
      </c>
      <c r="L45" s="36">
        <f t="shared" si="180"/>
        <v>0</v>
      </c>
      <c r="M45" s="91" t="str">
        <f t="shared" si="177"/>
        <v>x</v>
      </c>
      <c r="N45" s="90" t="s">
        <v>149</v>
      </c>
      <c r="O45" s="28" t="str">
        <f t="shared" si="178"/>
        <v>x</v>
      </c>
      <c r="P45" s="36">
        <f t="shared" si="179"/>
        <v>1</v>
      </c>
      <c r="Q45" s="36">
        <f t="shared" si="144"/>
        <v>1</v>
      </c>
      <c r="R45" s="36">
        <f t="shared" si="144"/>
        <v>0</v>
      </c>
      <c r="S45" s="36">
        <f t="shared" si="144"/>
        <v>1</v>
      </c>
      <c r="T45" s="36">
        <f t="shared" si="144"/>
        <v>0</v>
      </c>
      <c r="U45" s="36">
        <f t="shared" si="144"/>
        <v>8</v>
      </c>
      <c r="V45" s="36">
        <f t="shared" si="144"/>
        <v>8</v>
      </c>
      <c r="W45" s="36">
        <f t="shared" si="144"/>
        <v>1</v>
      </c>
      <c r="X45" s="36">
        <f t="shared" si="144"/>
        <v>0</v>
      </c>
      <c r="Y45" s="36">
        <f t="shared" si="144"/>
        <v>0</v>
      </c>
      <c r="Z45" s="36">
        <f t="shared" si="144"/>
        <v>0</v>
      </c>
      <c r="AA45" s="36">
        <f t="shared" si="144"/>
        <v>0</v>
      </c>
      <c r="AB45" s="36">
        <f t="shared" si="144"/>
        <v>1</v>
      </c>
      <c r="AC45" s="36">
        <f t="shared" si="144"/>
        <v>0</v>
      </c>
      <c r="AD45" s="36">
        <f t="shared" si="144"/>
        <v>1</v>
      </c>
      <c r="AE45" s="36">
        <f t="shared" si="144"/>
        <v>0</v>
      </c>
      <c r="AF45" s="36">
        <f t="shared" si="144"/>
        <v>0</v>
      </c>
      <c r="AG45" s="36">
        <f t="shared" si="144"/>
        <v>0</v>
      </c>
      <c r="AH45" s="36">
        <f t="shared" si="144"/>
        <v>0</v>
      </c>
      <c r="AI45" s="36">
        <f t="shared" si="144"/>
        <v>0</v>
      </c>
      <c r="AJ45" s="36">
        <f t="shared" si="144"/>
        <v>0</v>
      </c>
      <c r="AK45" s="36">
        <f t="shared" si="144"/>
        <v>0</v>
      </c>
      <c r="AL45" s="36">
        <f t="shared" si="144"/>
        <v>0</v>
      </c>
      <c r="AM45" s="36">
        <f t="shared" si="144"/>
        <v>0</v>
      </c>
      <c r="AN45" s="36">
        <f t="shared" si="144"/>
        <v>0</v>
      </c>
      <c r="AO45" s="36">
        <f t="shared" si="144"/>
        <v>0</v>
      </c>
      <c r="AP45" s="36">
        <f t="shared" si="144"/>
        <v>0</v>
      </c>
      <c r="AQ45" s="36">
        <f t="shared" si="144"/>
        <v>0</v>
      </c>
      <c r="AR45" s="36">
        <f t="shared" si="144"/>
        <v>0</v>
      </c>
      <c r="AS45" s="31" t="str">
        <f t="shared" si="145"/>
        <v>SimulationStorage,1,</v>
      </c>
      <c r="AT45" s="31" t="str">
        <f t="shared" si="146"/>
        <v>AnalysisStorage,1,</v>
      </c>
      <c r="AU45" s="31" t="str">
        <f t="shared" si="147"/>
        <v>LogRuleEvaluation,0,</v>
      </c>
      <c r="AV45" s="31" t="str">
        <f t="shared" si="148"/>
        <v>ParallelSimulations,1,</v>
      </c>
      <c r="AW45" s="31" t="str">
        <f t="shared" si="149"/>
        <v>DurationStats,0,</v>
      </c>
      <c r="AX45" s="31" t="str">
        <f t="shared" si="150"/>
        <v>AnalysisThruStep,8,</v>
      </c>
      <c r="AY45" s="31" t="str">
        <f t="shared" si="151"/>
        <v>DontAbortOnErrorsThruStep,8,</v>
      </c>
      <c r="AZ45" s="31" t="str">
        <f t="shared" si="152"/>
        <v>BypassValidFileChecks,1,</v>
      </c>
      <c r="BA45" s="31" t="str">
        <f t="shared" si="153"/>
        <v>BypassInputChecks,0,</v>
      </c>
      <c r="BB45" s="31" t="str">
        <f t="shared" si="154"/>
        <v>BypassUMLHChecks,0,</v>
      </c>
      <c r="BC45" s="31" t="str">
        <f t="shared" si="155"/>
        <v>BypassCheckSimRules,0,</v>
      </c>
      <c r="BD45" s="31" t="str">
        <f t="shared" si="156"/>
        <v>BypassCheckCodeRules,0,</v>
      </c>
      <c r="BE45" s="31" t="str">
        <f t="shared" ref="BE45" si="184">AB$13&amp;AB45&amp;","</f>
        <v>StoreResultsToModelInput,1,</v>
      </c>
      <c r="BF45" s="31" t="str">
        <f t="shared" ref="BF45" si="185">AC$13&amp;AC45&amp;","</f>
        <v>StoreBEMDetails,0,</v>
      </c>
      <c r="BG45" s="31" t="str">
        <f t="shared" ref="BG45" si="186">AD$13&amp;AD45&amp;","</f>
        <v>ModelRpt_ALL,1,</v>
      </c>
      <c r="BH45" s="31" t="str">
        <f t="shared" ref="BH45" si="187">AE$13&amp;AE45&amp;","</f>
        <v>ExportHourlyResults_All,0,</v>
      </c>
      <c r="BI45" s="31" t="str">
        <f t="shared" ref="BI45" si="188">AF$13&amp;AF45&amp;","</f>
        <v>ComplianceReportPDF,0,</v>
      </c>
      <c r="BJ45" s="31" t="str">
        <f t="shared" ref="BJ45" si="189">AG$13&amp;AG45&amp;","</f>
        <v>ComplianceReportXML,0,</v>
      </c>
      <c r="BK45" s="31" t="str">
        <f t="shared" ref="BK45" si="190">AH$13&amp;AH45&amp;","</f>
        <v>QuickAnalysis,0,</v>
      </c>
      <c r="BL45" s="31" t="str">
        <f t="shared" ref="BL45" si="191">AI$13&amp;AI45&amp;","</f>
        <v>PromptUserUMLHWarning,0,</v>
      </c>
      <c r="BM45" s="31" t="str">
        <f t="shared" ref="BM45" si="192">AJ$13&amp;AJ45&amp;","</f>
        <v>BypassOpenStudio_all,0,</v>
      </c>
      <c r="BN45" s="31" t="str">
        <f t="shared" ref="BN45" si="193">AK$13&amp;AK45&amp;","</f>
        <v>BypassOpenStudio_zp,0,</v>
      </c>
      <c r="BO45" s="31" t="str">
        <f t="shared" ref="BO45" si="194">AL$13&amp;AL45&amp;","</f>
        <v>BypassOpenStudio_zb,0,</v>
      </c>
      <c r="BP45" s="31" t="str">
        <f t="shared" ref="BP45" si="195">AM$13&amp;AM45&amp;","</f>
        <v>BypassOpenStudio_ap,0,</v>
      </c>
      <c r="BQ45" s="31" t="str">
        <f t="shared" ref="BQ45" si="196">AN$13&amp;AN45&amp;","</f>
        <v>BypassOpenStudio_ab,0,</v>
      </c>
      <c r="BR45" s="31" t="str">
        <f t="shared" ref="BR45" si="197">AO$13&amp;AO45&amp;","</f>
        <v>BypassOpenStudio_zp,0,</v>
      </c>
      <c r="BS45" s="31" t="str">
        <f t="shared" ref="BS45" si="198">AP$13&amp;AP45&amp;","</f>
        <v>BypassOpenStudio_zb,0,</v>
      </c>
      <c r="BT45" s="31" t="str">
        <f t="shared" ref="BT45" si="199">AQ$13&amp;AQ45&amp;","</f>
        <v>BypassOpenStudio_ap,0,</v>
      </c>
      <c r="BU45" s="31" t="str">
        <f t="shared" ref="BU45" si="200">AR$13&amp;AR45&amp;","</f>
        <v>BypassOpenStudio_ab,0,</v>
      </c>
    </row>
    <row r="46" spans="1:74" hidden="1" outlineLevel="1" x14ac:dyDescent="0.25">
      <c r="A46" s="39">
        <f t="shared" si="141"/>
        <v>0</v>
      </c>
      <c r="B46" s="27" t="str">
        <f t="shared" si="173"/>
        <v>OtherTests2016\x.cibd16</v>
      </c>
      <c r="C46" s="27" t="str">
        <f t="shared" si="174"/>
        <v>BatchOut_171026_r5178_FinalRel-v3-SSTSG_OT\x.cibd16</v>
      </c>
      <c r="D46" s="27" t="str">
        <f t="shared" si="175"/>
        <v>BatchOut_171026_r5178_FinalRel-v3-SSTSG_OT\XML\</v>
      </c>
      <c r="E46" s="9" t="str">
        <f t="shared" si="176"/>
        <v>x</v>
      </c>
      <c r="F46" s="22"/>
      <c r="G46" s="29"/>
      <c r="H46" s="23"/>
      <c r="I46" s="9" t="s">
        <v>11</v>
      </c>
      <c r="J46"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6" s="15" t="s">
        <v>1</v>
      </c>
      <c r="L46" s="36">
        <f t="shared" si="180"/>
        <v>0</v>
      </c>
      <c r="M46" s="91" t="str">
        <f t="shared" si="177"/>
        <v>x</v>
      </c>
      <c r="N46" s="90" t="s">
        <v>149</v>
      </c>
      <c r="O46" s="28" t="str">
        <f t="shared" si="178"/>
        <v>x</v>
      </c>
      <c r="P46" s="36">
        <f t="shared" si="179"/>
        <v>1</v>
      </c>
      <c r="Q46" s="36">
        <f t="shared" si="144"/>
        <v>1</v>
      </c>
      <c r="R46" s="36">
        <f t="shared" si="144"/>
        <v>0</v>
      </c>
      <c r="S46" s="36">
        <f t="shared" si="144"/>
        <v>1</v>
      </c>
      <c r="T46" s="36">
        <f t="shared" si="144"/>
        <v>0</v>
      </c>
      <c r="U46" s="36">
        <f t="shared" si="144"/>
        <v>8</v>
      </c>
      <c r="V46" s="36">
        <f t="shared" si="144"/>
        <v>8</v>
      </c>
      <c r="W46" s="36">
        <f t="shared" si="144"/>
        <v>1</v>
      </c>
      <c r="X46" s="36">
        <f t="shared" si="144"/>
        <v>0</v>
      </c>
      <c r="Y46" s="36">
        <f t="shared" si="144"/>
        <v>0</v>
      </c>
      <c r="Z46" s="36">
        <f t="shared" si="144"/>
        <v>0</v>
      </c>
      <c r="AA46" s="36">
        <f t="shared" si="144"/>
        <v>0</v>
      </c>
      <c r="AB46" s="36">
        <f t="shared" si="144"/>
        <v>1</v>
      </c>
      <c r="AC46" s="36">
        <f t="shared" si="144"/>
        <v>0</v>
      </c>
      <c r="AD46" s="36">
        <f t="shared" si="144"/>
        <v>1</v>
      </c>
      <c r="AE46" s="36">
        <f t="shared" si="144"/>
        <v>0</v>
      </c>
      <c r="AF46" s="36">
        <f t="shared" si="144"/>
        <v>0</v>
      </c>
      <c r="AG46" s="36">
        <f t="shared" si="144"/>
        <v>0</v>
      </c>
      <c r="AH46" s="36">
        <f t="shared" si="144"/>
        <v>0</v>
      </c>
      <c r="AI46" s="36">
        <f t="shared" si="144"/>
        <v>0</v>
      </c>
      <c r="AJ46" s="36">
        <f t="shared" si="144"/>
        <v>0</v>
      </c>
      <c r="AK46" s="36">
        <f t="shared" si="144"/>
        <v>0</v>
      </c>
      <c r="AL46" s="36">
        <f t="shared" si="144"/>
        <v>0</v>
      </c>
      <c r="AM46" s="36">
        <f t="shared" si="144"/>
        <v>0</v>
      </c>
      <c r="AN46" s="36">
        <f t="shared" si="144"/>
        <v>0</v>
      </c>
      <c r="AO46" s="36">
        <f t="shared" si="144"/>
        <v>0</v>
      </c>
      <c r="AP46" s="36">
        <f t="shared" si="144"/>
        <v>0</v>
      </c>
      <c r="AQ46" s="36">
        <f t="shared" si="144"/>
        <v>0</v>
      </c>
      <c r="AR46" s="36">
        <f t="shared" si="144"/>
        <v>0</v>
      </c>
      <c r="AS46" s="31" t="str">
        <f t="shared" si="145"/>
        <v>SimulationStorage,1,</v>
      </c>
      <c r="AT46" s="31" t="str">
        <f t="shared" si="146"/>
        <v>AnalysisStorage,1,</v>
      </c>
      <c r="AU46" s="31" t="str">
        <f t="shared" si="147"/>
        <v>LogRuleEvaluation,0,</v>
      </c>
      <c r="AV46" s="31" t="str">
        <f t="shared" si="148"/>
        <v>ParallelSimulations,1,</v>
      </c>
      <c r="AW46" s="31" t="str">
        <f t="shared" si="149"/>
        <v>DurationStats,0,</v>
      </c>
      <c r="AX46" s="31" t="str">
        <f t="shared" si="150"/>
        <v>AnalysisThruStep,8,</v>
      </c>
      <c r="AY46" s="31" t="str">
        <f t="shared" si="151"/>
        <v>DontAbortOnErrorsThruStep,8,</v>
      </c>
      <c r="AZ46" s="31" t="str">
        <f t="shared" si="152"/>
        <v>BypassValidFileChecks,1,</v>
      </c>
      <c r="BA46" s="31" t="str">
        <f t="shared" si="153"/>
        <v>BypassInputChecks,0,</v>
      </c>
      <c r="BB46" s="31" t="str">
        <f t="shared" si="154"/>
        <v>BypassUMLHChecks,0,</v>
      </c>
      <c r="BC46" s="31" t="str">
        <f t="shared" si="155"/>
        <v>BypassCheckSimRules,0,</v>
      </c>
      <c r="BD46" s="31" t="str">
        <f t="shared" si="156"/>
        <v>BypassCheckCodeRules,0,</v>
      </c>
      <c r="BE46" s="31" t="str">
        <f t="shared" si="157"/>
        <v>StoreResultsToModelInput,1,</v>
      </c>
      <c r="BF46" s="31" t="str">
        <f t="shared" si="158"/>
        <v>StoreBEMDetails,0,</v>
      </c>
      <c r="BG46" s="31" t="str">
        <f t="shared" si="159"/>
        <v>ModelRpt_ALL,1,</v>
      </c>
      <c r="BH46" s="31" t="str">
        <f t="shared" si="160"/>
        <v>ExportHourlyResults_All,0,</v>
      </c>
      <c r="BI46" s="31" t="str">
        <f t="shared" si="161"/>
        <v>ComplianceReportPDF,0,</v>
      </c>
      <c r="BJ46" s="31" t="str">
        <f t="shared" si="162"/>
        <v>ComplianceReportXML,0,</v>
      </c>
      <c r="BK46" s="31" t="str">
        <f t="shared" si="163"/>
        <v>QuickAnalysis,0,</v>
      </c>
      <c r="BL46" s="31" t="str">
        <f t="shared" si="163"/>
        <v>PromptUserUMLHWarning,0,</v>
      </c>
      <c r="BM46" s="31" t="str">
        <f t="shared" si="164"/>
        <v>BypassOpenStudio_all,0,</v>
      </c>
      <c r="BN46" s="31" t="str">
        <f t="shared" si="165"/>
        <v>BypassOpenStudio_zp,0,</v>
      </c>
      <c r="BO46" s="31" t="str">
        <f t="shared" si="166"/>
        <v>BypassOpenStudio_zb,0,</v>
      </c>
      <c r="BP46" s="31" t="str">
        <f t="shared" si="167"/>
        <v>BypassOpenStudio_ap,0,</v>
      </c>
      <c r="BQ46" s="31" t="str">
        <f t="shared" si="168"/>
        <v>BypassOpenStudio_ab,0,</v>
      </c>
      <c r="BR46" s="31" t="str">
        <f t="shared" si="169"/>
        <v>BypassOpenStudio_zp,0,</v>
      </c>
      <c r="BS46" s="31" t="str">
        <f t="shared" si="170"/>
        <v>BypassOpenStudio_zb,0,</v>
      </c>
      <c r="BT46" s="31" t="str">
        <f t="shared" si="171"/>
        <v>BypassOpenStudio_ap,0,</v>
      </c>
      <c r="BU46" s="31" t="str">
        <f t="shared" si="172"/>
        <v>BypassOpenStudio_ab,0,</v>
      </c>
    </row>
    <row r="47" spans="1:74" hidden="1" outlineLevel="1" x14ac:dyDescent="0.25">
      <c r="A47" s="39">
        <f t="shared" si="141"/>
        <v>0</v>
      </c>
      <c r="B47" s="27" t="str">
        <f t="shared" si="173"/>
        <v>OtherTests2016\x.cibd16</v>
      </c>
      <c r="C47" s="27" t="str">
        <f t="shared" si="174"/>
        <v>BatchOut_171026_r5178_FinalRel-v3-SSTSG_OT\x.cibd16</v>
      </c>
      <c r="D47" s="27" t="str">
        <f t="shared" si="175"/>
        <v>BatchOut_171026_r5178_FinalRel-v3-SSTSG_OT\XML\</v>
      </c>
      <c r="E47" s="9" t="str">
        <f t="shared" si="176"/>
        <v>x</v>
      </c>
      <c r="F47" s="22"/>
      <c r="G47" s="29"/>
      <c r="H47" s="23" t="str">
        <f>IF(F47&gt;1,1,"")</f>
        <v/>
      </c>
      <c r="I47" s="9" t="s">
        <v>11</v>
      </c>
      <c r="J47"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7" s="15" t="s">
        <v>1</v>
      </c>
      <c r="L47" s="36">
        <f t="shared" si="180"/>
        <v>0</v>
      </c>
      <c r="M47" s="91" t="str">
        <f t="shared" si="177"/>
        <v>x</v>
      </c>
      <c r="N47" s="90" t="s">
        <v>149</v>
      </c>
      <c r="O47" s="28" t="str">
        <f t="shared" si="178"/>
        <v>x</v>
      </c>
      <c r="P47" s="36">
        <f t="shared" si="179"/>
        <v>1</v>
      </c>
      <c r="Q47" s="36">
        <f t="shared" si="144"/>
        <v>1</v>
      </c>
      <c r="R47" s="36">
        <f t="shared" si="144"/>
        <v>0</v>
      </c>
      <c r="S47" s="36">
        <f t="shared" si="144"/>
        <v>1</v>
      </c>
      <c r="T47" s="36">
        <f t="shared" si="144"/>
        <v>0</v>
      </c>
      <c r="U47" s="36">
        <f t="shared" si="144"/>
        <v>8</v>
      </c>
      <c r="V47" s="36">
        <f t="shared" si="144"/>
        <v>8</v>
      </c>
      <c r="W47" s="36">
        <f t="shared" si="144"/>
        <v>1</v>
      </c>
      <c r="X47" s="36">
        <f t="shared" si="144"/>
        <v>0</v>
      </c>
      <c r="Y47" s="36">
        <f t="shared" si="144"/>
        <v>0</v>
      </c>
      <c r="Z47" s="36">
        <f t="shared" si="144"/>
        <v>0</v>
      </c>
      <c r="AA47" s="36">
        <f t="shared" si="144"/>
        <v>0</v>
      </c>
      <c r="AB47" s="36">
        <f t="shared" si="144"/>
        <v>1</v>
      </c>
      <c r="AC47" s="36">
        <f t="shared" si="144"/>
        <v>0</v>
      </c>
      <c r="AD47" s="36">
        <f t="shared" si="144"/>
        <v>1</v>
      </c>
      <c r="AE47" s="36">
        <f t="shared" si="144"/>
        <v>0</v>
      </c>
      <c r="AF47" s="36">
        <f t="shared" si="144"/>
        <v>0</v>
      </c>
      <c r="AG47" s="36">
        <f t="shared" si="144"/>
        <v>0</v>
      </c>
      <c r="AH47" s="36">
        <f t="shared" si="144"/>
        <v>0</v>
      </c>
      <c r="AI47" s="36">
        <f t="shared" si="144"/>
        <v>0</v>
      </c>
      <c r="AJ47" s="36">
        <f t="shared" si="144"/>
        <v>0</v>
      </c>
      <c r="AK47" s="36">
        <f t="shared" si="144"/>
        <v>0</v>
      </c>
      <c r="AL47" s="36">
        <f t="shared" si="144"/>
        <v>0</v>
      </c>
      <c r="AM47" s="36">
        <f t="shared" si="144"/>
        <v>0</v>
      </c>
      <c r="AN47" s="36">
        <f t="shared" si="144"/>
        <v>0</v>
      </c>
      <c r="AO47" s="36">
        <f t="shared" si="144"/>
        <v>0</v>
      </c>
      <c r="AP47" s="36">
        <f t="shared" si="144"/>
        <v>0</v>
      </c>
      <c r="AQ47" s="36">
        <f t="shared" si="144"/>
        <v>0</v>
      </c>
      <c r="AR47" s="36">
        <f t="shared" si="144"/>
        <v>0</v>
      </c>
      <c r="AS47" s="31" t="str">
        <f t="shared" si="145"/>
        <v>SimulationStorage,1,</v>
      </c>
      <c r="AT47" s="31" t="str">
        <f t="shared" si="146"/>
        <v>AnalysisStorage,1,</v>
      </c>
      <c r="AU47" s="31" t="str">
        <f t="shared" si="147"/>
        <v>LogRuleEvaluation,0,</v>
      </c>
      <c r="AV47" s="31" t="str">
        <f t="shared" si="148"/>
        <v>ParallelSimulations,1,</v>
      </c>
      <c r="AW47" s="31" t="str">
        <f t="shared" si="149"/>
        <v>DurationStats,0,</v>
      </c>
      <c r="AX47" s="31" t="str">
        <f t="shared" si="150"/>
        <v>AnalysisThruStep,8,</v>
      </c>
      <c r="AY47" s="31" t="str">
        <f t="shared" si="151"/>
        <v>DontAbortOnErrorsThruStep,8,</v>
      </c>
      <c r="AZ47" s="31" t="str">
        <f t="shared" si="152"/>
        <v>BypassValidFileChecks,1,</v>
      </c>
      <c r="BA47" s="31" t="str">
        <f t="shared" si="153"/>
        <v>BypassInputChecks,0,</v>
      </c>
      <c r="BB47" s="31" t="str">
        <f t="shared" si="154"/>
        <v>BypassUMLHChecks,0,</v>
      </c>
      <c r="BC47" s="31" t="str">
        <f t="shared" si="155"/>
        <v>BypassCheckSimRules,0,</v>
      </c>
      <c r="BD47" s="31" t="str">
        <f t="shared" si="156"/>
        <v>BypassCheckCodeRules,0,</v>
      </c>
      <c r="BE47" s="31" t="str">
        <f t="shared" si="157"/>
        <v>StoreResultsToModelInput,1,</v>
      </c>
      <c r="BF47" s="31" t="str">
        <f t="shared" si="158"/>
        <v>StoreBEMDetails,0,</v>
      </c>
      <c r="BG47" s="31" t="str">
        <f t="shared" si="159"/>
        <v>ModelRpt_ALL,1,</v>
      </c>
      <c r="BH47" s="31" t="str">
        <f t="shared" si="160"/>
        <v>ExportHourlyResults_All,0,</v>
      </c>
      <c r="BI47" s="31" t="str">
        <f t="shared" si="161"/>
        <v>ComplianceReportPDF,0,</v>
      </c>
      <c r="BJ47" s="31" t="str">
        <f t="shared" si="162"/>
        <v>ComplianceReportXML,0,</v>
      </c>
      <c r="BK47" s="31" t="str">
        <f t="shared" si="163"/>
        <v>QuickAnalysis,0,</v>
      </c>
      <c r="BL47" s="31" t="str">
        <f t="shared" si="163"/>
        <v>PromptUserUMLHWarning,0,</v>
      </c>
      <c r="BM47" s="31" t="str">
        <f t="shared" si="164"/>
        <v>BypassOpenStudio_all,0,</v>
      </c>
      <c r="BN47" s="31" t="str">
        <f t="shared" si="165"/>
        <v>BypassOpenStudio_zp,0,</v>
      </c>
      <c r="BO47" s="31" t="str">
        <f t="shared" si="166"/>
        <v>BypassOpenStudio_zb,0,</v>
      </c>
      <c r="BP47" s="31" t="str">
        <f t="shared" si="167"/>
        <v>BypassOpenStudio_ap,0,</v>
      </c>
      <c r="BQ47" s="31" t="str">
        <f t="shared" si="168"/>
        <v>BypassOpenStudio_ab,0,</v>
      </c>
      <c r="BR47" s="31" t="str">
        <f t="shared" si="169"/>
        <v>BypassOpenStudio_zp,0,</v>
      </c>
      <c r="BS47" s="31" t="str">
        <f t="shared" si="170"/>
        <v>BypassOpenStudio_zb,0,</v>
      </c>
      <c r="BT47" s="31" t="str">
        <f t="shared" si="171"/>
        <v>BypassOpenStudio_ap,0,</v>
      </c>
      <c r="BU47" s="31" t="str">
        <f t="shared" si="172"/>
        <v>BypassOpenStudio_ab,0,</v>
      </c>
    </row>
    <row r="48" spans="1:74" hidden="1" outlineLevel="1" x14ac:dyDescent="0.25">
      <c r="A48" s="39">
        <f t="shared" si="141"/>
        <v>0</v>
      </c>
      <c r="B48" s="27" t="str">
        <f t="shared" si="173"/>
        <v>OtherTests2016\x.cibd16</v>
      </c>
      <c r="C48" s="27" t="str">
        <f t="shared" si="174"/>
        <v>BatchOut_171026_r5178_FinalRel-v3-SSTSG_OT\x.cibd16</v>
      </c>
      <c r="D48" s="27" t="str">
        <f t="shared" si="175"/>
        <v>BatchOut_171026_r5178_FinalRel-v3-SSTSG_OT\XML\</v>
      </c>
      <c r="E48" s="9" t="str">
        <f t="shared" si="176"/>
        <v>x</v>
      </c>
      <c r="F48" s="22"/>
      <c r="G48" s="29"/>
      <c r="H48" s="23"/>
      <c r="I48" s="9" t="s">
        <v>11</v>
      </c>
      <c r="J48"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8" s="15" t="s">
        <v>1</v>
      </c>
      <c r="L48" s="92">
        <f t="shared" si="180"/>
        <v>0</v>
      </c>
      <c r="M48" s="32" t="str">
        <f>N48</f>
        <v>x</v>
      </c>
      <c r="N48" s="90" t="s">
        <v>149</v>
      </c>
      <c r="O48" s="28" t="str">
        <f t="shared" si="178"/>
        <v>x</v>
      </c>
      <c r="P48" s="36">
        <f t="shared" si="179"/>
        <v>1</v>
      </c>
      <c r="Q48" s="36">
        <f t="shared" si="144"/>
        <v>1</v>
      </c>
      <c r="R48" s="36">
        <f t="shared" si="144"/>
        <v>0</v>
      </c>
      <c r="S48" s="36">
        <f t="shared" si="144"/>
        <v>1</v>
      </c>
      <c r="T48" s="36">
        <f t="shared" si="144"/>
        <v>0</v>
      </c>
      <c r="U48" s="36">
        <f t="shared" si="144"/>
        <v>8</v>
      </c>
      <c r="V48" s="36">
        <f t="shared" si="144"/>
        <v>8</v>
      </c>
      <c r="W48" s="36">
        <f t="shared" si="144"/>
        <v>1</v>
      </c>
      <c r="X48" s="36">
        <f t="shared" si="144"/>
        <v>0</v>
      </c>
      <c r="Y48" s="36">
        <f t="shared" si="144"/>
        <v>0</v>
      </c>
      <c r="Z48" s="36">
        <f t="shared" si="144"/>
        <v>0</v>
      </c>
      <c r="AA48" s="36">
        <f t="shared" si="144"/>
        <v>0</v>
      </c>
      <c r="AB48" s="36">
        <f t="shared" si="144"/>
        <v>1</v>
      </c>
      <c r="AC48" s="36">
        <f t="shared" si="144"/>
        <v>0</v>
      </c>
      <c r="AD48" s="36">
        <f t="shared" si="144"/>
        <v>1</v>
      </c>
      <c r="AE48" s="36">
        <f t="shared" si="144"/>
        <v>0</v>
      </c>
      <c r="AF48" s="36">
        <f t="shared" si="144"/>
        <v>0</v>
      </c>
      <c r="AG48" s="36">
        <f t="shared" si="144"/>
        <v>0</v>
      </c>
      <c r="AH48" s="36">
        <f t="shared" si="144"/>
        <v>0</v>
      </c>
      <c r="AI48" s="36">
        <f t="shared" si="144"/>
        <v>0</v>
      </c>
      <c r="AJ48" s="36">
        <f t="shared" si="144"/>
        <v>0</v>
      </c>
      <c r="AK48" s="36">
        <f t="shared" si="144"/>
        <v>0</v>
      </c>
      <c r="AL48" s="36">
        <f t="shared" si="144"/>
        <v>0</v>
      </c>
      <c r="AM48" s="36">
        <f t="shared" si="144"/>
        <v>0</v>
      </c>
      <c r="AN48" s="36">
        <f t="shared" si="144"/>
        <v>0</v>
      </c>
      <c r="AO48" s="36">
        <f t="shared" si="144"/>
        <v>0</v>
      </c>
      <c r="AP48" s="36">
        <f t="shared" si="144"/>
        <v>0</v>
      </c>
      <c r="AQ48" s="36">
        <f t="shared" si="144"/>
        <v>0</v>
      </c>
      <c r="AR48" s="36">
        <f t="shared" si="144"/>
        <v>0</v>
      </c>
      <c r="AS48" s="31" t="str">
        <f t="shared" si="145"/>
        <v>SimulationStorage,1,</v>
      </c>
      <c r="AT48" s="31" t="str">
        <f t="shared" si="146"/>
        <v>AnalysisStorage,1,</v>
      </c>
      <c r="AU48" s="31" t="str">
        <f t="shared" si="147"/>
        <v>LogRuleEvaluation,0,</v>
      </c>
      <c r="AV48" s="31" t="str">
        <f t="shared" si="148"/>
        <v>ParallelSimulations,1,</v>
      </c>
      <c r="AW48" s="31" t="str">
        <f t="shared" si="149"/>
        <v>DurationStats,0,</v>
      </c>
      <c r="AX48" s="31" t="str">
        <f t="shared" si="150"/>
        <v>AnalysisThruStep,8,</v>
      </c>
      <c r="AY48" s="31" t="str">
        <f t="shared" si="151"/>
        <v>DontAbortOnErrorsThruStep,8,</v>
      </c>
      <c r="AZ48" s="31" t="str">
        <f t="shared" si="152"/>
        <v>BypassValidFileChecks,1,</v>
      </c>
      <c r="BA48" s="31" t="str">
        <f t="shared" si="153"/>
        <v>BypassInputChecks,0,</v>
      </c>
      <c r="BB48" s="31" t="str">
        <f t="shared" si="154"/>
        <v>BypassUMLHChecks,0,</v>
      </c>
      <c r="BC48" s="31" t="str">
        <f t="shared" si="155"/>
        <v>BypassCheckSimRules,0,</v>
      </c>
      <c r="BD48" s="31" t="str">
        <f t="shared" si="156"/>
        <v>BypassCheckCodeRules,0,</v>
      </c>
      <c r="BE48" s="31" t="str">
        <f t="shared" si="157"/>
        <v>StoreResultsToModelInput,1,</v>
      </c>
      <c r="BF48" s="31" t="str">
        <f t="shared" si="158"/>
        <v>StoreBEMDetails,0,</v>
      </c>
      <c r="BG48" s="31" t="str">
        <f t="shared" si="159"/>
        <v>ModelRpt_ALL,1,</v>
      </c>
      <c r="BH48" s="31" t="str">
        <f t="shared" si="160"/>
        <v>ExportHourlyResults_All,0,</v>
      </c>
      <c r="BI48" s="31" t="str">
        <f t="shared" si="161"/>
        <v>ComplianceReportPDF,0,</v>
      </c>
      <c r="BJ48" s="31" t="str">
        <f t="shared" si="162"/>
        <v>ComplianceReportXML,0,</v>
      </c>
      <c r="BK48" s="31" t="str">
        <f t="shared" si="163"/>
        <v>QuickAnalysis,0,</v>
      </c>
      <c r="BL48" s="31" t="str">
        <f t="shared" si="163"/>
        <v>PromptUserUMLHWarning,0,</v>
      </c>
      <c r="BM48" s="31" t="str">
        <f t="shared" si="164"/>
        <v>BypassOpenStudio_all,0,</v>
      </c>
      <c r="BN48" s="31" t="str">
        <f t="shared" si="165"/>
        <v>BypassOpenStudio_zp,0,</v>
      </c>
      <c r="BO48" s="31" t="str">
        <f t="shared" si="166"/>
        <v>BypassOpenStudio_zb,0,</v>
      </c>
      <c r="BP48" s="31" t="str">
        <f t="shared" si="167"/>
        <v>BypassOpenStudio_ap,0,</v>
      </c>
      <c r="BQ48" s="31" t="str">
        <f t="shared" si="168"/>
        <v>BypassOpenStudio_ab,0,</v>
      </c>
      <c r="BR48" s="31" t="str">
        <f t="shared" si="169"/>
        <v>BypassOpenStudio_zp,0,</v>
      </c>
      <c r="BS48" s="31" t="str">
        <f t="shared" si="170"/>
        <v>BypassOpenStudio_zb,0,</v>
      </c>
      <c r="BT48" s="31" t="str">
        <f t="shared" si="171"/>
        <v>BypassOpenStudio_ap,0,</v>
      </c>
      <c r="BU48" s="31" t="str">
        <f t="shared" si="172"/>
        <v>BypassOpenStudio_ab,0,</v>
      </c>
    </row>
    <row r="49" spans="1:74" hidden="1" outlineLevel="1" x14ac:dyDescent="0.25">
      <c r="A49" s="39">
        <f t="shared" si="141"/>
        <v>0</v>
      </c>
      <c r="B49" s="27" t="str">
        <f t="shared" si="173"/>
        <v>OtherTests2016\x.cibd16</v>
      </c>
      <c r="C49" s="27" t="str">
        <f t="shared" si="174"/>
        <v>BatchOut_171026_r5178_FinalRel-v3-SSTSG_OT\x.cibd16</v>
      </c>
      <c r="D49" s="27" t="str">
        <f t="shared" si="175"/>
        <v>BatchOut_171026_r5178_FinalRel-v3-SSTSG_OT\XML\</v>
      </c>
      <c r="E49" s="9" t="str">
        <f t="shared" si="176"/>
        <v>x</v>
      </c>
      <c r="F49" s="22"/>
      <c r="G49" s="29"/>
      <c r="H49" s="23" t="str">
        <f>IF(F49&gt;1,1,"")</f>
        <v/>
      </c>
      <c r="I49" s="9" t="s">
        <v>11</v>
      </c>
      <c r="J49"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9" s="15" t="s">
        <v>1</v>
      </c>
      <c r="L49" s="92">
        <f t="shared" si="180"/>
        <v>0</v>
      </c>
      <c r="M49" s="32" t="str">
        <f t="shared" ref="M49:M62" si="201">N49</f>
        <v>x</v>
      </c>
      <c r="N49" s="90" t="s">
        <v>149</v>
      </c>
      <c r="O49" s="28" t="str">
        <f t="shared" si="178"/>
        <v>x</v>
      </c>
      <c r="P49" s="36">
        <f t="shared" si="179"/>
        <v>1</v>
      </c>
      <c r="Q49" s="36">
        <f t="shared" si="144"/>
        <v>1</v>
      </c>
      <c r="R49" s="36">
        <f t="shared" si="144"/>
        <v>0</v>
      </c>
      <c r="S49" s="36">
        <f t="shared" si="144"/>
        <v>1</v>
      </c>
      <c r="T49" s="36">
        <f t="shared" si="144"/>
        <v>0</v>
      </c>
      <c r="U49" s="36">
        <f t="shared" si="144"/>
        <v>8</v>
      </c>
      <c r="V49" s="36">
        <f t="shared" si="144"/>
        <v>8</v>
      </c>
      <c r="W49" s="36">
        <f t="shared" si="144"/>
        <v>1</v>
      </c>
      <c r="X49" s="36">
        <f t="shared" si="144"/>
        <v>0</v>
      </c>
      <c r="Y49" s="36">
        <f t="shared" si="144"/>
        <v>0</v>
      </c>
      <c r="Z49" s="36">
        <f t="shared" si="144"/>
        <v>0</v>
      </c>
      <c r="AA49" s="36">
        <f t="shared" si="144"/>
        <v>0</v>
      </c>
      <c r="AB49" s="36">
        <f t="shared" si="144"/>
        <v>1</v>
      </c>
      <c r="AC49" s="36">
        <f t="shared" si="144"/>
        <v>0</v>
      </c>
      <c r="AD49" s="36">
        <f t="shared" si="144"/>
        <v>1</v>
      </c>
      <c r="AE49" s="36">
        <f t="shared" si="144"/>
        <v>0</v>
      </c>
      <c r="AF49" s="36">
        <f t="shared" si="144"/>
        <v>0</v>
      </c>
      <c r="AG49" s="36">
        <f t="shared" si="144"/>
        <v>0</v>
      </c>
      <c r="AH49" s="36">
        <f t="shared" si="144"/>
        <v>0</v>
      </c>
      <c r="AI49" s="36">
        <f t="shared" si="144"/>
        <v>0</v>
      </c>
      <c r="AJ49" s="36">
        <f t="shared" si="144"/>
        <v>0</v>
      </c>
      <c r="AK49" s="36">
        <f t="shared" si="144"/>
        <v>0</v>
      </c>
      <c r="AL49" s="36">
        <f t="shared" si="144"/>
        <v>0</v>
      </c>
      <c r="AM49" s="36">
        <f t="shared" si="144"/>
        <v>0</v>
      </c>
      <c r="AN49" s="36">
        <f t="shared" si="144"/>
        <v>0</v>
      </c>
      <c r="AO49" s="36">
        <f t="shared" si="144"/>
        <v>0</v>
      </c>
      <c r="AP49" s="36">
        <f t="shared" si="144"/>
        <v>0</v>
      </c>
      <c r="AQ49" s="36">
        <f t="shared" si="144"/>
        <v>0</v>
      </c>
      <c r="AR49" s="36">
        <f t="shared" si="144"/>
        <v>0</v>
      </c>
      <c r="AS49" s="31" t="str">
        <f t="shared" si="145"/>
        <v>SimulationStorage,1,</v>
      </c>
      <c r="AT49" s="31" t="str">
        <f t="shared" si="146"/>
        <v>AnalysisStorage,1,</v>
      </c>
      <c r="AU49" s="31" t="str">
        <f t="shared" si="147"/>
        <v>LogRuleEvaluation,0,</v>
      </c>
      <c r="AV49" s="31" t="str">
        <f t="shared" si="148"/>
        <v>ParallelSimulations,1,</v>
      </c>
      <c r="AW49" s="31" t="str">
        <f t="shared" si="149"/>
        <v>DurationStats,0,</v>
      </c>
      <c r="AX49" s="31" t="str">
        <f t="shared" si="150"/>
        <v>AnalysisThruStep,8,</v>
      </c>
      <c r="AY49" s="31" t="str">
        <f t="shared" si="151"/>
        <v>DontAbortOnErrorsThruStep,8,</v>
      </c>
      <c r="AZ49" s="31" t="str">
        <f t="shared" si="152"/>
        <v>BypassValidFileChecks,1,</v>
      </c>
      <c r="BA49" s="31" t="str">
        <f t="shared" si="153"/>
        <v>BypassInputChecks,0,</v>
      </c>
      <c r="BB49" s="31" t="str">
        <f t="shared" si="154"/>
        <v>BypassUMLHChecks,0,</v>
      </c>
      <c r="BC49" s="31" t="str">
        <f t="shared" si="155"/>
        <v>BypassCheckSimRules,0,</v>
      </c>
      <c r="BD49" s="31" t="str">
        <f t="shared" si="156"/>
        <v>BypassCheckCodeRules,0,</v>
      </c>
      <c r="BE49" s="31" t="str">
        <f t="shared" si="157"/>
        <v>StoreResultsToModelInput,1,</v>
      </c>
      <c r="BF49" s="31" t="str">
        <f t="shared" si="158"/>
        <v>StoreBEMDetails,0,</v>
      </c>
      <c r="BG49" s="31" t="str">
        <f t="shared" si="159"/>
        <v>ModelRpt_ALL,1,</v>
      </c>
      <c r="BH49" s="31" t="str">
        <f t="shared" si="160"/>
        <v>ExportHourlyResults_All,0,</v>
      </c>
      <c r="BI49" s="31" t="str">
        <f t="shared" si="161"/>
        <v>ComplianceReportPDF,0,</v>
      </c>
      <c r="BJ49" s="31" t="str">
        <f t="shared" si="162"/>
        <v>ComplianceReportXML,0,</v>
      </c>
      <c r="BK49" s="31" t="str">
        <f t="shared" si="163"/>
        <v>QuickAnalysis,0,</v>
      </c>
      <c r="BL49" s="31" t="str">
        <f t="shared" si="163"/>
        <v>PromptUserUMLHWarning,0,</v>
      </c>
      <c r="BM49" s="31" t="str">
        <f t="shared" si="164"/>
        <v>BypassOpenStudio_all,0,</v>
      </c>
      <c r="BN49" s="31" t="str">
        <f t="shared" si="165"/>
        <v>BypassOpenStudio_zp,0,</v>
      </c>
      <c r="BO49" s="31" t="str">
        <f t="shared" si="166"/>
        <v>BypassOpenStudio_zb,0,</v>
      </c>
      <c r="BP49" s="31" t="str">
        <f t="shared" si="167"/>
        <v>BypassOpenStudio_ap,0,</v>
      </c>
      <c r="BQ49" s="31" t="str">
        <f t="shared" si="168"/>
        <v>BypassOpenStudio_ab,0,</v>
      </c>
      <c r="BR49" s="31" t="str">
        <f t="shared" si="169"/>
        <v>BypassOpenStudio_zp,0,</v>
      </c>
      <c r="BS49" s="31" t="str">
        <f t="shared" si="170"/>
        <v>BypassOpenStudio_zb,0,</v>
      </c>
      <c r="BT49" s="31" t="str">
        <f t="shared" si="171"/>
        <v>BypassOpenStudio_ap,0,</v>
      </c>
      <c r="BU49" s="31" t="str">
        <f t="shared" si="172"/>
        <v>BypassOpenStudio_ab,0,</v>
      </c>
    </row>
    <row r="50" spans="1:74" hidden="1" outlineLevel="1" x14ac:dyDescent="0.25">
      <c r="A50" s="39">
        <f t="shared" ref="A50:A51" si="202">L50</f>
        <v>0</v>
      </c>
      <c r="B50" s="27" t="str">
        <f t="shared" si="173"/>
        <v>OtherTests2016\x.cibd16</v>
      </c>
      <c r="C50" s="27" t="str">
        <f t="shared" si="174"/>
        <v>BatchOut_171026_r5178_FinalRel-v3-SSTSG_OT\x.cibd16</v>
      </c>
      <c r="D50" s="27" t="str">
        <f t="shared" si="175"/>
        <v>BatchOut_171026_r5178_FinalRel-v3-SSTSG_OT\XML\</v>
      </c>
      <c r="E50" s="9" t="str">
        <f t="shared" ref="E50:E51" si="203">M50</f>
        <v>x</v>
      </c>
      <c r="F50" s="22"/>
      <c r="G50" s="29"/>
      <c r="H50" s="23"/>
      <c r="I50" s="9" t="s">
        <v>11</v>
      </c>
      <c r="J50"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0" s="15" t="s">
        <v>1</v>
      </c>
      <c r="L50" s="92">
        <f t="shared" si="180"/>
        <v>0</v>
      </c>
      <c r="M50" s="32" t="str">
        <f t="shared" si="201"/>
        <v>x</v>
      </c>
      <c r="N50" s="90" t="s">
        <v>149</v>
      </c>
      <c r="O50" s="28" t="str">
        <f t="shared" si="178"/>
        <v>x</v>
      </c>
      <c r="P50" s="36">
        <f t="shared" si="179"/>
        <v>1</v>
      </c>
      <c r="Q50" s="36">
        <f t="shared" si="144"/>
        <v>1</v>
      </c>
      <c r="R50" s="36">
        <f t="shared" si="144"/>
        <v>0</v>
      </c>
      <c r="S50" s="36">
        <f t="shared" si="144"/>
        <v>1</v>
      </c>
      <c r="T50" s="36">
        <f t="shared" ref="T50:AI63" si="204">T$17</f>
        <v>0</v>
      </c>
      <c r="U50" s="36">
        <f t="shared" si="204"/>
        <v>8</v>
      </c>
      <c r="V50" s="36">
        <f t="shared" si="204"/>
        <v>8</v>
      </c>
      <c r="W50" s="36">
        <f t="shared" si="204"/>
        <v>1</v>
      </c>
      <c r="X50" s="36">
        <f t="shared" si="204"/>
        <v>0</v>
      </c>
      <c r="Y50" s="36">
        <f t="shared" si="204"/>
        <v>0</v>
      </c>
      <c r="Z50" s="36">
        <f t="shared" si="204"/>
        <v>0</v>
      </c>
      <c r="AA50" s="36">
        <f t="shared" si="204"/>
        <v>0</v>
      </c>
      <c r="AB50" s="36">
        <f t="shared" si="204"/>
        <v>1</v>
      </c>
      <c r="AC50" s="36">
        <f t="shared" si="204"/>
        <v>0</v>
      </c>
      <c r="AD50" s="36">
        <f t="shared" si="204"/>
        <v>1</v>
      </c>
      <c r="AE50" s="36">
        <f t="shared" si="204"/>
        <v>0</v>
      </c>
      <c r="AF50" s="36">
        <f t="shared" si="204"/>
        <v>0</v>
      </c>
      <c r="AG50" s="36">
        <f t="shared" si="204"/>
        <v>0</v>
      </c>
      <c r="AH50" s="36">
        <f t="shared" si="204"/>
        <v>0</v>
      </c>
      <c r="AI50" s="36">
        <f t="shared" si="204"/>
        <v>0</v>
      </c>
      <c r="AJ50" s="36">
        <f t="shared" ref="AJ50:AR63" si="205">AJ$17</f>
        <v>0</v>
      </c>
      <c r="AK50" s="36">
        <f t="shared" si="205"/>
        <v>0</v>
      </c>
      <c r="AL50" s="36">
        <f t="shared" si="205"/>
        <v>0</v>
      </c>
      <c r="AM50" s="36">
        <f t="shared" si="205"/>
        <v>0</v>
      </c>
      <c r="AN50" s="36">
        <f t="shared" si="205"/>
        <v>0</v>
      </c>
      <c r="AO50" s="36">
        <f t="shared" si="205"/>
        <v>0</v>
      </c>
      <c r="AP50" s="36">
        <f t="shared" si="205"/>
        <v>0</v>
      </c>
      <c r="AQ50" s="36">
        <f t="shared" si="205"/>
        <v>0</v>
      </c>
      <c r="AR50" s="36">
        <f t="shared" si="205"/>
        <v>0</v>
      </c>
      <c r="AS50" s="31" t="str">
        <f t="shared" ref="AS50:AS51" si="206">P$13&amp;P50&amp;","</f>
        <v>SimulationStorage,1,</v>
      </c>
      <c r="AT50" s="31" t="str">
        <f t="shared" ref="AT50:AT51" si="207">Q$13&amp;Q50&amp;","</f>
        <v>AnalysisStorage,1,</v>
      </c>
      <c r="AU50" s="31" t="str">
        <f t="shared" ref="AU50:AU51" si="208">R$13&amp;R50&amp;","</f>
        <v>LogRuleEvaluation,0,</v>
      </c>
      <c r="AV50" s="31" t="str">
        <f t="shared" ref="AV50:AV51" si="209">S$13&amp;S50&amp;","</f>
        <v>ParallelSimulations,1,</v>
      </c>
      <c r="AW50" s="31" t="str">
        <f t="shared" ref="AW50:AW51" si="210">T$13&amp;T50&amp;","</f>
        <v>DurationStats,0,</v>
      </c>
      <c r="AX50" s="31" t="str">
        <f t="shared" ref="AX50:AX51" si="211">U$13&amp;U50&amp;","</f>
        <v>AnalysisThruStep,8,</v>
      </c>
      <c r="AY50" s="31" t="str">
        <f t="shared" ref="AY50:AY51" si="212">V$13&amp;V50&amp;","</f>
        <v>DontAbortOnErrorsThruStep,8,</v>
      </c>
      <c r="AZ50" s="31" t="str">
        <f t="shared" ref="AZ50:AZ51" si="213">W$13&amp;W50&amp;","</f>
        <v>BypassValidFileChecks,1,</v>
      </c>
      <c r="BA50" s="31" t="str">
        <f t="shared" ref="BA50:BA51" si="214">X$13&amp;X50&amp;","</f>
        <v>BypassInputChecks,0,</v>
      </c>
      <c r="BB50" s="31" t="str">
        <f t="shared" ref="BB50:BB51" si="215">Y$13&amp;Y50&amp;","</f>
        <v>BypassUMLHChecks,0,</v>
      </c>
      <c r="BC50" s="31" t="str">
        <f t="shared" ref="BC50:BC51" si="216">Z$13&amp;Z50&amp;","</f>
        <v>BypassCheckSimRules,0,</v>
      </c>
      <c r="BD50" s="31" t="str">
        <f t="shared" ref="BD50:BD51" si="217">AA$13&amp;AA50&amp;","</f>
        <v>BypassCheckCodeRules,0,</v>
      </c>
      <c r="BE50" s="31" t="str">
        <f t="shared" si="157"/>
        <v>StoreResultsToModelInput,1,</v>
      </c>
      <c r="BF50" s="31" t="str">
        <f t="shared" si="158"/>
        <v>StoreBEMDetails,0,</v>
      </c>
      <c r="BG50" s="31" t="str">
        <f t="shared" si="159"/>
        <v>ModelRpt_ALL,1,</v>
      </c>
      <c r="BH50" s="31" t="str">
        <f t="shared" si="160"/>
        <v>ExportHourlyResults_All,0,</v>
      </c>
      <c r="BI50" s="31" t="str">
        <f t="shared" si="161"/>
        <v>ComplianceReportPDF,0,</v>
      </c>
      <c r="BJ50" s="31" t="str">
        <f t="shared" si="162"/>
        <v>ComplianceReportXML,0,</v>
      </c>
      <c r="BK50" s="31" t="str">
        <f t="shared" si="163"/>
        <v>QuickAnalysis,0,</v>
      </c>
      <c r="BL50" s="31" t="str">
        <f t="shared" si="163"/>
        <v>PromptUserUMLHWarning,0,</v>
      </c>
      <c r="BM50" s="31" t="str">
        <f t="shared" si="164"/>
        <v>BypassOpenStudio_all,0,</v>
      </c>
      <c r="BN50" s="31" t="str">
        <f t="shared" si="165"/>
        <v>BypassOpenStudio_zp,0,</v>
      </c>
      <c r="BO50" s="31" t="str">
        <f t="shared" si="166"/>
        <v>BypassOpenStudio_zb,0,</v>
      </c>
      <c r="BP50" s="31" t="str">
        <f t="shared" si="167"/>
        <v>BypassOpenStudio_ap,0,</v>
      </c>
      <c r="BQ50" s="31" t="str">
        <f t="shared" si="168"/>
        <v>BypassOpenStudio_ab,0,</v>
      </c>
      <c r="BR50" s="31" t="str">
        <f t="shared" si="169"/>
        <v>BypassOpenStudio_zp,0,</v>
      </c>
      <c r="BS50" s="31" t="str">
        <f t="shared" si="170"/>
        <v>BypassOpenStudio_zb,0,</v>
      </c>
      <c r="BT50" s="31" t="str">
        <f t="shared" si="171"/>
        <v>BypassOpenStudio_ap,0,</v>
      </c>
      <c r="BU50" s="31" t="str">
        <f t="shared" si="172"/>
        <v>BypassOpenStudio_ab,0,</v>
      </c>
    </row>
    <row r="51" spans="1:74" hidden="1" outlineLevel="1" x14ac:dyDescent="0.25">
      <c r="A51" s="39">
        <f t="shared" si="202"/>
        <v>0</v>
      </c>
      <c r="B51" s="27" t="str">
        <f t="shared" si="173"/>
        <v>OtherTests2016\x.cibd16</v>
      </c>
      <c r="C51" s="27" t="str">
        <f t="shared" si="174"/>
        <v>BatchOut_171026_r5178_FinalRel-v3-SSTSG_OT\x.cibd16</v>
      </c>
      <c r="D51" s="27" t="str">
        <f t="shared" si="175"/>
        <v>BatchOut_171026_r5178_FinalRel-v3-SSTSG_OT\XML\</v>
      </c>
      <c r="E51" s="9" t="str">
        <f t="shared" si="203"/>
        <v>x</v>
      </c>
      <c r="F51" s="22"/>
      <c r="G51" s="29"/>
      <c r="H51" s="23"/>
      <c r="I51" s="9" t="s">
        <v>11</v>
      </c>
      <c r="J51"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1" s="15" t="s">
        <v>1</v>
      </c>
      <c r="L51" s="92">
        <f t="shared" si="180"/>
        <v>0</v>
      </c>
      <c r="M51" s="32" t="str">
        <f t="shared" si="201"/>
        <v>x</v>
      </c>
      <c r="N51" s="90" t="s">
        <v>149</v>
      </c>
      <c r="O51" s="28" t="str">
        <f t="shared" si="178"/>
        <v>x</v>
      </c>
      <c r="P51" s="36">
        <f t="shared" si="179"/>
        <v>1</v>
      </c>
      <c r="Q51" s="36">
        <f t="shared" si="179"/>
        <v>1</v>
      </c>
      <c r="R51" s="36">
        <f t="shared" si="179"/>
        <v>0</v>
      </c>
      <c r="S51" s="36">
        <f t="shared" si="179"/>
        <v>1</v>
      </c>
      <c r="T51" s="36">
        <f t="shared" si="179"/>
        <v>0</v>
      </c>
      <c r="U51" s="36">
        <f t="shared" si="179"/>
        <v>8</v>
      </c>
      <c r="V51" s="36">
        <f t="shared" si="179"/>
        <v>8</v>
      </c>
      <c r="W51" s="36">
        <f t="shared" si="179"/>
        <v>1</v>
      </c>
      <c r="X51" s="36">
        <f t="shared" si="179"/>
        <v>0</v>
      </c>
      <c r="Y51" s="36">
        <f t="shared" si="179"/>
        <v>0</v>
      </c>
      <c r="Z51" s="36">
        <f t="shared" si="179"/>
        <v>0</v>
      </c>
      <c r="AA51" s="36">
        <f t="shared" si="179"/>
        <v>0</v>
      </c>
      <c r="AB51" s="36">
        <f t="shared" si="179"/>
        <v>1</v>
      </c>
      <c r="AC51" s="36">
        <f t="shared" si="179"/>
        <v>0</v>
      </c>
      <c r="AD51" s="36">
        <f t="shared" si="179"/>
        <v>1</v>
      </c>
      <c r="AE51" s="36">
        <f t="shared" si="179"/>
        <v>0</v>
      </c>
      <c r="AF51" s="36">
        <f t="shared" si="204"/>
        <v>0</v>
      </c>
      <c r="AG51" s="36">
        <f t="shared" si="204"/>
        <v>0</v>
      </c>
      <c r="AH51" s="36">
        <f t="shared" si="204"/>
        <v>0</v>
      </c>
      <c r="AI51" s="36">
        <f t="shared" si="204"/>
        <v>0</v>
      </c>
      <c r="AJ51" s="36">
        <f t="shared" si="205"/>
        <v>0</v>
      </c>
      <c r="AK51" s="36">
        <f t="shared" si="205"/>
        <v>0</v>
      </c>
      <c r="AL51" s="36">
        <f t="shared" si="205"/>
        <v>0</v>
      </c>
      <c r="AM51" s="36">
        <f t="shared" si="205"/>
        <v>0</v>
      </c>
      <c r="AN51" s="36">
        <f t="shared" si="205"/>
        <v>0</v>
      </c>
      <c r="AO51" s="36">
        <f t="shared" si="205"/>
        <v>0</v>
      </c>
      <c r="AP51" s="36">
        <f t="shared" si="205"/>
        <v>0</v>
      </c>
      <c r="AQ51" s="36">
        <f t="shared" si="205"/>
        <v>0</v>
      </c>
      <c r="AR51" s="36">
        <f t="shared" si="205"/>
        <v>0</v>
      </c>
      <c r="AS51" s="31" t="str">
        <f t="shared" si="206"/>
        <v>SimulationStorage,1,</v>
      </c>
      <c r="AT51" s="31" t="str">
        <f t="shared" si="207"/>
        <v>AnalysisStorage,1,</v>
      </c>
      <c r="AU51" s="31" t="str">
        <f t="shared" si="208"/>
        <v>LogRuleEvaluation,0,</v>
      </c>
      <c r="AV51" s="31" t="str">
        <f t="shared" si="209"/>
        <v>ParallelSimulations,1,</v>
      </c>
      <c r="AW51" s="31" t="str">
        <f t="shared" si="210"/>
        <v>DurationStats,0,</v>
      </c>
      <c r="AX51" s="31" t="str">
        <f t="shared" si="211"/>
        <v>AnalysisThruStep,8,</v>
      </c>
      <c r="AY51" s="31" t="str">
        <f t="shared" si="212"/>
        <v>DontAbortOnErrorsThruStep,8,</v>
      </c>
      <c r="AZ51" s="31" t="str">
        <f t="shared" si="213"/>
        <v>BypassValidFileChecks,1,</v>
      </c>
      <c r="BA51" s="31" t="str">
        <f t="shared" si="214"/>
        <v>BypassInputChecks,0,</v>
      </c>
      <c r="BB51" s="31" t="str">
        <f t="shared" si="215"/>
        <v>BypassUMLHChecks,0,</v>
      </c>
      <c r="BC51" s="31" t="str">
        <f t="shared" si="216"/>
        <v>BypassCheckSimRules,0,</v>
      </c>
      <c r="BD51" s="31" t="str">
        <f t="shared" si="217"/>
        <v>BypassCheckCodeRules,0,</v>
      </c>
      <c r="BE51" s="31" t="str">
        <f t="shared" si="157"/>
        <v>StoreResultsToModelInput,1,</v>
      </c>
      <c r="BF51" s="31" t="str">
        <f t="shared" si="158"/>
        <v>StoreBEMDetails,0,</v>
      </c>
      <c r="BG51" s="31" t="str">
        <f t="shared" si="159"/>
        <v>ModelRpt_ALL,1,</v>
      </c>
      <c r="BH51" s="31" t="str">
        <f t="shared" si="160"/>
        <v>ExportHourlyResults_All,0,</v>
      </c>
      <c r="BI51" s="31" t="str">
        <f t="shared" si="161"/>
        <v>ComplianceReportPDF,0,</v>
      </c>
      <c r="BJ51" s="31" t="str">
        <f t="shared" si="162"/>
        <v>ComplianceReportXML,0,</v>
      </c>
      <c r="BK51" s="31" t="str">
        <f t="shared" si="163"/>
        <v>QuickAnalysis,0,</v>
      </c>
      <c r="BL51" s="31" t="str">
        <f t="shared" si="163"/>
        <v>PromptUserUMLHWarning,0,</v>
      </c>
      <c r="BM51" s="31" t="str">
        <f t="shared" si="164"/>
        <v>BypassOpenStudio_all,0,</v>
      </c>
      <c r="BN51" s="31" t="str">
        <f t="shared" si="165"/>
        <v>BypassOpenStudio_zp,0,</v>
      </c>
      <c r="BO51" s="31" t="str">
        <f t="shared" si="166"/>
        <v>BypassOpenStudio_zb,0,</v>
      </c>
      <c r="BP51" s="31" t="str">
        <f t="shared" si="167"/>
        <v>BypassOpenStudio_ap,0,</v>
      </c>
      <c r="BQ51" s="31" t="str">
        <f t="shared" si="168"/>
        <v>BypassOpenStudio_ab,0,</v>
      </c>
      <c r="BR51" s="31" t="str">
        <f t="shared" si="169"/>
        <v>BypassOpenStudio_zp,0,</v>
      </c>
      <c r="BS51" s="31" t="str">
        <f t="shared" si="170"/>
        <v>BypassOpenStudio_zb,0,</v>
      </c>
      <c r="BT51" s="31" t="str">
        <f t="shared" si="171"/>
        <v>BypassOpenStudio_ap,0,</v>
      </c>
      <c r="BU51" s="31" t="str">
        <f t="shared" si="172"/>
        <v>BypassOpenStudio_ab,0,</v>
      </c>
    </row>
    <row r="52" spans="1:74" hidden="1" outlineLevel="1" x14ac:dyDescent="0.25">
      <c r="A52" s="39">
        <f t="shared" si="141"/>
        <v>0</v>
      </c>
      <c r="B52" s="27" t="str">
        <f t="shared" si="173"/>
        <v>OtherTests2016\x.cibd16</v>
      </c>
      <c r="C52" s="27" t="str">
        <f t="shared" si="174"/>
        <v>BatchOut_171026_r5178_FinalRel-v3-SSTSG_OT\x.cibd16</v>
      </c>
      <c r="D52" s="27" t="str">
        <f t="shared" si="175"/>
        <v>BatchOut_171026_r5178_FinalRel-v3-SSTSG_OT\XML\</v>
      </c>
      <c r="E52" s="9" t="str">
        <f t="shared" si="176"/>
        <v>x</v>
      </c>
      <c r="F52" s="22"/>
      <c r="G52" s="29"/>
      <c r="H52" s="23"/>
      <c r="I52" s="9" t="s">
        <v>11</v>
      </c>
      <c r="J52"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2" s="15" t="s">
        <v>1</v>
      </c>
      <c r="L52" s="92">
        <f t="shared" si="180"/>
        <v>0</v>
      </c>
      <c r="M52" s="32" t="str">
        <f t="shared" si="201"/>
        <v>x</v>
      </c>
      <c r="N52" s="90" t="s">
        <v>149</v>
      </c>
      <c r="O52" s="28" t="str">
        <f t="shared" si="178"/>
        <v>x</v>
      </c>
      <c r="P52" s="36">
        <f t="shared" si="179"/>
        <v>1</v>
      </c>
      <c r="Q52" s="36">
        <f t="shared" si="179"/>
        <v>1</v>
      </c>
      <c r="R52" s="36">
        <f t="shared" si="179"/>
        <v>0</v>
      </c>
      <c r="S52" s="36">
        <f t="shared" si="179"/>
        <v>1</v>
      </c>
      <c r="T52" s="36">
        <f t="shared" si="179"/>
        <v>0</v>
      </c>
      <c r="U52" s="36">
        <f t="shared" si="179"/>
        <v>8</v>
      </c>
      <c r="V52" s="36">
        <f t="shared" si="179"/>
        <v>8</v>
      </c>
      <c r="W52" s="36">
        <f t="shared" si="179"/>
        <v>1</v>
      </c>
      <c r="X52" s="36">
        <f t="shared" si="179"/>
        <v>0</v>
      </c>
      <c r="Y52" s="36">
        <f t="shared" si="179"/>
        <v>0</v>
      </c>
      <c r="Z52" s="36">
        <f t="shared" si="179"/>
        <v>0</v>
      </c>
      <c r="AA52" s="36">
        <f t="shared" si="179"/>
        <v>0</v>
      </c>
      <c r="AB52" s="36">
        <f t="shared" si="179"/>
        <v>1</v>
      </c>
      <c r="AC52" s="36">
        <f t="shared" si="179"/>
        <v>0</v>
      </c>
      <c r="AD52" s="36">
        <f t="shared" si="179"/>
        <v>1</v>
      </c>
      <c r="AE52" s="36">
        <f t="shared" si="179"/>
        <v>0</v>
      </c>
      <c r="AF52" s="36">
        <f t="shared" si="204"/>
        <v>0</v>
      </c>
      <c r="AG52" s="36">
        <f t="shared" si="204"/>
        <v>0</v>
      </c>
      <c r="AH52" s="36">
        <f t="shared" si="204"/>
        <v>0</v>
      </c>
      <c r="AI52" s="36">
        <f t="shared" si="204"/>
        <v>0</v>
      </c>
      <c r="AJ52" s="36">
        <f t="shared" si="205"/>
        <v>0</v>
      </c>
      <c r="AK52" s="36">
        <f t="shared" si="205"/>
        <v>0</v>
      </c>
      <c r="AL52" s="36">
        <f t="shared" si="205"/>
        <v>0</v>
      </c>
      <c r="AM52" s="36">
        <f t="shared" si="205"/>
        <v>0</v>
      </c>
      <c r="AN52" s="36">
        <f t="shared" si="205"/>
        <v>0</v>
      </c>
      <c r="AO52" s="36">
        <f t="shared" si="205"/>
        <v>0</v>
      </c>
      <c r="AP52" s="36">
        <f t="shared" si="205"/>
        <v>0</v>
      </c>
      <c r="AQ52" s="36">
        <f t="shared" si="205"/>
        <v>0</v>
      </c>
      <c r="AR52" s="36">
        <f t="shared" si="205"/>
        <v>0</v>
      </c>
      <c r="AS52" s="31" t="str">
        <f t="shared" si="145"/>
        <v>SimulationStorage,1,</v>
      </c>
      <c r="AT52" s="31" t="str">
        <f t="shared" si="146"/>
        <v>AnalysisStorage,1,</v>
      </c>
      <c r="AU52" s="31" t="str">
        <f t="shared" si="147"/>
        <v>LogRuleEvaluation,0,</v>
      </c>
      <c r="AV52" s="31" t="str">
        <f t="shared" si="148"/>
        <v>ParallelSimulations,1,</v>
      </c>
      <c r="AW52" s="31" t="str">
        <f t="shared" si="149"/>
        <v>DurationStats,0,</v>
      </c>
      <c r="AX52" s="31" t="str">
        <f t="shared" si="150"/>
        <v>AnalysisThruStep,8,</v>
      </c>
      <c r="AY52" s="31" t="str">
        <f t="shared" si="151"/>
        <v>DontAbortOnErrorsThruStep,8,</v>
      </c>
      <c r="AZ52" s="31" t="str">
        <f t="shared" si="152"/>
        <v>BypassValidFileChecks,1,</v>
      </c>
      <c r="BA52" s="31" t="str">
        <f t="shared" si="153"/>
        <v>BypassInputChecks,0,</v>
      </c>
      <c r="BB52" s="31" t="str">
        <f t="shared" si="154"/>
        <v>BypassUMLHChecks,0,</v>
      </c>
      <c r="BC52" s="31" t="str">
        <f t="shared" si="155"/>
        <v>BypassCheckSimRules,0,</v>
      </c>
      <c r="BD52" s="31" t="str">
        <f t="shared" si="156"/>
        <v>BypassCheckCodeRules,0,</v>
      </c>
      <c r="BE52" s="31" t="str">
        <f t="shared" si="157"/>
        <v>StoreResultsToModelInput,1,</v>
      </c>
      <c r="BF52" s="31" t="str">
        <f t="shared" si="158"/>
        <v>StoreBEMDetails,0,</v>
      </c>
      <c r="BG52" s="31" t="str">
        <f t="shared" si="159"/>
        <v>ModelRpt_ALL,1,</v>
      </c>
      <c r="BH52" s="31" t="str">
        <f t="shared" si="160"/>
        <v>ExportHourlyResults_All,0,</v>
      </c>
      <c r="BI52" s="31" t="str">
        <f t="shared" si="161"/>
        <v>ComplianceReportPDF,0,</v>
      </c>
      <c r="BJ52" s="31" t="str">
        <f t="shared" si="162"/>
        <v>ComplianceReportXML,0,</v>
      </c>
      <c r="BK52" s="31" t="str">
        <f t="shared" si="163"/>
        <v>QuickAnalysis,0,</v>
      </c>
      <c r="BL52" s="31" t="str">
        <f t="shared" si="163"/>
        <v>PromptUserUMLHWarning,0,</v>
      </c>
      <c r="BM52" s="31" t="str">
        <f t="shared" si="164"/>
        <v>BypassOpenStudio_all,0,</v>
      </c>
      <c r="BN52" s="31" t="str">
        <f t="shared" si="165"/>
        <v>BypassOpenStudio_zp,0,</v>
      </c>
      <c r="BO52" s="31" t="str">
        <f t="shared" si="166"/>
        <v>BypassOpenStudio_zb,0,</v>
      </c>
      <c r="BP52" s="31" t="str">
        <f t="shared" si="167"/>
        <v>BypassOpenStudio_ap,0,</v>
      </c>
      <c r="BQ52" s="31" t="str">
        <f t="shared" si="168"/>
        <v>BypassOpenStudio_ab,0,</v>
      </c>
      <c r="BR52" s="31" t="str">
        <f t="shared" si="169"/>
        <v>BypassOpenStudio_zp,0,</v>
      </c>
      <c r="BS52" s="31" t="str">
        <f t="shared" si="170"/>
        <v>BypassOpenStudio_zb,0,</v>
      </c>
      <c r="BT52" s="31" t="str">
        <f t="shared" si="171"/>
        <v>BypassOpenStudio_ap,0,</v>
      </c>
      <c r="BU52" s="31" t="str">
        <f t="shared" si="172"/>
        <v>BypassOpenStudio_ab,0,</v>
      </c>
    </row>
    <row r="53" spans="1:74" hidden="1" outlineLevel="1" x14ac:dyDescent="0.25">
      <c r="A53" s="39">
        <f t="shared" ref="A53:A55" si="218">L53</f>
        <v>0</v>
      </c>
      <c r="B53" s="27" t="str">
        <f t="shared" si="173"/>
        <v>OtherTests2016\x.cibd16</v>
      </c>
      <c r="C53" s="27" t="str">
        <f t="shared" si="174"/>
        <v>BatchOut_171026_r5178_FinalRel-v3-SSTSG_OT\x.cibd16</v>
      </c>
      <c r="D53" s="27" t="str">
        <f t="shared" si="175"/>
        <v>BatchOut_171026_r5178_FinalRel-v3-SSTSG_OT\XML\</v>
      </c>
      <c r="E53" s="9" t="str">
        <f t="shared" ref="E53:E55" si="219">M53</f>
        <v>x</v>
      </c>
      <c r="F53" s="22"/>
      <c r="G53" s="29"/>
      <c r="H53" s="23" t="str">
        <f>IF(F53&gt;1,1,"")</f>
        <v/>
      </c>
      <c r="I53" s="9" t="s">
        <v>11</v>
      </c>
      <c r="J53"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3" s="15" t="s">
        <v>1</v>
      </c>
      <c r="L53" s="92">
        <f t="shared" si="180"/>
        <v>0</v>
      </c>
      <c r="M53" s="32" t="str">
        <f t="shared" si="201"/>
        <v>x</v>
      </c>
      <c r="N53" s="90" t="s">
        <v>149</v>
      </c>
      <c r="O53" s="28" t="str">
        <f t="shared" si="178"/>
        <v>x</v>
      </c>
      <c r="P53" s="36">
        <f t="shared" si="179"/>
        <v>1</v>
      </c>
      <c r="Q53" s="36">
        <f t="shared" si="179"/>
        <v>1</v>
      </c>
      <c r="R53" s="36">
        <f t="shared" si="179"/>
        <v>0</v>
      </c>
      <c r="S53" s="36">
        <f t="shared" si="179"/>
        <v>1</v>
      </c>
      <c r="T53" s="36">
        <f t="shared" si="179"/>
        <v>0</v>
      </c>
      <c r="U53" s="36">
        <f t="shared" si="179"/>
        <v>8</v>
      </c>
      <c r="V53" s="36">
        <f t="shared" si="179"/>
        <v>8</v>
      </c>
      <c r="W53" s="36">
        <f t="shared" si="179"/>
        <v>1</v>
      </c>
      <c r="X53" s="36">
        <f t="shared" si="179"/>
        <v>0</v>
      </c>
      <c r="Y53" s="36">
        <f t="shared" si="179"/>
        <v>0</v>
      </c>
      <c r="Z53" s="36">
        <f t="shared" si="179"/>
        <v>0</v>
      </c>
      <c r="AA53" s="36">
        <f t="shared" si="179"/>
        <v>0</v>
      </c>
      <c r="AB53" s="36">
        <f t="shared" si="179"/>
        <v>1</v>
      </c>
      <c r="AC53" s="36">
        <f t="shared" si="179"/>
        <v>0</v>
      </c>
      <c r="AD53" s="36">
        <f t="shared" si="179"/>
        <v>1</v>
      </c>
      <c r="AE53" s="36">
        <f t="shared" si="179"/>
        <v>0</v>
      </c>
      <c r="AF53" s="36">
        <f t="shared" si="204"/>
        <v>0</v>
      </c>
      <c r="AG53" s="36">
        <f t="shared" si="204"/>
        <v>0</v>
      </c>
      <c r="AH53" s="36">
        <f t="shared" si="204"/>
        <v>0</v>
      </c>
      <c r="AI53" s="36">
        <f t="shared" si="204"/>
        <v>0</v>
      </c>
      <c r="AJ53" s="36">
        <f t="shared" si="205"/>
        <v>0</v>
      </c>
      <c r="AK53" s="36">
        <f t="shared" si="205"/>
        <v>0</v>
      </c>
      <c r="AL53" s="36">
        <f t="shared" si="205"/>
        <v>0</v>
      </c>
      <c r="AM53" s="36">
        <f t="shared" si="205"/>
        <v>0</v>
      </c>
      <c r="AN53" s="36">
        <f t="shared" si="205"/>
        <v>0</v>
      </c>
      <c r="AO53" s="36">
        <f t="shared" si="205"/>
        <v>0</v>
      </c>
      <c r="AP53" s="36">
        <f t="shared" si="205"/>
        <v>0</v>
      </c>
      <c r="AQ53" s="36">
        <f t="shared" si="205"/>
        <v>0</v>
      </c>
      <c r="AR53" s="36">
        <f t="shared" si="205"/>
        <v>0</v>
      </c>
      <c r="AS53" s="31" t="str">
        <f t="shared" ref="AS53:AS55" si="220">P$13&amp;P53&amp;","</f>
        <v>SimulationStorage,1,</v>
      </c>
      <c r="AT53" s="31" t="str">
        <f t="shared" ref="AT53:AT55" si="221">Q$13&amp;Q53&amp;","</f>
        <v>AnalysisStorage,1,</v>
      </c>
      <c r="AU53" s="31" t="str">
        <f t="shared" ref="AU53:AU55" si="222">R$13&amp;R53&amp;","</f>
        <v>LogRuleEvaluation,0,</v>
      </c>
      <c r="AV53" s="31" t="str">
        <f t="shared" ref="AV53:AV55" si="223">S$13&amp;S53&amp;","</f>
        <v>ParallelSimulations,1,</v>
      </c>
      <c r="AW53" s="31" t="str">
        <f t="shared" ref="AW53:AW55" si="224">T$13&amp;T53&amp;","</f>
        <v>DurationStats,0,</v>
      </c>
      <c r="AX53" s="31" t="str">
        <f t="shared" ref="AX53:AX55" si="225">U$13&amp;U53&amp;","</f>
        <v>AnalysisThruStep,8,</v>
      </c>
      <c r="AY53" s="31" t="str">
        <f t="shared" ref="AY53:AY55" si="226">V$13&amp;V53&amp;","</f>
        <v>DontAbortOnErrorsThruStep,8,</v>
      </c>
      <c r="AZ53" s="31" t="str">
        <f t="shared" ref="AZ53:AZ55" si="227">W$13&amp;W53&amp;","</f>
        <v>BypassValidFileChecks,1,</v>
      </c>
      <c r="BA53" s="31" t="str">
        <f t="shared" ref="BA53:BA55" si="228">X$13&amp;X53&amp;","</f>
        <v>BypassInputChecks,0,</v>
      </c>
      <c r="BB53" s="31" t="str">
        <f t="shared" ref="BB53:BB55" si="229">Y$13&amp;Y53&amp;","</f>
        <v>BypassUMLHChecks,0,</v>
      </c>
      <c r="BC53" s="31" t="str">
        <f t="shared" ref="BC53:BC55" si="230">Z$13&amp;Z53&amp;","</f>
        <v>BypassCheckSimRules,0,</v>
      </c>
      <c r="BD53" s="31" t="str">
        <f t="shared" ref="BD53:BD55" si="231">AA$13&amp;AA53&amp;","</f>
        <v>BypassCheckCodeRules,0,</v>
      </c>
      <c r="BE53" s="31" t="str">
        <f t="shared" si="157"/>
        <v>StoreResultsToModelInput,1,</v>
      </c>
      <c r="BF53" s="31" t="str">
        <f t="shared" si="158"/>
        <v>StoreBEMDetails,0,</v>
      </c>
      <c r="BG53" s="31" t="str">
        <f t="shared" si="159"/>
        <v>ModelRpt_ALL,1,</v>
      </c>
      <c r="BH53" s="31" t="str">
        <f t="shared" si="160"/>
        <v>ExportHourlyResults_All,0,</v>
      </c>
      <c r="BI53" s="31" t="str">
        <f t="shared" si="161"/>
        <v>ComplianceReportPDF,0,</v>
      </c>
      <c r="BJ53" s="31" t="str">
        <f t="shared" si="162"/>
        <v>ComplianceReportXML,0,</v>
      </c>
      <c r="BK53" s="31" t="str">
        <f t="shared" si="163"/>
        <v>QuickAnalysis,0,</v>
      </c>
      <c r="BL53" s="31" t="str">
        <f t="shared" si="163"/>
        <v>PromptUserUMLHWarning,0,</v>
      </c>
      <c r="BM53" s="31" t="str">
        <f t="shared" si="164"/>
        <v>BypassOpenStudio_all,0,</v>
      </c>
      <c r="BN53" s="31" t="str">
        <f t="shared" si="165"/>
        <v>BypassOpenStudio_zp,0,</v>
      </c>
      <c r="BO53" s="31" t="str">
        <f t="shared" si="166"/>
        <v>BypassOpenStudio_zb,0,</v>
      </c>
      <c r="BP53" s="31" t="str">
        <f t="shared" si="167"/>
        <v>BypassOpenStudio_ap,0,</v>
      </c>
      <c r="BQ53" s="31" t="str">
        <f t="shared" si="168"/>
        <v>BypassOpenStudio_ab,0,</v>
      </c>
      <c r="BR53" s="31" t="str">
        <f t="shared" si="169"/>
        <v>BypassOpenStudio_zp,0,</v>
      </c>
      <c r="BS53" s="31" t="str">
        <f t="shared" si="170"/>
        <v>BypassOpenStudio_zb,0,</v>
      </c>
      <c r="BT53" s="31" t="str">
        <f t="shared" si="171"/>
        <v>BypassOpenStudio_ap,0,</v>
      </c>
      <c r="BU53" s="31" t="str">
        <f t="shared" si="172"/>
        <v>BypassOpenStudio_ab,0,</v>
      </c>
    </row>
    <row r="54" spans="1:74" hidden="1" outlineLevel="1" x14ac:dyDescent="0.25">
      <c r="A54" s="39">
        <f t="shared" si="218"/>
        <v>0</v>
      </c>
      <c r="B54" s="27" t="str">
        <f t="shared" si="173"/>
        <v>OtherTests2016\x.cibd16</v>
      </c>
      <c r="C54" s="27" t="str">
        <f t="shared" si="174"/>
        <v>BatchOut_171026_r5178_FinalRel-v3-SSTSG_OT\x.cibd16</v>
      </c>
      <c r="D54" s="27" t="str">
        <f t="shared" si="175"/>
        <v>BatchOut_171026_r5178_FinalRel-v3-SSTSG_OT\XML\</v>
      </c>
      <c r="E54" s="9" t="str">
        <f t="shared" si="219"/>
        <v>x</v>
      </c>
      <c r="F54" s="22"/>
      <c r="G54" s="29"/>
      <c r="H54" s="23"/>
      <c r="I54" s="9" t="s">
        <v>11</v>
      </c>
      <c r="J54"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4" s="15" t="s">
        <v>1</v>
      </c>
      <c r="L54" s="92">
        <f t="shared" si="180"/>
        <v>0</v>
      </c>
      <c r="M54" s="32" t="str">
        <f t="shared" si="201"/>
        <v>x</v>
      </c>
      <c r="N54" s="90" t="s">
        <v>149</v>
      </c>
      <c r="O54" s="28" t="str">
        <f t="shared" si="178"/>
        <v>x</v>
      </c>
      <c r="P54" s="36">
        <f t="shared" si="179"/>
        <v>1</v>
      </c>
      <c r="Q54" s="36">
        <f t="shared" si="179"/>
        <v>1</v>
      </c>
      <c r="R54" s="36">
        <f t="shared" si="179"/>
        <v>0</v>
      </c>
      <c r="S54" s="36">
        <f t="shared" si="179"/>
        <v>1</v>
      </c>
      <c r="T54" s="36">
        <f t="shared" si="179"/>
        <v>0</v>
      </c>
      <c r="U54" s="36">
        <f t="shared" si="179"/>
        <v>8</v>
      </c>
      <c r="V54" s="36">
        <f t="shared" si="179"/>
        <v>8</v>
      </c>
      <c r="W54" s="36">
        <f t="shared" si="179"/>
        <v>1</v>
      </c>
      <c r="X54" s="36">
        <f t="shared" si="179"/>
        <v>0</v>
      </c>
      <c r="Y54" s="36">
        <f t="shared" si="179"/>
        <v>0</v>
      </c>
      <c r="Z54" s="36">
        <f t="shared" si="179"/>
        <v>0</v>
      </c>
      <c r="AA54" s="36">
        <f t="shared" si="179"/>
        <v>0</v>
      </c>
      <c r="AB54" s="36">
        <f t="shared" si="179"/>
        <v>1</v>
      </c>
      <c r="AC54" s="36">
        <f t="shared" si="179"/>
        <v>0</v>
      </c>
      <c r="AD54" s="36">
        <f t="shared" si="179"/>
        <v>1</v>
      </c>
      <c r="AE54" s="36">
        <f t="shared" si="179"/>
        <v>0</v>
      </c>
      <c r="AF54" s="36">
        <f t="shared" si="204"/>
        <v>0</v>
      </c>
      <c r="AG54" s="36">
        <f t="shared" si="204"/>
        <v>0</v>
      </c>
      <c r="AH54" s="36">
        <f t="shared" si="204"/>
        <v>0</v>
      </c>
      <c r="AI54" s="36">
        <f t="shared" si="204"/>
        <v>0</v>
      </c>
      <c r="AJ54" s="36">
        <f t="shared" si="205"/>
        <v>0</v>
      </c>
      <c r="AK54" s="36">
        <f t="shared" si="205"/>
        <v>0</v>
      </c>
      <c r="AL54" s="36">
        <f t="shared" si="205"/>
        <v>0</v>
      </c>
      <c r="AM54" s="36">
        <f t="shared" si="205"/>
        <v>0</v>
      </c>
      <c r="AN54" s="36">
        <f t="shared" si="205"/>
        <v>0</v>
      </c>
      <c r="AO54" s="36">
        <f t="shared" si="205"/>
        <v>0</v>
      </c>
      <c r="AP54" s="36">
        <f t="shared" si="205"/>
        <v>0</v>
      </c>
      <c r="AQ54" s="36">
        <f t="shared" si="205"/>
        <v>0</v>
      </c>
      <c r="AR54" s="36">
        <f t="shared" si="205"/>
        <v>0</v>
      </c>
      <c r="AS54" s="31" t="str">
        <f t="shared" si="220"/>
        <v>SimulationStorage,1,</v>
      </c>
      <c r="AT54" s="31" t="str">
        <f t="shared" si="221"/>
        <v>AnalysisStorage,1,</v>
      </c>
      <c r="AU54" s="31" t="str">
        <f t="shared" si="222"/>
        <v>LogRuleEvaluation,0,</v>
      </c>
      <c r="AV54" s="31" t="str">
        <f t="shared" si="223"/>
        <v>ParallelSimulations,1,</v>
      </c>
      <c r="AW54" s="31" t="str">
        <f t="shared" si="224"/>
        <v>DurationStats,0,</v>
      </c>
      <c r="AX54" s="31" t="str">
        <f t="shared" si="225"/>
        <v>AnalysisThruStep,8,</v>
      </c>
      <c r="AY54" s="31" t="str">
        <f t="shared" si="226"/>
        <v>DontAbortOnErrorsThruStep,8,</v>
      </c>
      <c r="AZ54" s="31" t="str">
        <f t="shared" si="227"/>
        <v>BypassValidFileChecks,1,</v>
      </c>
      <c r="BA54" s="31" t="str">
        <f t="shared" si="228"/>
        <v>BypassInputChecks,0,</v>
      </c>
      <c r="BB54" s="31" t="str">
        <f t="shared" si="229"/>
        <v>BypassUMLHChecks,0,</v>
      </c>
      <c r="BC54" s="31" t="str">
        <f t="shared" si="230"/>
        <v>BypassCheckSimRules,0,</v>
      </c>
      <c r="BD54" s="31" t="str">
        <f t="shared" si="231"/>
        <v>BypassCheckCodeRules,0,</v>
      </c>
      <c r="BE54" s="31" t="str">
        <f t="shared" si="157"/>
        <v>StoreResultsToModelInput,1,</v>
      </c>
      <c r="BF54" s="31" t="str">
        <f t="shared" si="158"/>
        <v>StoreBEMDetails,0,</v>
      </c>
      <c r="BG54" s="31" t="str">
        <f t="shared" si="159"/>
        <v>ModelRpt_ALL,1,</v>
      </c>
      <c r="BH54" s="31" t="str">
        <f t="shared" si="160"/>
        <v>ExportHourlyResults_All,0,</v>
      </c>
      <c r="BI54" s="31" t="str">
        <f t="shared" si="161"/>
        <v>ComplianceReportPDF,0,</v>
      </c>
      <c r="BJ54" s="31" t="str">
        <f t="shared" si="162"/>
        <v>ComplianceReportXML,0,</v>
      </c>
      <c r="BK54" s="31" t="str">
        <f t="shared" si="163"/>
        <v>QuickAnalysis,0,</v>
      </c>
      <c r="BL54" s="31" t="str">
        <f t="shared" si="163"/>
        <v>PromptUserUMLHWarning,0,</v>
      </c>
      <c r="BM54" s="31" t="str">
        <f t="shared" si="164"/>
        <v>BypassOpenStudio_all,0,</v>
      </c>
      <c r="BN54" s="31" t="str">
        <f t="shared" si="165"/>
        <v>BypassOpenStudio_zp,0,</v>
      </c>
      <c r="BO54" s="31" t="str">
        <f t="shared" si="166"/>
        <v>BypassOpenStudio_zb,0,</v>
      </c>
      <c r="BP54" s="31" t="str">
        <f t="shared" si="167"/>
        <v>BypassOpenStudio_ap,0,</v>
      </c>
      <c r="BQ54" s="31" t="str">
        <f t="shared" si="168"/>
        <v>BypassOpenStudio_ab,0,</v>
      </c>
      <c r="BR54" s="31" t="str">
        <f t="shared" si="169"/>
        <v>BypassOpenStudio_zp,0,</v>
      </c>
      <c r="BS54" s="31" t="str">
        <f t="shared" si="170"/>
        <v>BypassOpenStudio_zb,0,</v>
      </c>
      <c r="BT54" s="31" t="str">
        <f t="shared" si="171"/>
        <v>BypassOpenStudio_ap,0,</v>
      </c>
      <c r="BU54" s="31" t="str">
        <f t="shared" si="172"/>
        <v>BypassOpenStudio_ab,0,</v>
      </c>
    </row>
    <row r="55" spans="1:74" hidden="1" outlineLevel="1" x14ac:dyDescent="0.25">
      <c r="A55" s="39">
        <f t="shared" si="218"/>
        <v>0</v>
      </c>
      <c r="B55" s="27" t="str">
        <f t="shared" si="173"/>
        <v>OtherTests2016\x.cibd16</v>
      </c>
      <c r="C55" s="27" t="str">
        <f t="shared" si="174"/>
        <v>BatchOut_171026_r5178_FinalRel-v3-SSTSG_OT\x.cibd16</v>
      </c>
      <c r="D55" s="27" t="str">
        <f t="shared" si="175"/>
        <v>BatchOut_171026_r5178_FinalRel-v3-SSTSG_OT\XML\</v>
      </c>
      <c r="E55" s="9" t="str">
        <f t="shared" si="219"/>
        <v>x</v>
      </c>
      <c r="F55" s="22"/>
      <c r="G55" s="29"/>
      <c r="H55" s="23"/>
      <c r="I55" s="9" t="s">
        <v>11</v>
      </c>
      <c r="J55"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5" s="15" t="s">
        <v>1</v>
      </c>
      <c r="L55" s="92">
        <f t="shared" si="180"/>
        <v>0</v>
      </c>
      <c r="M55" s="32" t="str">
        <f t="shared" si="201"/>
        <v>x</v>
      </c>
      <c r="N55" s="90" t="s">
        <v>149</v>
      </c>
      <c r="O55" s="28" t="str">
        <f t="shared" si="178"/>
        <v>x</v>
      </c>
      <c r="P55" s="36">
        <f t="shared" si="179"/>
        <v>1</v>
      </c>
      <c r="Q55" s="36">
        <f t="shared" si="179"/>
        <v>1</v>
      </c>
      <c r="R55" s="36">
        <f t="shared" si="179"/>
        <v>0</v>
      </c>
      <c r="S55" s="36">
        <f t="shared" si="179"/>
        <v>1</v>
      </c>
      <c r="T55" s="36">
        <f t="shared" si="179"/>
        <v>0</v>
      </c>
      <c r="U55" s="36">
        <f t="shared" si="179"/>
        <v>8</v>
      </c>
      <c r="V55" s="36">
        <f t="shared" si="179"/>
        <v>8</v>
      </c>
      <c r="W55" s="36">
        <f t="shared" si="179"/>
        <v>1</v>
      </c>
      <c r="X55" s="36">
        <f t="shared" si="179"/>
        <v>0</v>
      </c>
      <c r="Y55" s="36">
        <f t="shared" si="179"/>
        <v>0</v>
      </c>
      <c r="Z55" s="36">
        <f t="shared" si="179"/>
        <v>0</v>
      </c>
      <c r="AA55" s="36">
        <f t="shared" si="179"/>
        <v>0</v>
      </c>
      <c r="AB55" s="36">
        <f t="shared" si="179"/>
        <v>1</v>
      </c>
      <c r="AC55" s="36">
        <f t="shared" si="179"/>
        <v>0</v>
      </c>
      <c r="AD55" s="36">
        <f t="shared" si="179"/>
        <v>1</v>
      </c>
      <c r="AE55" s="36">
        <f t="shared" si="179"/>
        <v>0</v>
      </c>
      <c r="AF55" s="36">
        <f t="shared" si="204"/>
        <v>0</v>
      </c>
      <c r="AG55" s="36">
        <f t="shared" si="204"/>
        <v>0</v>
      </c>
      <c r="AH55" s="36">
        <f t="shared" si="204"/>
        <v>0</v>
      </c>
      <c r="AI55" s="36">
        <f t="shared" si="204"/>
        <v>0</v>
      </c>
      <c r="AJ55" s="36">
        <f t="shared" si="205"/>
        <v>0</v>
      </c>
      <c r="AK55" s="36">
        <f t="shared" si="205"/>
        <v>0</v>
      </c>
      <c r="AL55" s="36">
        <f t="shared" si="205"/>
        <v>0</v>
      </c>
      <c r="AM55" s="36">
        <f t="shared" si="205"/>
        <v>0</v>
      </c>
      <c r="AN55" s="36">
        <f t="shared" si="205"/>
        <v>0</v>
      </c>
      <c r="AO55" s="36">
        <f t="shared" si="205"/>
        <v>0</v>
      </c>
      <c r="AP55" s="36">
        <f t="shared" si="205"/>
        <v>0</v>
      </c>
      <c r="AQ55" s="36">
        <f t="shared" si="205"/>
        <v>0</v>
      </c>
      <c r="AR55" s="36">
        <f t="shared" si="205"/>
        <v>0</v>
      </c>
      <c r="AS55" s="31" t="str">
        <f t="shared" si="220"/>
        <v>SimulationStorage,1,</v>
      </c>
      <c r="AT55" s="31" t="str">
        <f t="shared" si="221"/>
        <v>AnalysisStorage,1,</v>
      </c>
      <c r="AU55" s="31" t="str">
        <f t="shared" si="222"/>
        <v>LogRuleEvaluation,0,</v>
      </c>
      <c r="AV55" s="31" t="str">
        <f t="shared" si="223"/>
        <v>ParallelSimulations,1,</v>
      </c>
      <c r="AW55" s="31" t="str">
        <f t="shared" si="224"/>
        <v>DurationStats,0,</v>
      </c>
      <c r="AX55" s="31" t="str">
        <f t="shared" si="225"/>
        <v>AnalysisThruStep,8,</v>
      </c>
      <c r="AY55" s="31" t="str">
        <f t="shared" si="226"/>
        <v>DontAbortOnErrorsThruStep,8,</v>
      </c>
      <c r="AZ55" s="31" t="str">
        <f t="shared" si="227"/>
        <v>BypassValidFileChecks,1,</v>
      </c>
      <c r="BA55" s="31" t="str">
        <f t="shared" si="228"/>
        <v>BypassInputChecks,0,</v>
      </c>
      <c r="BB55" s="31" t="str">
        <f t="shared" si="229"/>
        <v>BypassUMLHChecks,0,</v>
      </c>
      <c r="BC55" s="31" t="str">
        <f t="shared" si="230"/>
        <v>BypassCheckSimRules,0,</v>
      </c>
      <c r="BD55" s="31" t="str">
        <f t="shared" si="231"/>
        <v>BypassCheckCodeRules,0,</v>
      </c>
      <c r="BE55" s="31" t="str">
        <f t="shared" si="157"/>
        <v>StoreResultsToModelInput,1,</v>
      </c>
      <c r="BF55" s="31" t="str">
        <f t="shared" si="158"/>
        <v>StoreBEMDetails,0,</v>
      </c>
      <c r="BG55" s="31" t="str">
        <f t="shared" si="159"/>
        <v>ModelRpt_ALL,1,</v>
      </c>
      <c r="BH55" s="31" t="str">
        <f t="shared" si="160"/>
        <v>ExportHourlyResults_All,0,</v>
      </c>
      <c r="BI55" s="31" t="str">
        <f t="shared" si="161"/>
        <v>ComplianceReportPDF,0,</v>
      </c>
      <c r="BJ55" s="31" t="str">
        <f t="shared" si="162"/>
        <v>ComplianceReportXML,0,</v>
      </c>
      <c r="BK55" s="31" t="str">
        <f t="shared" si="163"/>
        <v>QuickAnalysis,0,</v>
      </c>
      <c r="BL55" s="31" t="str">
        <f t="shared" si="163"/>
        <v>PromptUserUMLHWarning,0,</v>
      </c>
      <c r="BM55" s="31" t="str">
        <f t="shared" si="164"/>
        <v>BypassOpenStudio_all,0,</v>
      </c>
      <c r="BN55" s="31" t="str">
        <f t="shared" si="165"/>
        <v>BypassOpenStudio_zp,0,</v>
      </c>
      <c r="BO55" s="31" t="str">
        <f t="shared" si="166"/>
        <v>BypassOpenStudio_zb,0,</v>
      </c>
      <c r="BP55" s="31" t="str">
        <f t="shared" si="167"/>
        <v>BypassOpenStudio_ap,0,</v>
      </c>
      <c r="BQ55" s="31" t="str">
        <f t="shared" si="168"/>
        <v>BypassOpenStudio_ab,0,</v>
      </c>
      <c r="BR55" s="31" t="str">
        <f t="shared" si="169"/>
        <v>BypassOpenStudio_zp,0,</v>
      </c>
      <c r="BS55" s="31" t="str">
        <f t="shared" si="170"/>
        <v>BypassOpenStudio_zb,0,</v>
      </c>
      <c r="BT55" s="31" t="str">
        <f t="shared" si="171"/>
        <v>BypassOpenStudio_ap,0,</v>
      </c>
      <c r="BU55" s="31" t="str">
        <f t="shared" si="172"/>
        <v>BypassOpenStudio_ab,0,</v>
      </c>
    </row>
    <row r="56" spans="1:74" hidden="1" outlineLevel="1" x14ac:dyDescent="0.25">
      <c r="A56" s="39">
        <f t="shared" ref="A56:A58" si="232">L56</f>
        <v>0</v>
      </c>
      <c r="B56" s="27" t="str">
        <f t="shared" si="173"/>
        <v>OtherTests2016\x.cibd16</v>
      </c>
      <c r="C56" s="27" t="str">
        <f t="shared" si="174"/>
        <v>BatchOut_171026_r5178_FinalRel-v3-SSTSG_OT\x.cibd16</v>
      </c>
      <c r="D56" s="27" t="str">
        <f t="shared" si="175"/>
        <v>BatchOut_171026_r5178_FinalRel-v3-SSTSG_OT\XML\</v>
      </c>
      <c r="E56" s="9" t="str">
        <f t="shared" ref="E56:E58" si="233">M56</f>
        <v>x</v>
      </c>
      <c r="F56" s="22"/>
      <c r="G56" s="29"/>
      <c r="H56" s="23" t="str">
        <f>IF(F56&gt;1,1,"")</f>
        <v/>
      </c>
      <c r="I56" s="9" t="s">
        <v>11</v>
      </c>
      <c r="J56"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6" s="15" t="s">
        <v>1</v>
      </c>
      <c r="L56" s="92">
        <f t="shared" si="180"/>
        <v>0</v>
      </c>
      <c r="M56" s="32" t="str">
        <f t="shared" si="201"/>
        <v>x</v>
      </c>
      <c r="N56" s="90" t="s">
        <v>149</v>
      </c>
      <c r="O56" s="28" t="str">
        <f t="shared" si="178"/>
        <v>x</v>
      </c>
      <c r="P56" s="36">
        <f t="shared" si="179"/>
        <v>1</v>
      </c>
      <c r="Q56" s="36">
        <f t="shared" si="179"/>
        <v>1</v>
      </c>
      <c r="R56" s="36">
        <f t="shared" si="179"/>
        <v>0</v>
      </c>
      <c r="S56" s="36">
        <f t="shared" si="179"/>
        <v>1</v>
      </c>
      <c r="T56" s="36">
        <f t="shared" si="179"/>
        <v>0</v>
      </c>
      <c r="U56" s="36">
        <f t="shared" si="179"/>
        <v>8</v>
      </c>
      <c r="V56" s="36">
        <f t="shared" si="179"/>
        <v>8</v>
      </c>
      <c r="W56" s="36">
        <f t="shared" si="179"/>
        <v>1</v>
      </c>
      <c r="X56" s="36">
        <f t="shared" si="179"/>
        <v>0</v>
      </c>
      <c r="Y56" s="36">
        <f t="shared" si="179"/>
        <v>0</v>
      </c>
      <c r="Z56" s="36">
        <f t="shared" si="179"/>
        <v>0</v>
      </c>
      <c r="AA56" s="36">
        <f t="shared" si="179"/>
        <v>0</v>
      </c>
      <c r="AB56" s="36">
        <f t="shared" si="179"/>
        <v>1</v>
      </c>
      <c r="AC56" s="36">
        <f t="shared" si="179"/>
        <v>0</v>
      </c>
      <c r="AD56" s="36">
        <f t="shared" si="179"/>
        <v>1</v>
      </c>
      <c r="AE56" s="36">
        <f t="shared" si="179"/>
        <v>0</v>
      </c>
      <c r="AF56" s="36">
        <f t="shared" si="204"/>
        <v>0</v>
      </c>
      <c r="AG56" s="36">
        <f t="shared" si="204"/>
        <v>0</v>
      </c>
      <c r="AH56" s="36">
        <f t="shared" si="204"/>
        <v>0</v>
      </c>
      <c r="AI56" s="36">
        <f t="shared" si="204"/>
        <v>0</v>
      </c>
      <c r="AJ56" s="36">
        <f t="shared" si="205"/>
        <v>0</v>
      </c>
      <c r="AK56" s="36">
        <f t="shared" si="205"/>
        <v>0</v>
      </c>
      <c r="AL56" s="36">
        <f t="shared" si="205"/>
        <v>0</v>
      </c>
      <c r="AM56" s="36">
        <f t="shared" si="205"/>
        <v>0</v>
      </c>
      <c r="AN56" s="36">
        <f t="shared" si="205"/>
        <v>0</v>
      </c>
      <c r="AO56" s="36">
        <f t="shared" si="205"/>
        <v>0</v>
      </c>
      <c r="AP56" s="36">
        <f t="shared" si="205"/>
        <v>0</v>
      </c>
      <c r="AQ56" s="36">
        <f t="shared" si="205"/>
        <v>0</v>
      </c>
      <c r="AR56" s="36">
        <f t="shared" si="205"/>
        <v>0</v>
      </c>
      <c r="AS56" s="31" t="str">
        <f t="shared" ref="AS56:AS58" si="234">P$13&amp;P56&amp;","</f>
        <v>SimulationStorage,1,</v>
      </c>
      <c r="AT56" s="31" t="str">
        <f t="shared" ref="AT56:AT58" si="235">Q$13&amp;Q56&amp;","</f>
        <v>AnalysisStorage,1,</v>
      </c>
      <c r="AU56" s="31" t="str">
        <f t="shared" ref="AU56:AU58" si="236">R$13&amp;R56&amp;","</f>
        <v>LogRuleEvaluation,0,</v>
      </c>
      <c r="AV56" s="31" t="str">
        <f t="shared" ref="AV56:AV58" si="237">S$13&amp;S56&amp;","</f>
        <v>ParallelSimulations,1,</v>
      </c>
      <c r="AW56" s="31" t="str">
        <f t="shared" ref="AW56:AW58" si="238">T$13&amp;T56&amp;","</f>
        <v>DurationStats,0,</v>
      </c>
      <c r="AX56" s="31" t="str">
        <f t="shared" ref="AX56:AX58" si="239">U$13&amp;U56&amp;","</f>
        <v>AnalysisThruStep,8,</v>
      </c>
      <c r="AY56" s="31" t="str">
        <f t="shared" ref="AY56:AY58" si="240">V$13&amp;V56&amp;","</f>
        <v>DontAbortOnErrorsThruStep,8,</v>
      </c>
      <c r="AZ56" s="31" t="str">
        <f t="shared" ref="AZ56:AZ58" si="241">W$13&amp;W56&amp;","</f>
        <v>BypassValidFileChecks,1,</v>
      </c>
      <c r="BA56" s="31" t="str">
        <f t="shared" ref="BA56:BA58" si="242">X$13&amp;X56&amp;","</f>
        <v>BypassInputChecks,0,</v>
      </c>
      <c r="BB56" s="31" t="str">
        <f t="shared" ref="BB56:BB58" si="243">Y$13&amp;Y56&amp;","</f>
        <v>BypassUMLHChecks,0,</v>
      </c>
      <c r="BC56" s="31" t="str">
        <f t="shared" ref="BC56:BC58" si="244">Z$13&amp;Z56&amp;","</f>
        <v>BypassCheckSimRules,0,</v>
      </c>
      <c r="BD56" s="31" t="str">
        <f t="shared" ref="BD56:BD58" si="245">AA$13&amp;AA56&amp;","</f>
        <v>BypassCheckCodeRules,0,</v>
      </c>
      <c r="BE56" s="31" t="str">
        <f t="shared" si="157"/>
        <v>StoreResultsToModelInput,1,</v>
      </c>
      <c r="BF56" s="31" t="str">
        <f t="shared" si="158"/>
        <v>StoreBEMDetails,0,</v>
      </c>
      <c r="BG56" s="31" t="str">
        <f t="shared" si="159"/>
        <v>ModelRpt_ALL,1,</v>
      </c>
      <c r="BH56" s="31" t="str">
        <f t="shared" si="160"/>
        <v>ExportHourlyResults_All,0,</v>
      </c>
      <c r="BI56" s="31" t="str">
        <f t="shared" si="161"/>
        <v>ComplianceReportPDF,0,</v>
      </c>
      <c r="BJ56" s="31" t="str">
        <f t="shared" si="162"/>
        <v>ComplianceReportXML,0,</v>
      </c>
      <c r="BK56" s="31" t="str">
        <f t="shared" si="163"/>
        <v>QuickAnalysis,0,</v>
      </c>
      <c r="BL56" s="31" t="str">
        <f t="shared" si="163"/>
        <v>PromptUserUMLHWarning,0,</v>
      </c>
      <c r="BM56" s="31" t="str">
        <f t="shared" si="164"/>
        <v>BypassOpenStudio_all,0,</v>
      </c>
      <c r="BN56" s="31" t="str">
        <f t="shared" si="165"/>
        <v>BypassOpenStudio_zp,0,</v>
      </c>
      <c r="BO56" s="31" t="str">
        <f t="shared" si="166"/>
        <v>BypassOpenStudio_zb,0,</v>
      </c>
      <c r="BP56" s="31" t="str">
        <f t="shared" si="167"/>
        <v>BypassOpenStudio_ap,0,</v>
      </c>
      <c r="BQ56" s="31" t="str">
        <f t="shared" si="168"/>
        <v>BypassOpenStudio_ab,0,</v>
      </c>
      <c r="BR56" s="31" t="str">
        <f t="shared" si="169"/>
        <v>BypassOpenStudio_zp,0,</v>
      </c>
      <c r="BS56" s="31" t="str">
        <f t="shared" si="170"/>
        <v>BypassOpenStudio_zb,0,</v>
      </c>
      <c r="BT56" s="31" t="str">
        <f t="shared" si="171"/>
        <v>BypassOpenStudio_ap,0,</v>
      </c>
      <c r="BU56" s="31" t="str">
        <f t="shared" si="172"/>
        <v>BypassOpenStudio_ab,0,</v>
      </c>
    </row>
    <row r="57" spans="1:74" hidden="1" outlineLevel="1" x14ac:dyDescent="0.25">
      <c r="A57" s="39">
        <f t="shared" si="232"/>
        <v>0</v>
      </c>
      <c r="B57" s="27" t="str">
        <f t="shared" si="173"/>
        <v>OtherTests2016\x.cibd16</v>
      </c>
      <c r="C57" s="27" t="str">
        <f t="shared" si="174"/>
        <v>BatchOut_171026_r5178_FinalRel-v3-SSTSG_OT\x.cibd16</v>
      </c>
      <c r="D57" s="27" t="str">
        <f t="shared" si="175"/>
        <v>BatchOut_171026_r5178_FinalRel-v3-SSTSG_OT\XML\</v>
      </c>
      <c r="E57" s="9" t="str">
        <f t="shared" si="233"/>
        <v>x</v>
      </c>
      <c r="F57" s="22"/>
      <c r="G57" s="29"/>
      <c r="H57" s="23"/>
      <c r="I57" s="9" t="s">
        <v>11</v>
      </c>
      <c r="J57"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7" s="15" t="s">
        <v>1</v>
      </c>
      <c r="L57" s="92">
        <f t="shared" si="180"/>
        <v>0</v>
      </c>
      <c r="M57" s="32" t="str">
        <f t="shared" si="201"/>
        <v>x</v>
      </c>
      <c r="N57" s="90" t="s">
        <v>149</v>
      </c>
      <c r="O57" s="28" t="str">
        <f t="shared" si="178"/>
        <v>x</v>
      </c>
      <c r="P57" s="36">
        <f t="shared" si="179"/>
        <v>1</v>
      </c>
      <c r="Q57" s="36">
        <f t="shared" si="179"/>
        <v>1</v>
      </c>
      <c r="R57" s="36">
        <f t="shared" si="179"/>
        <v>0</v>
      </c>
      <c r="S57" s="36">
        <f t="shared" si="179"/>
        <v>1</v>
      </c>
      <c r="T57" s="36">
        <f t="shared" si="179"/>
        <v>0</v>
      </c>
      <c r="U57" s="36">
        <f t="shared" si="179"/>
        <v>8</v>
      </c>
      <c r="V57" s="36">
        <f t="shared" si="179"/>
        <v>8</v>
      </c>
      <c r="W57" s="36">
        <f t="shared" si="179"/>
        <v>1</v>
      </c>
      <c r="X57" s="36">
        <f t="shared" si="179"/>
        <v>0</v>
      </c>
      <c r="Y57" s="36">
        <f t="shared" si="179"/>
        <v>0</v>
      </c>
      <c r="Z57" s="36">
        <f t="shared" si="179"/>
        <v>0</v>
      </c>
      <c r="AA57" s="36">
        <f t="shared" si="179"/>
        <v>0</v>
      </c>
      <c r="AB57" s="36">
        <f t="shared" si="179"/>
        <v>1</v>
      </c>
      <c r="AC57" s="36">
        <f t="shared" si="179"/>
        <v>0</v>
      </c>
      <c r="AD57" s="36">
        <f t="shared" si="179"/>
        <v>1</v>
      </c>
      <c r="AE57" s="36">
        <f t="shared" si="179"/>
        <v>0</v>
      </c>
      <c r="AF57" s="36">
        <f t="shared" si="204"/>
        <v>0</v>
      </c>
      <c r="AG57" s="36">
        <f t="shared" si="204"/>
        <v>0</v>
      </c>
      <c r="AH57" s="36">
        <f t="shared" si="204"/>
        <v>0</v>
      </c>
      <c r="AI57" s="36">
        <f t="shared" si="204"/>
        <v>0</v>
      </c>
      <c r="AJ57" s="36">
        <f t="shared" si="205"/>
        <v>0</v>
      </c>
      <c r="AK57" s="36">
        <f t="shared" si="205"/>
        <v>0</v>
      </c>
      <c r="AL57" s="36">
        <f t="shared" si="205"/>
        <v>0</v>
      </c>
      <c r="AM57" s="36">
        <f t="shared" si="205"/>
        <v>0</v>
      </c>
      <c r="AN57" s="36">
        <f t="shared" si="205"/>
        <v>0</v>
      </c>
      <c r="AO57" s="36">
        <f t="shared" si="205"/>
        <v>0</v>
      </c>
      <c r="AP57" s="36">
        <f t="shared" si="205"/>
        <v>0</v>
      </c>
      <c r="AQ57" s="36">
        <f t="shared" si="205"/>
        <v>0</v>
      </c>
      <c r="AR57" s="36">
        <f t="shared" si="205"/>
        <v>0</v>
      </c>
      <c r="AS57" s="31" t="str">
        <f t="shared" si="234"/>
        <v>SimulationStorage,1,</v>
      </c>
      <c r="AT57" s="31" t="str">
        <f t="shared" si="235"/>
        <v>AnalysisStorage,1,</v>
      </c>
      <c r="AU57" s="31" t="str">
        <f t="shared" si="236"/>
        <v>LogRuleEvaluation,0,</v>
      </c>
      <c r="AV57" s="31" t="str">
        <f t="shared" si="237"/>
        <v>ParallelSimulations,1,</v>
      </c>
      <c r="AW57" s="31" t="str">
        <f t="shared" si="238"/>
        <v>DurationStats,0,</v>
      </c>
      <c r="AX57" s="31" t="str">
        <f t="shared" si="239"/>
        <v>AnalysisThruStep,8,</v>
      </c>
      <c r="AY57" s="31" t="str">
        <f t="shared" si="240"/>
        <v>DontAbortOnErrorsThruStep,8,</v>
      </c>
      <c r="AZ57" s="31" t="str">
        <f t="shared" si="241"/>
        <v>BypassValidFileChecks,1,</v>
      </c>
      <c r="BA57" s="31" t="str">
        <f t="shared" si="242"/>
        <v>BypassInputChecks,0,</v>
      </c>
      <c r="BB57" s="31" t="str">
        <f t="shared" si="243"/>
        <v>BypassUMLHChecks,0,</v>
      </c>
      <c r="BC57" s="31" t="str">
        <f t="shared" si="244"/>
        <v>BypassCheckSimRules,0,</v>
      </c>
      <c r="BD57" s="31" t="str">
        <f t="shared" si="245"/>
        <v>BypassCheckCodeRules,0,</v>
      </c>
      <c r="BE57" s="31" t="str">
        <f t="shared" si="157"/>
        <v>StoreResultsToModelInput,1,</v>
      </c>
      <c r="BF57" s="31" t="str">
        <f t="shared" si="158"/>
        <v>StoreBEMDetails,0,</v>
      </c>
      <c r="BG57" s="31" t="str">
        <f t="shared" si="159"/>
        <v>ModelRpt_ALL,1,</v>
      </c>
      <c r="BH57" s="31" t="str">
        <f t="shared" si="160"/>
        <v>ExportHourlyResults_All,0,</v>
      </c>
      <c r="BI57" s="31" t="str">
        <f t="shared" si="161"/>
        <v>ComplianceReportPDF,0,</v>
      </c>
      <c r="BJ57" s="31" t="str">
        <f t="shared" si="162"/>
        <v>ComplianceReportXML,0,</v>
      </c>
      <c r="BK57" s="31" t="str">
        <f t="shared" si="163"/>
        <v>QuickAnalysis,0,</v>
      </c>
      <c r="BL57" s="31" t="str">
        <f t="shared" si="163"/>
        <v>PromptUserUMLHWarning,0,</v>
      </c>
      <c r="BM57" s="31" t="str">
        <f t="shared" si="164"/>
        <v>BypassOpenStudio_all,0,</v>
      </c>
      <c r="BN57" s="31" t="str">
        <f t="shared" si="165"/>
        <v>BypassOpenStudio_zp,0,</v>
      </c>
      <c r="BO57" s="31" t="str">
        <f t="shared" si="166"/>
        <v>BypassOpenStudio_zb,0,</v>
      </c>
      <c r="BP57" s="31" t="str">
        <f t="shared" si="167"/>
        <v>BypassOpenStudio_ap,0,</v>
      </c>
      <c r="BQ57" s="31" t="str">
        <f t="shared" si="168"/>
        <v>BypassOpenStudio_ab,0,</v>
      </c>
      <c r="BR57" s="31" t="str">
        <f t="shared" si="169"/>
        <v>BypassOpenStudio_zp,0,</v>
      </c>
      <c r="BS57" s="31" t="str">
        <f t="shared" si="170"/>
        <v>BypassOpenStudio_zb,0,</v>
      </c>
      <c r="BT57" s="31" t="str">
        <f t="shared" si="171"/>
        <v>BypassOpenStudio_ap,0,</v>
      </c>
      <c r="BU57" s="31" t="str">
        <f t="shared" si="172"/>
        <v>BypassOpenStudio_ab,0,</v>
      </c>
    </row>
    <row r="58" spans="1:74" hidden="1" outlineLevel="1" x14ac:dyDescent="0.25">
      <c r="A58" s="39">
        <f t="shared" si="232"/>
        <v>0</v>
      </c>
      <c r="B58" s="27" t="str">
        <f t="shared" si="173"/>
        <v>OtherTests2016\x.cibd16</v>
      </c>
      <c r="C58" s="27" t="str">
        <f t="shared" si="174"/>
        <v>BatchOut_171026_r5178_FinalRel-v3-SSTSG_OT\x.cibd16</v>
      </c>
      <c r="D58" s="27" t="str">
        <f t="shared" si="175"/>
        <v>BatchOut_171026_r5178_FinalRel-v3-SSTSG_OT\XML\</v>
      </c>
      <c r="E58" s="9" t="str">
        <f t="shared" si="233"/>
        <v>x</v>
      </c>
      <c r="F58" s="22"/>
      <c r="G58" s="29"/>
      <c r="H58" s="23"/>
      <c r="I58" s="9" t="s">
        <v>11</v>
      </c>
      <c r="J58"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8" s="15" t="s">
        <v>1</v>
      </c>
      <c r="L58" s="92">
        <f t="shared" si="180"/>
        <v>0</v>
      </c>
      <c r="M58" s="32" t="str">
        <f t="shared" si="201"/>
        <v>x</v>
      </c>
      <c r="N58" s="90" t="s">
        <v>149</v>
      </c>
      <c r="O58" s="28" t="str">
        <f t="shared" si="178"/>
        <v>x</v>
      </c>
      <c r="P58" s="36">
        <f t="shared" si="179"/>
        <v>1</v>
      </c>
      <c r="Q58" s="36">
        <f t="shared" si="179"/>
        <v>1</v>
      </c>
      <c r="R58" s="36">
        <f t="shared" si="179"/>
        <v>0</v>
      </c>
      <c r="S58" s="36">
        <f t="shared" si="179"/>
        <v>1</v>
      </c>
      <c r="T58" s="36">
        <f t="shared" si="179"/>
        <v>0</v>
      </c>
      <c r="U58" s="36">
        <f t="shared" si="179"/>
        <v>8</v>
      </c>
      <c r="V58" s="36">
        <f t="shared" si="179"/>
        <v>8</v>
      </c>
      <c r="W58" s="36">
        <f t="shared" si="179"/>
        <v>1</v>
      </c>
      <c r="X58" s="36">
        <f t="shared" si="179"/>
        <v>0</v>
      </c>
      <c r="Y58" s="36">
        <f t="shared" si="179"/>
        <v>0</v>
      </c>
      <c r="Z58" s="36">
        <f t="shared" si="179"/>
        <v>0</v>
      </c>
      <c r="AA58" s="36">
        <f t="shared" si="179"/>
        <v>0</v>
      </c>
      <c r="AB58" s="36">
        <f t="shared" si="179"/>
        <v>1</v>
      </c>
      <c r="AC58" s="36">
        <f t="shared" si="179"/>
        <v>0</v>
      </c>
      <c r="AD58" s="36">
        <f t="shared" si="179"/>
        <v>1</v>
      </c>
      <c r="AE58" s="36">
        <f t="shared" si="179"/>
        <v>0</v>
      </c>
      <c r="AF58" s="36">
        <f t="shared" si="204"/>
        <v>0</v>
      </c>
      <c r="AG58" s="36">
        <f t="shared" si="204"/>
        <v>0</v>
      </c>
      <c r="AH58" s="36">
        <f t="shared" si="204"/>
        <v>0</v>
      </c>
      <c r="AI58" s="36">
        <f t="shared" si="204"/>
        <v>0</v>
      </c>
      <c r="AJ58" s="36">
        <f t="shared" si="205"/>
        <v>0</v>
      </c>
      <c r="AK58" s="36">
        <f t="shared" si="205"/>
        <v>0</v>
      </c>
      <c r="AL58" s="36">
        <f t="shared" si="205"/>
        <v>0</v>
      </c>
      <c r="AM58" s="36">
        <f t="shared" si="205"/>
        <v>0</v>
      </c>
      <c r="AN58" s="36">
        <f t="shared" si="205"/>
        <v>0</v>
      </c>
      <c r="AO58" s="36">
        <f t="shared" si="205"/>
        <v>0</v>
      </c>
      <c r="AP58" s="36">
        <f t="shared" si="205"/>
        <v>0</v>
      </c>
      <c r="AQ58" s="36">
        <f t="shared" si="205"/>
        <v>0</v>
      </c>
      <c r="AR58" s="36">
        <f t="shared" si="205"/>
        <v>0</v>
      </c>
      <c r="AS58" s="31" t="str">
        <f t="shared" si="234"/>
        <v>SimulationStorage,1,</v>
      </c>
      <c r="AT58" s="31" t="str">
        <f t="shared" si="235"/>
        <v>AnalysisStorage,1,</v>
      </c>
      <c r="AU58" s="31" t="str">
        <f t="shared" si="236"/>
        <v>LogRuleEvaluation,0,</v>
      </c>
      <c r="AV58" s="31" t="str">
        <f t="shared" si="237"/>
        <v>ParallelSimulations,1,</v>
      </c>
      <c r="AW58" s="31" t="str">
        <f t="shared" si="238"/>
        <v>DurationStats,0,</v>
      </c>
      <c r="AX58" s="31" t="str">
        <f t="shared" si="239"/>
        <v>AnalysisThruStep,8,</v>
      </c>
      <c r="AY58" s="31" t="str">
        <f t="shared" si="240"/>
        <v>DontAbortOnErrorsThruStep,8,</v>
      </c>
      <c r="AZ58" s="31" t="str">
        <f t="shared" si="241"/>
        <v>BypassValidFileChecks,1,</v>
      </c>
      <c r="BA58" s="31" t="str">
        <f t="shared" si="242"/>
        <v>BypassInputChecks,0,</v>
      </c>
      <c r="BB58" s="31" t="str">
        <f t="shared" si="243"/>
        <v>BypassUMLHChecks,0,</v>
      </c>
      <c r="BC58" s="31" t="str">
        <f t="shared" si="244"/>
        <v>BypassCheckSimRules,0,</v>
      </c>
      <c r="BD58" s="31" t="str">
        <f t="shared" si="245"/>
        <v>BypassCheckCodeRules,0,</v>
      </c>
      <c r="BE58" s="31" t="str">
        <f t="shared" si="157"/>
        <v>StoreResultsToModelInput,1,</v>
      </c>
      <c r="BF58" s="31" t="str">
        <f t="shared" si="158"/>
        <v>StoreBEMDetails,0,</v>
      </c>
      <c r="BG58" s="31" t="str">
        <f t="shared" si="159"/>
        <v>ModelRpt_ALL,1,</v>
      </c>
      <c r="BH58" s="31" t="str">
        <f t="shared" si="160"/>
        <v>ExportHourlyResults_All,0,</v>
      </c>
      <c r="BI58" s="31" t="str">
        <f t="shared" si="161"/>
        <v>ComplianceReportPDF,0,</v>
      </c>
      <c r="BJ58" s="31" t="str">
        <f t="shared" si="162"/>
        <v>ComplianceReportXML,0,</v>
      </c>
      <c r="BK58" s="31" t="str">
        <f t="shared" si="163"/>
        <v>QuickAnalysis,0,</v>
      </c>
      <c r="BL58" s="31" t="str">
        <f t="shared" si="163"/>
        <v>PromptUserUMLHWarning,0,</v>
      </c>
      <c r="BM58" s="31" t="str">
        <f t="shared" si="164"/>
        <v>BypassOpenStudio_all,0,</v>
      </c>
      <c r="BN58" s="31" t="str">
        <f t="shared" si="165"/>
        <v>BypassOpenStudio_zp,0,</v>
      </c>
      <c r="BO58" s="31" t="str">
        <f t="shared" si="166"/>
        <v>BypassOpenStudio_zb,0,</v>
      </c>
      <c r="BP58" s="31" t="str">
        <f t="shared" si="167"/>
        <v>BypassOpenStudio_ap,0,</v>
      </c>
      <c r="BQ58" s="31" t="str">
        <f t="shared" si="168"/>
        <v>BypassOpenStudio_ab,0,</v>
      </c>
      <c r="BR58" s="31" t="str">
        <f t="shared" si="169"/>
        <v>BypassOpenStudio_zp,0,</v>
      </c>
      <c r="BS58" s="31" t="str">
        <f t="shared" si="170"/>
        <v>BypassOpenStudio_zb,0,</v>
      </c>
      <c r="BT58" s="31" t="str">
        <f t="shared" si="171"/>
        <v>BypassOpenStudio_ap,0,</v>
      </c>
      <c r="BU58" s="31" t="str">
        <f t="shared" si="172"/>
        <v>BypassOpenStudio_ab,0,</v>
      </c>
    </row>
    <row r="59" spans="1:74" hidden="1" outlineLevel="1" x14ac:dyDescent="0.25">
      <c r="A59" s="39">
        <f t="shared" ref="A59:A62" si="246">L59</f>
        <v>0</v>
      </c>
      <c r="B59" s="27" t="str">
        <f t="shared" si="173"/>
        <v>OtherTests2016\x.cibd16</v>
      </c>
      <c r="C59" s="27" t="str">
        <f t="shared" si="174"/>
        <v>BatchOut_171026_r5178_FinalRel-v3-SSTSG_OT\x.cibd16</v>
      </c>
      <c r="D59" s="27" t="str">
        <f t="shared" si="175"/>
        <v>BatchOut_171026_r5178_FinalRel-v3-SSTSG_OT\XML\</v>
      </c>
      <c r="E59" s="9" t="str">
        <f t="shared" ref="E59:E62" si="247">M59</f>
        <v>x</v>
      </c>
      <c r="F59" s="22"/>
      <c r="G59" s="29"/>
      <c r="H59" s="23"/>
      <c r="I59" s="9" t="s">
        <v>11</v>
      </c>
      <c r="J59" s="87" t="str">
        <f t="shared" ref="J59:J62" si="248">CONCATENATE(AS59,AT59,AU59,AV59,AW59,AX59,AY59,AZ59,BA59,BB59,BC59,BD59,BE59,BF59,BG59,BH59,BI59,BJ59,BK59,BL59,BM59,BN59,BO59,BP59,BQ59,BR59,BS59,BT59,BU59)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9" s="15" t="s">
        <v>1</v>
      </c>
      <c r="L59" s="92">
        <f t="shared" si="180"/>
        <v>0</v>
      </c>
      <c r="M59" s="32" t="str">
        <f t="shared" si="201"/>
        <v>x</v>
      </c>
      <c r="N59" s="90" t="s">
        <v>149</v>
      </c>
      <c r="O59" s="28" t="str">
        <f t="shared" si="178"/>
        <v>x</v>
      </c>
      <c r="P59" s="36">
        <f t="shared" si="179"/>
        <v>1</v>
      </c>
      <c r="Q59" s="36">
        <f t="shared" si="179"/>
        <v>1</v>
      </c>
      <c r="R59" s="36">
        <f t="shared" si="179"/>
        <v>0</v>
      </c>
      <c r="S59" s="36">
        <f t="shared" si="179"/>
        <v>1</v>
      </c>
      <c r="T59" s="36">
        <f t="shared" si="179"/>
        <v>0</v>
      </c>
      <c r="U59" s="36">
        <f t="shared" si="179"/>
        <v>8</v>
      </c>
      <c r="V59" s="36">
        <f t="shared" si="179"/>
        <v>8</v>
      </c>
      <c r="W59" s="36">
        <f t="shared" si="179"/>
        <v>1</v>
      </c>
      <c r="X59" s="36">
        <f t="shared" si="179"/>
        <v>0</v>
      </c>
      <c r="Y59" s="36">
        <f t="shared" si="179"/>
        <v>0</v>
      </c>
      <c r="Z59" s="36">
        <f t="shared" si="179"/>
        <v>0</v>
      </c>
      <c r="AA59" s="36">
        <f t="shared" si="179"/>
        <v>0</v>
      </c>
      <c r="AB59" s="36">
        <f t="shared" si="179"/>
        <v>1</v>
      </c>
      <c r="AC59" s="36">
        <f t="shared" si="179"/>
        <v>0</v>
      </c>
      <c r="AD59" s="36">
        <f t="shared" si="179"/>
        <v>1</v>
      </c>
      <c r="AE59" s="36">
        <f t="shared" si="179"/>
        <v>0</v>
      </c>
      <c r="AF59" s="36">
        <f t="shared" si="204"/>
        <v>0</v>
      </c>
      <c r="AG59" s="36">
        <f t="shared" si="204"/>
        <v>0</v>
      </c>
      <c r="AH59" s="36">
        <f t="shared" si="204"/>
        <v>0</v>
      </c>
      <c r="AI59" s="36">
        <f t="shared" si="204"/>
        <v>0</v>
      </c>
      <c r="AJ59" s="36">
        <f t="shared" si="205"/>
        <v>0</v>
      </c>
      <c r="AK59" s="36">
        <f t="shared" si="205"/>
        <v>0</v>
      </c>
      <c r="AL59" s="36">
        <f t="shared" si="205"/>
        <v>0</v>
      </c>
      <c r="AM59" s="36">
        <f t="shared" si="205"/>
        <v>0</v>
      </c>
      <c r="AN59" s="36">
        <f t="shared" si="205"/>
        <v>0</v>
      </c>
      <c r="AO59" s="36">
        <f t="shared" si="205"/>
        <v>0</v>
      </c>
      <c r="AP59" s="36">
        <f t="shared" si="205"/>
        <v>0</v>
      </c>
      <c r="AQ59" s="36">
        <f t="shared" si="205"/>
        <v>0</v>
      </c>
      <c r="AR59" s="36">
        <f t="shared" si="205"/>
        <v>0</v>
      </c>
      <c r="AS59" s="31" t="str">
        <f t="shared" ref="AS59:AS62" si="249">P$13&amp;P59&amp;","</f>
        <v>SimulationStorage,1,</v>
      </c>
      <c r="AT59" s="31" t="str">
        <f t="shared" ref="AT59:AT62" si="250">Q$13&amp;Q59&amp;","</f>
        <v>AnalysisStorage,1,</v>
      </c>
      <c r="AU59" s="31" t="str">
        <f t="shared" ref="AU59:AU62" si="251">R$13&amp;R59&amp;","</f>
        <v>LogRuleEvaluation,0,</v>
      </c>
      <c r="AV59" s="31" t="str">
        <f t="shared" ref="AV59:AV62" si="252">S$13&amp;S59&amp;","</f>
        <v>ParallelSimulations,1,</v>
      </c>
      <c r="AW59" s="31" t="str">
        <f t="shared" ref="AW59:AW62" si="253">T$13&amp;T59&amp;","</f>
        <v>DurationStats,0,</v>
      </c>
      <c r="AX59" s="31" t="str">
        <f t="shared" ref="AX59:AX62" si="254">U$13&amp;U59&amp;","</f>
        <v>AnalysisThruStep,8,</v>
      </c>
      <c r="AY59" s="31" t="str">
        <f t="shared" ref="AY59:AY62" si="255">V$13&amp;V59&amp;","</f>
        <v>DontAbortOnErrorsThruStep,8,</v>
      </c>
      <c r="AZ59" s="31" t="str">
        <f t="shared" ref="AZ59:AZ62" si="256">W$13&amp;W59&amp;","</f>
        <v>BypassValidFileChecks,1,</v>
      </c>
      <c r="BA59" s="31" t="str">
        <f t="shared" ref="BA59:BA62" si="257">X$13&amp;X59&amp;","</f>
        <v>BypassInputChecks,0,</v>
      </c>
      <c r="BB59" s="31" t="str">
        <f t="shared" ref="BB59:BB62" si="258">Y$13&amp;Y59&amp;","</f>
        <v>BypassUMLHChecks,0,</v>
      </c>
      <c r="BC59" s="31" t="str">
        <f t="shared" ref="BC59:BC62" si="259">Z$13&amp;Z59&amp;","</f>
        <v>BypassCheckSimRules,0,</v>
      </c>
      <c r="BD59" s="31" t="str">
        <f t="shared" ref="BD59:BD62" si="260">AA$13&amp;AA59&amp;","</f>
        <v>BypassCheckCodeRules,0,</v>
      </c>
      <c r="BE59" s="31" t="str">
        <f t="shared" ref="BE59:BE62" si="261">AB$13&amp;AB59&amp;","</f>
        <v>StoreResultsToModelInput,1,</v>
      </c>
      <c r="BF59" s="31" t="str">
        <f t="shared" ref="BF59:BF62" si="262">AC$13&amp;AC59&amp;","</f>
        <v>StoreBEMDetails,0,</v>
      </c>
      <c r="BG59" s="31" t="str">
        <f t="shared" ref="BG59:BG62" si="263">AD$13&amp;AD59&amp;","</f>
        <v>ModelRpt_ALL,1,</v>
      </c>
      <c r="BH59" s="31" t="str">
        <f t="shared" ref="BH59:BH62" si="264">AE$13&amp;AE59&amp;","</f>
        <v>ExportHourlyResults_All,0,</v>
      </c>
      <c r="BI59" s="31" t="str">
        <f t="shared" ref="BI59:BI62" si="265">AF$13&amp;AF59&amp;","</f>
        <v>ComplianceReportPDF,0,</v>
      </c>
      <c r="BJ59" s="31" t="str">
        <f t="shared" ref="BJ59:BJ62" si="266">AG$13&amp;AG59&amp;","</f>
        <v>ComplianceReportXML,0,</v>
      </c>
      <c r="BK59" s="31" t="str">
        <f t="shared" ref="BK59:BK62" si="267">AH$13&amp;AH59&amp;","</f>
        <v>QuickAnalysis,0,</v>
      </c>
      <c r="BL59" s="31" t="str">
        <f t="shared" ref="BL59:BL62" si="268">AI$13&amp;AI59&amp;","</f>
        <v>PromptUserUMLHWarning,0,</v>
      </c>
      <c r="BM59" s="31" t="str">
        <f t="shared" ref="BM59:BM62" si="269">AJ$13&amp;AJ59&amp;","</f>
        <v>BypassOpenStudio_all,0,</v>
      </c>
      <c r="BN59" s="31" t="str">
        <f t="shared" ref="BN59:BN62" si="270">AK$13&amp;AK59&amp;","</f>
        <v>BypassOpenStudio_zp,0,</v>
      </c>
      <c r="BO59" s="31" t="str">
        <f t="shared" ref="BO59:BO62" si="271">AL$13&amp;AL59&amp;","</f>
        <v>BypassOpenStudio_zb,0,</v>
      </c>
      <c r="BP59" s="31" t="str">
        <f t="shared" ref="BP59:BP62" si="272">AM$13&amp;AM59&amp;","</f>
        <v>BypassOpenStudio_ap,0,</v>
      </c>
      <c r="BQ59" s="31" t="str">
        <f t="shared" ref="BQ59:BQ62" si="273">AN$13&amp;AN59&amp;","</f>
        <v>BypassOpenStudio_ab,0,</v>
      </c>
      <c r="BR59" s="31" t="str">
        <f t="shared" ref="BR59:BR62" si="274">AO$13&amp;AO59&amp;","</f>
        <v>BypassOpenStudio_zp,0,</v>
      </c>
      <c r="BS59" s="31" t="str">
        <f t="shared" ref="BS59:BS62" si="275">AP$13&amp;AP59&amp;","</f>
        <v>BypassOpenStudio_zb,0,</v>
      </c>
      <c r="BT59" s="31" t="str">
        <f t="shared" ref="BT59:BT62" si="276">AQ$13&amp;AQ59&amp;","</f>
        <v>BypassOpenStudio_ap,0,</v>
      </c>
      <c r="BU59" s="31" t="str">
        <f t="shared" ref="BU59:BU62" si="277">AR$13&amp;AR59&amp;","</f>
        <v>BypassOpenStudio_ab,0,</v>
      </c>
    </row>
    <row r="60" spans="1:74" hidden="1" outlineLevel="1" x14ac:dyDescent="0.25">
      <c r="A60" s="39">
        <f t="shared" ref="A60" si="278">L60</f>
        <v>0</v>
      </c>
      <c r="B60" s="27" t="str">
        <f t="shared" si="173"/>
        <v>OtherTests2016\x.cibd16</v>
      </c>
      <c r="C60" s="27" t="str">
        <f t="shared" si="174"/>
        <v>BatchOut_171026_r5178_FinalRel-v3-SSTSG_OT\x.cibd16</v>
      </c>
      <c r="D60" s="27" t="str">
        <f t="shared" si="175"/>
        <v>BatchOut_171026_r5178_FinalRel-v3-SSTSG_OT\XML\</v>
      </c>
      <c r="E60" s="9" t="str">
        <f t="shared" ref="E60" si="279">M60</f>
        <v>x</v>
      </c>
      <c r="F60" s="22"/>
      <c r="G60" s="29"/>
      <c r="H60" s="23"/>
      <c r="I60" s="9" t="s">
        <v>11</v>
      </c>
      <c r="J60" s="87" t="str">
        <f t="shared" ref="J60" si="280">CONCATENATE(AS60,AT60,AU60,AV60,AW60,AX60,AY60,AZ60,BA60,BB60,BC60,BD60,BE60,BF60,BG60,BH60,BI60,BJ60,BK60,BL60,BM60,BN60,BO60,BP60,BQ60,BR60,BS60,BT60,BU60)</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0" s="15" t="s">
        <v>1</v>
      </c>
      <c r="L60" s="92">
        <f t="shared" si="180"/>
        <v>0</v>
      </c>
      <c r="M60" s="32" t="str">
        <f>N60</f>
        <v>x</v>
      </c>
      <c r="N60" s="90" t="s">
        <v>149</v>
      </c>
      <c r="O60" s="28" t="str">
        <f t="shared" ref="O60" si="281">N60</f>
        <v>x</v>
      </c>
      <c r="P60" s="36">
        <f t="shared" si="179"/>
        <v>1</v>
      </c>
      <c r="Q60" s="36">
        <f t="shared" si="179"/>
        <v>1</v>
      </c>
      <c r="R60" s="36">
        <f t="shared" si="179"/>
        <v>0</v>
      </c>
      <c r="S60" s="36">
        <f t="shared" si="179"/>
        <v>1</v>
      </c>
      <c r="T60" s="36">
        <f t="shared" si="179"/>
        <v>0</v>
      </c>
      <c r="U60" s="36">
        <f t="shared" si="179"/>
        <v>8</v>
      </c>
      <c r="V60" s="36">
        <f t="shared" si="179"/>
        <v>8</v>
      </c>
      <c r="W60" s="36">
        <f t="shared" si="179"/>
        <v>1</v>
      </c>
      <c r="X60" s="36">
        <f t="shared" si="179"/>
        <v>0</v>
      </c>
      <c r="Y60" s="36">
        <f t="shared" si="179"/>
        <v>0</v>
      </c>
      <c r="Z60" s="36">
        <f t="shared" si="179"/>
        <v>0</v>
      </c>
      <c r="AA60" s="36">
        <f t="shared" si="179"/>
        <v>0</v>
      </c>
      <c r="AB60" s="36">
        <f t="shared" si="179"/>
        <v>1</v>
      </c>
      <c r="AC60" s="36">
        <f t="shared" si="179"/>
        <v>0</v>
      </c>
      <c r="AD60" s="36">
        <f t="shared" si="179"/>
        <v>1</v>
      </c>
      <c r="AE60" s="36">
        <f t="shared" si="179"/>
        <v>0</v>
      </c>
      <c r="AF60" s="36">
        <f t="shared" si="204"/>
        <v>0</v>
      </c>
      <c r="AG60" s="36">
        <f t="shared" si="204"/>
        <v>0</v>
      </c>
      <c r="AH60" s="36">
        <f t="shared" si="204"/>
        <v>0</v>
      </c>
      <c r="AI60" s="36">
        <f t="shared" si="204"/>
        <v>0</v>
      </c>
      <c r="AJ60" s="36">
        <f t="shared" si="205"/>
        <v>0</v>
      </c>
      <c r="AK60" s="36">
        <f t="shared" si="205"/>
        <v>0</v>
      </c>
      <c r="AL60" s="36">
        <f t="shared" si="205"/>
        <v>0</v>
      </c>
      <c r="AM60" s="36">
        <f t="shared" si="205"/>
        <v>0</v>
      </c>
      <c r="AN60" s="36">
        <f t="shared" si="205"/>
        <v>0</v>
      </c>
      <c r="AO60" s="36">
        <f t="shared" si="205"/>
        <v>0</v>
      </c>
      <c r="AP60" s="36">
        <f t="shared" si="205"/>
        <v>0</v>
      </c>
      <c r="AQ60" s="36">
        <f t="shared" si="205"/>
        <v>0</v>
      </c>
      <c r="AR60" s="36">
        <f t="shared" si="205"/>
        <v>0</v>
      </c>
      <c r="AS60" s="31" t="str">
        <f t="shared" si="249"/>
        <v>SimulationStorage,1,</v>
      </c>
      <c r="AT60" s="31" t="str">
        <f t="shared" si="250"/>
        <v>AnalysisStorage,1,</v>
      </c>
      <c r="AU60" s="31" t="str">
        <f t="shared" si="251"/>
        <v>LogRuleEvaluation,0,</v>
      </c>
      <c r="AV60" s="31" t="str">
        <f t="shared" si="252"/>
        <v>ParallelSimulations,1,</v>
      </c>
      <c r="AW60" s="31" t="str">
        <f t="shared" si="253"/>
        <v>DurationStats,0,</v>
      </c>
      <c r="AX60" s="31" t="str">
        <f t="shared" si="254"/>
        <v>AnalysisThruStep,8,</v>
      </c>
      <c r="AY60" s="31" t="str">
        <f t="shared" si="255"/>
        <v>DontAbortOnErrorsThruStep,8,</v>
      </c>
      <c r="AZ60" s="31" t="str">
        <f t="shared" si="256"/>
        <v>BypassValidFileChecks,1,</v>
      </c>
      <c r="BA60" s="31" t="str">
        <f t="shared" si="257"/>
        <v>BypassInputChecks,0,</v>
      </c>
      <c r="BB60" s="31" t="str">
        <f t="shared" si="258"/>
        <v>BypassUMLHChecks,0,</v>
      </c>
      <c r="BC60" s="31" t="str">
        <f t="shared" si="259"/>
        <v>BypassCheckSimRules,0,</v>
      </c>
      <c r="BD60" s="31" t="str">
        <f t="shared" si="260"/>
        <v>BypassCheckCodeRules,0,</v>
      </c>
      <c r="BE60" s="31" t="str">
        <f t="shared" si="261"/>
        <v>StoreResultsToModelInput,1,</v>
      </c>
      <c r="BF60" s="31" t="str">
        <f t="shared" si="262"/>
        <v>StoreBEMDetails,0,</v>
      </c>
      <c r="BG60" s="31" t="str">
        <f t="shared" si="263"/>
        <v>ModelRpt_ALL,1,</v>
      </c>
      <c r="BH60" s="31" t="str">
        <f t="shared" si="264"/>
        <v>ExportHourlyResults_All,0,</v>
      </c>
      <c r="BI60" s="31" t="str">
        <f t="shared" si="265"/>
        <v>ComplianceReportPDF,0,</v>
      </c>
      <c r="BJ60" s="31" t="str">
        <f t="shared" si="266"/>
        <v>ComplianceReportXML,0,</v>
      </c>
      <c r="BK60" s="31" t="str">
        <f t="shared" si="267"/>
        <v>QuickAnalysis,0,</v>
      </c>
      <c r="BL60" s="31" t="str">
        <f t="shared" si="268"/>
        <v>PromptUserUMLHWarning,0,</v>
      </c>
      <c r="BM60" s="31" t="str">
        <f t="shared" si="269"/>
        <v>BypassOpenStudio_all,0,</v>
      </c>
      <c r="BN60" s="31" t="str">
        <f t="shared" si="270"/>
        <v>BypassOpenStudio_zp,0,</v>
      </c>
      <c r="BO60" s="31" t="str">
        <f t="shared" si="271"/>
        <v>BypassOpenStudio_zb,0,</v>
      </c>
      <c r="BP60" s="31" t="str">
        <f t="shared" si="272"/>
        <v>BypassOpenStudio_ap,0,</v>
      </c>
      <c r="BQ60" s="31" t="str">
        <f t="shared" si="273"/>
        <v>BypassOpenStudio_ab,0,</v>
      </c>
      <c r="BR60" s="31" t="str">
        <f t="shared" si="274"/>
        <v>BypassOpenStudio_zp,0,</v>
      </c>
      <c r="BS60" s="31" t="str">
        <f t="shared" si="275"/>
        <v>BypassOpenStudio_zb,0,</v>
      </c>
      <c r="BT60" s="31" t="str">
        <f t="shared" si="276"/>
        <v>BypassOpenStudio_ap,0,</v>
      </c>
      <c r="BU60" s="31" t="str">
        <f t="shared" si="277"/>
        <v>BypassOpenStudio_ab,0,</v>
      </c>
    </row>
    <row r="61" spans="1:74" hidden="1" outlineLevel="1" x14ac:dyDescent="0.25">
      <c r="A61" s="39">
        <f t="shared" si="246"/>
        <v>0</v>
      </c>
      <c r="B61" s="27" t="str">
        <f t="shared" si="173"/>
        <v>OtherTests2016\x.cibd16</v>
      </c>
      <c r="C61" s="27" t="str">
        <f t="shared" si="174"/>
        <v>BatchOut_171026_r5178_FinalRel-v3-SSTSG_OT\x.cibd16</v>
      </c>
      <c r="D61" s="27" t="str">
        <f t="shared" si="175"/>
        <v>BatchOut_171026_r5178_FinalRel-v3-SSTSG_OT\XML\</v>
      </c>
      <c r="E61" s="9" t="str">
        <f t="shared" si="247"/>
        <v>x</v>
      </c>
      <c r="F61" s="22"/>
      <c r="G61" s="29"/>
      <c r="H61" s="23"/>
      <c r="I61" s="9" t="s">
        <v>11</v>
      </c>
      <c r="J61" s="87" t="str">
        <f t="shared" si="24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1" s="15" t="s">
        <v>1</v>
      </c>
      <c r="L61" s="92">
        <f t="shared" si="180"/>
        <v>0</v>
      </c>
      <c r="M61" s="32" t="str">
        <f t="shared" si="201"/>
        <v>x</v>
      </c>
      <c r="N61" s="90" t="s">
        <v>149</v>
      </c>
      <c r="O61" s="28" t="str">
        <f t="shared" si="178"/>
        <v>x</v>
      </c>
      <c r="P61" s="36">
        <f t="shared" si="179"/>
        <v>1</v>
      </c>
      <c r="Q61" s="36">
        <f t="shared" si="179"/>
        <v>1</v>
      </c>
      <c r="R61" s="36">
        <f t="shared" si="179"/>
        <v>0</v>
      </c>
      <c r="S61" s="36">
        <f t="shared" si="179"/>
        <v>1</v>
      </c>
      <c r="T61" s="36">
        <f t="shared" si="179"/>
        <v>0</v>
      </c>
      <c r="U61" s="36">
        <f t="shared" si="179"/>
        <v>8</v>
      </c>
      <c r="V61" s="36">
        <f t="shared" si="179"/>
        <v>8</v>
      </c>
      <c r="W61" s="36">
        <f t="shared" si="179"/>
        <v>1</v>
      </c>
      <c r="X61" s="36">
        <f t="shared" si="179"/>
        <v>0</v>
      </c>
      <c r="Y61" s="36">
        <f t="shared" si="179"/>
        <v>0</v>
      </c>
      <c r="Z61" s="36">
        <f t="shared" si="179"/>
        <v>0</v>
      </c>
      <c r="AA61" s="36">
        <f t="shared" si="179"/>
        <v>0</v>
      </c>
      <c r="AB61" s="36">
        <f t="shared" si="179"/>
        <v>1</v>
      </c>
      <c r="AC61" s="36">
        <f t="shared" si="179"/>
        <v>0</v>
      </c>
      <c r="AD61" s="36">
        <f t="shared" si="179"/>
        <v>1</v>
      </c>
      <c r="AE61" s="36">
        <f t="shared" si="179"/>
        <v>0</v>
      </c>
      <c r="AF61" s="36">
        <f t="shared" si="204"/>
        <v>0</v>
      </c>
      <c r="AG61" s="36">
        <f t="shared" si="204"/>
        <v>0</v>
      </c>
      <c r="AH61" s="36">
        <f t="shared" si="204"/>
        <v>0</v>
      </c>
      <c r="AI61" s="36">
        <f t="shared" si="204"/>
        <v>0</v>
      </c>
      <c r="AJ61" s="36">
        <f t="shared" si="205"/>
        <v>0</v>
      </c>
      <c r="AK61" s="36">
        <f t="shared" si="205"/>
        <v>0</v>
      </c>
      <c r="AL61" s="36">
        <f t="shared" si="205"/>
        <v>0</v>
      </c>
      <c r="AM61" s="36">
        <f t="shared" si="205"/>
        <v>0</v>
      </c>
      <c r="AN61" s="36">
        <f t="shared" si="205"/>
        <v>0</v>
      </c>
      <c r="AO61" s="36">
        <f t="shared" si="205"/>
        <v>0</v>
      </c>
      <c r="AP61" s="36">
        <f t="shared" si="205"/>
        <v>0</v>
      </c>
      <c r="AQ61" s="36">
        <f t="shared" si="205"/>
        <v>0</v>
      </c>
      <c r="AR61" s="36">
        <f t="shared" si="205"/>
        <v>0</v>
      </c>
      <c r="AS61" s="31" t="str">
        <f t="shared" si="249"/>
        <v>SimulationStorage,1,</v>
      </c>
      <c r="AT61" s="31" t="str">
        <f t="shared" si="250"/>
        <v>AnalysisStorage,1,</v>
      </c>
      <c r="AU61" s="31" t="str">
        <f t="shared" si="251"/>
        <v>LogRuleEvaluation,0,</v>
      </c>
      <c r="AV61" s="31" t="str">
        <f t="shared" si="252"/>
        <v>ParallelSimulations,1,</v>
      </c>
      <c r="AW61" s="31" t="str">
        <f t="shared" si="253"/>
        <v>DurationStats,0,</v>
      </c>
      <c r="AX61" s="31" t="str">
        <f t="shared" si="254"/>
        <v>AnalysisThruStep,8,</v>
      </c>
      <c r="AY61" s="31" t="str">
        <f t="shared" si="255"/>
        <v>DontAbortOnErrorsThruStep,8,</v>
      </c>
      <c r="AZ61" s="31" t="str">
        <f t="shared" si="256"/>
        <v>BypassValidFileChecks,1,</v>
      </c>
      <c r="BA61" s="31" t="str">
        <f t="shared" si="257"/>
        <v>BypassInputChecks,0,</v>
      </c>
      <c r="BB61" s="31" t="str">
        <f t="shared" si="258"/>
        <v>BypassUMLHChecks,0,</v>
      </c>
      <c r="BC61" s="31" t="str">
        <f t="shared" si="259"/>
        <v>BypassCheckSimRules,0,</v>
      </c>
      <c r="BD61" s="31" t="str">
        <f t="shared" si="260"/>
        <v>BypassCheckCodeRules,0,</v>
      </c>
      <c r="BE61" s="31" t="str">
        <f t="shared" si="261"/>
        <v>StoreResultsToModelInput,1,</v>
      </c>
      <c r="BF61" s="31" t="str">
        <f t="shared" si="262"/>
        <v>StoreBEMDetails,0,</v>
      </c>
      <c r="BG61" s="31" t="str">
        <f t="shared" si="263"/>
        <v>ModelRpt_ALL,1,</v>
      </c>
      <c r="BH61" s="31" t="str">
        <f t="shared" si="264"/>
        <v>ExportHourlyResults_All,0,</v>
      </c>
      <c r="BI61" s="31" t="str">
        <f t="shared" si="265"/>
        <v>ComplianceReportPDF,0,</v>
      </c>
      <c r="BJ61" s="31" t="str">
        <f t="shared" si="266"/>
        <v>ComplianceReportXML,0,</v>
      </c>
      <c r="BK61" s="31" t="str">
        <f t="shared" si="267"/>
        <v>QuickAnalysis,0,</v>
      </c>
      <c r="BL61" s="31" t="str">
        <f t="shared" si="268"/>
        <v>PromptUserUMLHWarning,0,</v>
      </c>
      <c r="BM61" s="31" t="str">
        <f t="shared" si="269"/>
        <v>BypassOpenStudio_all,0,</v>
      </c>
      <c r="BN61" s="31" t="str">
        <f t="shared" si="270"/>
        <v>BypassOpenStudio_zp,0,</v>
      </c>
      <c r="BO61" s="31" t="str">
        <f t="shared" si="271"/>
        <v>BypassOpenStudio_zb,0,</v>
      </c>
      <c r="BP61" s="31" t="str">
        <f t="shared" si="272"/>
        <v>BypassOpenStudio_ap,0,</v>
      </c>
      <c r="BQ61" s="31" t="str">
        <f t="shared" si="273"/>
        <v>BypassOpenStudio_ab,0,</v>
      </c>
      <c r="BR61" s="31" t="str">
        <f t="shared" si="274"/>
        <v>BypassOpenStudio_zp,0,</v>
      </c>
      <c r="BS61" s="31" t="str">
        <f t="shared" si="275"/>
        <v>BypassOpenStudio_zb,0,</v>
      </c>
      <c r="BT61" s="31" t="str">
        <f t="shared" si="276"/>
        <v>BypassOpenStudio_ap,0,</v>
      </c>
      <c r="BU61" s="31" t="str">
        <f t="shared" si="277"/>
        <v>BypassOpenStudio_ab,0,</v>
      </c>
    </row>
    <row r="62" spans="1:74" hidden="1" outlineLevel="1" x14ac:dyDescent="0.25">
      <c r="A62" s="39">
        <f t="shared" si="246"/>
        <v>0</v>
      </c>
      <c r="B62" s="27" t="str">
        <f t="shared" si="173"/>
        <v>OtherTests2016\x.cibd16</v>
      </c>
      <c r="C62" s="27" t="str">
        <f t="shared" si="174"/>
        <v>BatchOut_171026_r5178_FinalRel-v3-SSTSG_OT\x.cibd16</v>
      </c>
      <c r="D62" s="27" t="str">
        <f t="shared" si="175"/>
        <v>BatchOut_171026_r5178_FinalRel-v3-SSTSG_OT\XML\</v>
      </c>
      <c r="E62" s="9" t="str">
        <f t="shared" si="247"/>
        <v>x</v>
      </c>
      <c r="F62" s="22"/>
      <c r="G62" s="29"/>
      <c r="H62" s="23"/>
      <c r="I62" s="9" t="s">
        <v>11</v>
      </c>
      <c r="J62" s="87" t="str">
        <f t="shared" si="248"/>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2" s="15" t="s">
        <v>1</v>
      </c>
      <c r="L62" s="92">
        <f t="shared" si="180"/>
        <v>0</v>
      </c>
      <c r="M62" s="32" t="str">
        <f t="shared" si="201"/>
        <v>x</v>
      </c>
      <c r="N62" s="90" t="s">
        <v>149</v>
      </c>
      <c r="O62" s="28" t="str">
        <f t="shared" si="178"/>
        <v>x</v>
      </c>
      <c r="P62" s="36">
        <f t="shared" si="179"/>
        <v>1</v>
      </c>
      <c r="Q62" s="36">
        <f t="shared" si="179"/>
        <v>1</v>
      </c>
      <c r="R62" s="36">
        <f t="shared" si="179"/>
        <v>0</v>
      </c>
      <c r="S62" s="36">
        <f t="shared" si="179"/>
        <v>1</v>
      </c>
      <c r="T62" s="36">
        <f t="shared" si="179"/>
        <v>0</v>
      </c>
      <c r="U62" s="36">
        <f t="shared" si="179"/>
        <v>8</v>
      </c>
      <c r="V62" s="36">
        <f t="shared" si="179"/>
        <v>8</v>
      </c>
      <c r="W62" s="36">
        <f t="shared" si="179"/>
        <v>1</v>
      </c>
      <c r="X62" s="36">
        <f t="shared" si="179"/>
        <v>0</v>
      </c>
      <c r="Y62" s="36">
        <f t="shared" si="179"/>
        <v>0</v>
      </c>
      <c r="Z62" s="36">
        <f t="shared" si="179"/>
        <v>0</v>
      </c>
      <c r="AA62" s="36">
        <f t="shared" si="179"/>
        <v>0</v>
      </c>
      <c r="AB62" s="36">
        <f t="shared" si="179"/>
        <v>1</v>
      </c>
      <c r="AC62" s="36">
        <f t="shared" si="179"/>
        <v>0</v>
      </c>
      <c r="AD62" s="36">
        <f t="shared" si="179"/>
        <v>1</v>
      </c>
      <c r="AE62" s="36">
        <f t="shared" si="179"/>
        <v>0</v>
      </c>
      <c r="AF62" s="36">
        <f t="shared" si="204"/>
        <v>0</v>
      </c>
      <c r="AG62" s="36">
        <f t="shared" si="204"/>
        <v>0</v>
      </c>
      <c r="AH62" s="36">
        <f t="shared" si="204"/>
        <v>0</v>
      </c>
      <c r="AI62" s="36">
        <f t="shared" si="204"/>
        <v>0</v>
      </c>
      <c r="AJ62" s="36">
        <f t="shared" si="205"/>
        <v>0</v>
      </c>
      <c r="AK62" s="36">
        <f t="shared" si="205"/>
        <v>0</v>
      </c>
      <c r="AL62" s="36">
        <f t="shared" si="205"/>
        <v>0</v>
      </c>
      <c r="AM62" s="36">
        <f t="shared" si="205"/>
        <v>0</v>
      </c>
      <c r="AN62" s="36">
        <f t="shared" si="205"/>
        <v>0</v>
      </c>
      <c r="AO62" s="36">
        <f t="shared" si="205"/>
        <v>0</v>
      </c>
      <c r="AP62" s="36">
        <f t="shared" si="205"/>
        <v>0</v>
      </c>
      <c r="AQ62" s="36">
        <f t="shared" si="205"/>
        <v>0</v>
      </c>
      <c r="AR62" s="36">
        <f t="shared" si="205"/>
        <v>0</v>
      </c>
      <c r="AS62" s="31" t="str">
        <f t="shared" si="249"/>
        <v>SimulationStorage,1,</v>
      </c>
      <c r="AT62" s="31" t="str">
        <f t="shared" si="250"/>
        <v>AnalysisStorage,1,</v>
      </c>
      <c r="AU62" s="31" t="str">
        <f t="shared" si="251"/>
        <v>LogRuleEvaluation,0,</v>
      </c>
      <c r="AV62" s="31" t="str">
        <f t="shared" si="252"/>
        <v>ParallelSimulations,1,</v>
      </c>
      <c r="AW62" s="31" t="str">
        <f t="shared" si="253"/>
        <v>DurationStats,0,</v>
      </c>
      <c r="AX62" s="31" t="str">
        <f t="shared" si="254"/>
        <v>AnalysisThruStep,8,</v>
      </c>
      <c r="AY62" s="31" t="str">
        <f t="shared" si="255"/>
        <v>DontAbortOnErrorsThruStep,8,</v>
      </c>
      <c r="AZ62" s="31" t="str">
        <f t="shared" si="256"/>
        <v>BypassValidFileChecks,1,</v>
      </c>
      <c r="BA62" s="31" t="str">
        <f t="shared" si="257"/>
        <v>BypassInputChecks,0,</v>
      </c>
      <c r="BB62" s="31" t="str">
        <f t="shared" si="258"/>
        <v>BypassUMLHChecks,0,</v>
      </c>
      <c r="BC62" s="31" t="str">
        <f t="shared" si="259"/>
        <v>BypassCheckSimRules,0,</v>
      </c>
      <c r="BD62" s="31" t="str">
        <f t="shared" si="260"/>
        <v>BypassCheckCodeRules,0,</v>
      </c>
      <c r="BE62" s="31" t="str">
        <f t="shared" si="261"/>
        <v>StoreResultsToModelInput,1,</v>
      </c>
      <c r="BF62" s="31" t="str">
        <f t="shared" si="262"/>
        <v>StoreBEMDetails,0,</v>
      </c>
      <c r="BG62" s="31" t="str">
        <f t="shared" si="263"/>
        <v>ModelRpt_ALL,1,</v>
      </c>
      <c r="BH62" s="31" t="str">
        <f t="shared" si="264"/>
        <v>ExportHourlyResults_All,0,</v>
      </c>
      <c r="BI62" s="31" t="str">
        <f t="shared" si="265"/>
        <v>ComplianceReportPDF,0,</v>
      </c>
      <c r="BJ62" s="31" t="str">
        <f t="shared" si="266"/>
        <v>ComplianceReportXML,0,</v>
      </c>
      <c r="BK62" s="31" t="str">
        <f t="shared" si="267"/>
        <v>QuickAnalysis,0,</v>
      </c>
      <c r="BL62" s="31" t="str">
        <f t="shared" si="268"/>
        <v>PromptUserUMLHWarning,0,</v>
      </c>
      <c r="BM62" s="31" t="str">
        <f t="shared" si="269"/>
        <v>BypassOpenStudio_all,0,</v>
      </c>
      <c r="BN62" s="31" t="str">
        <f t="shared" si="270"/>
        <v>BypassOpenStudio_zp,0,</v>
      </c>
      <c r="BO62" s="31" t="str">
        <f t="shared" si="271"/>
        <v>BypassOpenStudio_zb,0,</v>
      </c>
      <c r="BP62" s="31" t="str">
        <f t="shared" si="272"/>
        <v>BypassOpenStudio_ap,0,</v>
      </c>
      <c r="BQ62" s="31" t="str">
        <f t="shared" si="273"/>
        <v>BypassOpenStudio_ab,0,</v>
      </c>
      <c r="BR62" s="31" t="str">
        <f t="shared" si="274"/>
        <v>BypassOpenStudio_zp,0,</v>
      </c>
      <c r="BS62" s="31" t="str">
        <f t="shared" si="275"/>
        <v>BypassOpenStudio_zb,0,</v>
      </c>
      <c r="BT62" s="31" t="str">
        <f t="shared" si="276"/>
        <v>BypassOpenStudio_ap,0,</v>
      </c>
      <c r="BU62" s="31" t="str">
        <f t="shared" si="277"/>
        <v>BypassOpenStudio_ab,0,</v>
      </c>
    </row>
    <row r="63" spans="1:74" hidden="1" outlineLevel="1" x14ac:dyDescent="0.25">
      <c r="A63" s="39">
        <f t="shared" si="141"/>
        <v>0</v>
      </c>
      <c r="B63" s="27" t="str">
        <f t="shared" si="173"/>
        <v>OtherTests2016\.cibd16</v>
      </c>
      <c r="C63" s="27" t="str">
        <f t="shared" si="174"/>
        <v>BatchOut_171026_r5178_FinalRel-v3-SSTSG_OT\0.cibd16</v>
      </c>
      <c r="D63" s="27" t="str">
        <f t="shared" si="175"/>
        <v>BatchOut_171026_r5178_FinalRel-v3-SSTSG_OT\XML\</v>
      </c>
      <c r="E63" s="9" t="str">
        <f t="shared" si="176"/>
        <v/>
      </c>
      <c r="F63" s="22"/>
      <c r="G63" s="29"/>
      <c r="H63" s="23"/>
      <c r="I63" s="9" t="s">
        <v>11</v>
      </c>
      <c r="J63" s="87" t="str">
        <f t="shared" si="14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3" s="15" t="s">
        <v>1</v>
      </c>
      <c r="L63" s="36">
        <v>0</v>
      </c>
      <c r="M63" s="32" t="str">
        <f t="shared" ref="M63" si="282">LEFT(N63,6)&amp;IF(SUM(F63:H63)&gt;0,"_autosize","")</f>
        <v/>
      </c>
      <c r="N63" s="28"/>
      <c r="O63" s="28">
        <f t="shared" si="178"/>
        <v>0</v>
      </c>
      <c r="P63" s="36">
        <f t="shared" si="179"/>
        <v>1</v>
      </c>
      <c r="Q63" s="36">
        <f t="shared" si="179"/>
        <v>1</v>
      </c>
      <c r="R63" s="36">
        <f t="shared" si="179"/>
        <v>0</v>
      </c>
      <c r="S63" s="36">
        <f t="shared" si="179"/>
        <v>1</v>
      </c>
      <c r="T63" s="36">
        <f t="shared" si="179"/>
        <v>0</v>
      </c>
      <c r="U63" s="36">
        <f t="shared" si="179"/>
        <v>8</v>
      </c>
      <c r="V63" s="36">
        <f t="shared" si="179"/>
        <v>8</v>
      </c>
      <c r="W63" s="36">
        <f t="shared" si="179"/>
        <v>1</v>
      </c>
      <c r="X63" s="36">
        <f t="shared" si="179"/>
        <v>0</v>
      </c>
      <c r="Y63" s="36">
        <f t="shared" si="179"/>
        <v>0</v>
      </c>
      <c r="Z63" s="36">
        <f t="shared" si="179"/>
        <v>0</v>
      </c>
      <c r="AA63" s="36">
        <f t="shared" si="179"/>
        <v>0</v>
      </c>
      <c r="AB63" s="36">
        <f t="shared" si="179"/>
        <v>1</v>
      </c>
      <c r="AC63" s="36">
        <f t="shared" si="179"/>
        <v>0</v>
      </c>
      <c r="AD63" s="36">
        <f t="shared" si="179"/>
        <v>1</v>
      </c>
      <c r="AE63" s="36">
        <f t="shared" si="179"/>
        <v>0</v>
      </c>
      <c r="AF63" s="36">
        <f t="shared" si="204"/>
        <v>0</v>
      </c>
      <c r="AG63" s="36">
        <f t="shared" si="204"/>
        <v>0</v>
      </c>
      <c r="AH63" s="36">
        <f t="shared" si="204"/>
        <v>0</v>
      </c>
      <c r="AI63" s="36">
        <f t="shared" si="204"/>
        <v>0</v>
      </c>
      <c r="AJ63" s="36">
        <f t="shared" si="205"/>
        <v>0</v>
      </c>
      <c r="AK63" s="36">
        <f t="shared" si="205"/>
        <v>0</v>
      </c>
      <c r="AL63" s="36">
        <f t="shared" si="205"/>
        <v>0</v>
      </c>
      <c r="AM63" s="36">
        <f t="shared" si="205"/>
        <v>0</v>
      </c>
      <c r="AN63" s="36">
        <f t="shared" si="205"/>
        <v>0</v>
      </c>
      <c r="AO63" s="36">
        <f t="shared" si="205"/>
        <v>0</v>
      </c>
      <c r="AP63" s="36">
        <f t="shared" si="205"/>
        <v>0</v>
      </c>
      <c r="AQ63" s="36">
        <f t="shared" si="205"/>
        <v>0</v>
      </c>
      <c r="AR63" s="36">
        <f t="shared" si="205"/>
        <v>0</v>
      </c>
      <c r="AS63" s="31" t="str">
        <f t="shared" si="145"/>
        <v>SimulationStorage,1,</v>
      </c>
      <c r="AT63" s="31" t="str">
        <f t="shared" si="146"/>
        <v>AnalysisStorage,1,</v>
      </c>
      <c r="AU63" s="31" t="str">
        <f t="shared" si="147"/>
        <v>LogRuleEvaluation,0,</v>
      </c>
      <c r="AV63" s="31" t="str">
        <f t="shared" si="148"/>
        <v>ParallelSimulations,1,</v>
      </c>
      <c r="AW63" s="31" t="str">
        <f t="shared" si="149"/>
        <v>DurationStats,0,</v>
      </c>
      <c r="AX63" s="31" t="str">
        <f t="shared" si="150"/>
        <v>AnalysisThruStep,8,</v>
      </c>
      <c r="AY63" s="31" t="str">
        <f t="shared" si="151"/>
        <v>DontAbortOnErrorsThruStep,8,</v>
      </c>
      <c r="AZ63" s="31" t="str">
        <f t="shared" si="152"/>
        <v>BypassValidFileChecks,1,</v>
      </c>
      <c r="BA63" s="31" t="str">
        <f t="shared" si="153"/>
        <v>BypassInputChecks,0,</v>
      </c>
      <c r="BB63" s="31" t="str">
        <f t="shared" si="154"/>
        <v>BypassUMLHChecks,0,</v>
      </c>
      <c r="BC63" s="31" t="str">
        <f t="shared" si="155"/>
        <v>BypassCheckSimRules,0,</v>
      </c>
      <c r="BD63" s="31" t="str">
        <f t="shared" si="156"/>
        <v>BypassCheckCodeRules,0,</v>
      </c>
      <c r="BE63" s="31" t="str">
        <f t="shared" si="157"/>
        <v>StoreResultsToModelInput,1,</v>
      </c>
      <c r="BF63" s="31" t="str">
        <f t="shared" si="158"/>
        <v>StoreBEMDetails,0,</v>
      </c>
      <c r="BG63" s="31" t="str">
        <f t="shared" si="159"/>
        <v>ModelRpt_ALL,1,</v>
      </c>
      <c r="BH63" s="31" t="str">
        <f t="shared" si="160"/>
        <v>ExportHourlyResults_All,0,</v>
      </c>
      <c r="BI63" s="31" t="str">
        <f t="shared" si="161"/>
        <v>ComplianceReportPDF,0,</v>
      </c>
      <c r="BJ63" s="31" t="str">
        <f t="shared" si="162"/>
        <v>ComplianceReportXML,0,</v>
      </c>
      <c r="BK63" s="31" t="str">
        <f t="shared" si="163"/>
        <v>QuickAnalysis,0,</v>
      </c>
      <c r="BL63" s="31" t="str">
        <f t="shared" si="163"/>
        <v>PromptUserUMLHWarning,0,</v>
      </c>
      <c r="BM63" s="31" t="str">
        <f t="shared" si="164"/>
        <v>BypassOpenStudio_all,0,</v>
      </c>
      <c r="BN63" s="31" t="str">
        <f t="shared" si="165"/>
        <v>BypassOpenStudio_zp,0,</v>
      </c>
      <c r="BO63" s="31" t="str">
        <f t="shared" si="166"/>
        <v>BypassOpenStudio_zb,0,</v>
      </c>
      <c r="BP63" s="31" t="str">
        <f t="shared" si="167"/>
        <v>BypassOpenStudio_ap,0,</v>
      </c>
      <c r="BQ63" s="31" t="str">
        <f t="shared" si="168"/>
        <v>BypassOpenStudio_ab,0,</v>
      </c>
      <c r="BR63" s="31" t="str">
        <f t="shared" si="169"/>
        <v>BypassOpenStudio_zp,0,</v>
      </c>
      <c r="BS63" s="31" t="str">
        <f t="shared" si="170"/>
        <v>BypassOpenStudio_zb,0,</v>
      </c>
      <c r="BT63" s="31" t="str">
        <f t="shared" si="171"/>
        <v>BypassOpenStudio_ap,0,</v>
      </c>
      <c r="BU63" s="31" t="str">
        <f t="shared" si="172"/>
        <v>BypassOpenStudio_ab,0,</v>
      </c>
    </row>
    <row r="64" spans="1:74" customFormat="1" collapsed="1" x14ac:dyDescent="0.25">
      <c r="A64" t="s">
        <v>1</v>
      </c>
      <c r="J64" s="83"/>
      <c r="K64" s="15"/>
      <c r="L64" s="5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row>
    <row r="65" spans="1:74" x14ac:dyDescent="0.25">
      <c r="A65" s="1" t="s">
        <v>1</v>
      </c>
      <c r="B65"/>
      <c r="C65"/>
      <c r="D65" s="30"/>
      <c r="E65" s="16"/>
      <c r="F65" s="16"/>
      <c r="G65" s="16"/>
      <c r="H65" s="16"/>
      <c r="K65" s="15"/>
      <c r="L65" s="36" t="s">
        <v>142</v>
      </c>
      <c r="M65" t="s">
        <v>141</v>
      </c>
      <c r="N65" s="1">
        <f>SUM(L73:L108)</f>
        <v>0</v>
      </c>
    </row>
    <row r="66" spans="1:74" x14ac:dyDescent="0.25">
      <c r="A66" s="1" t="s">
        <v>1</v>
      </c>
      <c r="B66"/>
      <c r="C66"/>
      <c r="D66" s="30"/>
      <c r="K66" s="15"/>
      <c r="L66" s="37" t="s">
        <v>45</v>
      </c>
      <c r="M66" s="53">
        <f>$M$7</f>
        <v>171026</v>
      </c>
    </row>
    <row r="67" spans="1:74" x14ac:dyDescent="0.25">
      <c r="A67" s="1" t="s">
        <v>1</v>
      </c>
      <c r="B67"/>
      <c r="C67"/>
      <c r="D67" s="30"/>
      <c r="K67" s="15"/>
      <c r="L67" s="14" t="s">
        <v>46</v>
      </c>
      <c r="M67" s="53" t="str">
        <f>$M$8</f>
        <v>r5178_FinalRel-v3-SSTSG</v>
      </c>
      <c r="N67" s="52"/>
    </row>
    <row r="68" spans="1:74" x14ac:dyDescent="0.25">
      <c r="A68" s="1" t="s">
        <v>1</v>
      </c>
      <c r="B68"/>
      <c r="C68"/>
      <c r="D68" s="30"/>
      <c r="E68" s="30"/>
      <c r="F68" s="30"/>
      <c r="G68" s="30"/>
      <c r="H68" s="30"/>
      <c r="I68" s="26"/>
      <c r="K68" s="15"/>
      <c r="L68" s="35" t="s">
        <v>39</v>
      </c>
      <c r="M68" s="53" t="str">
        <f>$M$10</f>
        <v>BatchResults_171026_r5178_FinalRel-v3-SSTSG.csv</v>
      </c>
      <c r="N68" s="1" t="s">
        <v>48</v>
      </c>
    </row>
    <row r="69" spans="1:74" x14ac:dyDescent="0.25">
      <c r="A69" s="1" t="s">
        <v>1</v>
      </c>
      <c r="K69" s="15"/>
      <c r="L69" s="14" t="s">
        <v>16</v>
      </c>
      <c r="M69" s="28" t="s">
        <v>159</v>
      </c>
      <c r="N69" s="1" t="s">
        <v>47</v>
      </c>
      <c r="AJ69" s="95"/>
      <c r="AK69" s="95"/>
      <c r="AL69" s="95"/>
      <c r="AM69" s="95"/>
      <c r="AN69" s="95"/>
      <c r="AO69" s="95"/>
      <c r="AP69" s="95"/>
      <c r="AQ69" s="95"/>
      <c r="AR69" s="95"/>
    </row>
    <row r="70" spans="1:74" x14ac:dyDescent="0.25">
      <c r="A70" s="1" t="s">
        <v>1</v>
      </c>
      <c r="K70" s="15"/>
      <c r="L70" s="14" t="s">
        <v>17</v>
      </c>
      <c r="M70" s="54" t="str">
        <f>"BatchOut"&amp;"_"&amp;M66&amp;"_"&amp;M67&amp;"_"&amp;L65&amp;"\"</f>
        <v>BatchOut_171026_r5178_FinalRel-v3-SSTSG_RIc\</v>
      </c>
      <c r="N70" s="1" t="s">
        <v>47</v>
      </c>
    </row>
    <row r="71" spans="1:74" x14ac:dyDescent="0.25">
      <c r="A71" s="1" t="s">
        <v>1</v>
      </c>
      <c r="K71" s="15"/>
      <c r="L71" s="14" t="s">
        <v>42</v>
      </c>
      <c r="M71" s="54" t="str">
        <f>M70&amp;"XML\"</f>
        <v>BatchOut_171026_r5178_FinalRel-v3-SSTSG_RIc\XML\</v>
      </c>
      <c r="N71" s="1" t="s">
        <v>47</v>
      </c>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row>
    <row r="72" spans="1:74" s="46" customFormat="1" x14ac:dyDescent="0.25">
      <c r="A72" s="12" t="s">
        <v>1</v>
      </c>
      <c r="B72" s="8"/>
      <c r="C72" s="8"/>
      <c r="D72" s="8"/>
      <c r="E72" s="8"/>
      <c r="F72" s="19"/>
      <c r="G72" s="21"/>
      <c r="H72" s="20"/>
      <c r="I72" s="8"/>
      <c r="J72" s="86"/>
      <c r="K72" s="15"/>
      <c r="L72" s="42"/>
      <c r="M72" s="43"/>
      <c r="N72" s="40"/>
      <c r="O72" s="40"/>
      <c r="P72" s="56"/>
      <c r="Q72" s="56"/>
      <c r="R72" s="44"/>
      <c r="S72" s="44"/>
      <c r="T72" s="44"/>
      <c r="U72" s="44"/>
      <c r="V72" s="45"/>
      <c r="W72" s="44"/>
      <c r="X72" s="44"/>
      <c r="Y72" s="44"/>
      <c r="Z72" s="44"/>
      <c r="AA72" s="44"/>
      <c r="AB72" s="44"/>
      <c r="AC72" s="44"/>
      <c r="AD72" s="45"/>
      <c r="AE72" s="45"/>
      <c r="AF72" s="45"/>
      <c r="AG72" s="45"/>
      <c r="AH72" s="45"/>
      <c r="AI72" s="45"/>
      <c r="AJ72" s="43"/>
      <c r="AK72" s="43"/>
      <c r="AL72" s="43"/>
      <c r="AM72" s="43"/>
      <c r="AN72" s="43"/>
      <c r="AO72" s="43"/>
      <c r="AP72" s="43"/>
      <c r="AQ72" s="43"/>
      <c r="AR72" s="43"/>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row>
    <row r="73" spans="1:74" x14ac:dyDescent="0.25">
      <c r="A73" s="39">
        <f t="shared" ref="A73:A88" si="283">L73</f>
        <v>0</v>
      </c>
      <c r="B73" s="27" t="str">
        <f>M$69&amp;N73&amp;"\"&amp;N73&amp;".cibd16"</f>
        <v>RulesetImplementation2016Tests\x\x.cibd16</v>
      </c>
      <c r="C73" s="27" t="str">
        <f xml:space="preserve"> M$70 &amp; O73 &amp; ".cibd16"</f>
        <v>BatchOut_171026_r5178_FinalRel-v3-SSTSG_RIc\x.cibd16</v>
      </c>
      <c r="D73" s="27" t="str">
        <f>$M$71</f>
        <v>BatchOut_171026_r5178_FinalRel-v3-SSTSG_RIc\XML\</v>
      </c>
      <c r="E73" s="9" t="str">
        <f>M73</f>
        <v>x</v>
      </c>
      <c r="F73" s="22"/>
      <c r="G73" s="29"/>
      <c r="H73" s="23" t="str">
        <f>IF(F73&gt;1,1,"")</f>
        <v/>
      </c>
      <c r="I73" s="9" t="s">
        <v>11</v>
      </c>
      <c r="J73" s="87" t="str">
        <f t="shared" ref="J73:J105" si="284">CONCATENATE(AS73,AT73,AU73,AV73,AW73,AX73,AY73,AZ73,BA73,BB73,BC73,BD73,BE73,BF73,BG73,BH73,BI73,BJ73,BK73,BL73,BM73,BN73,BO73,BP73,BQ73,BR73,BS73,BT73,BU73)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3" s="15" t="s">
        <v>1</v>
      </c>
      <c r="L73" s="36">
        <v>0</v>
      </c>
      <c r="M73" s="32" t="str">
        <f>N73</f>
        <v>x</v>
      </c>
      <c r="N73" s="90" t="s">
        <v>149</v>
      </c>
      <c r="O73" s="28" t="str">
        <f t="shared" ref="O73:O85" si="285">N73</f>
        <v>x</v>
      </c>
      <c r="P73" s="36">
        <f>P$17</f>
        <v>1</v>
      </c>
      <c r="Q73" s="36">
        <f t="shared" ref="Q73:AR73" si="286">Q$17</f>
        <v>1</v>
      </c>
      <c r="R73" s="36">
        <f t="shared" si="286"/>
        <v>0</v>
      </c>
      <c r="S73" s="36">
        <f t="shared" si="286"/>
        <v>1</v>
      </c>
      <c r="T73" s="36">
        <f t="shared" si="286"/>
        <v>0</v>
      </c>
      <c r="U73" s="36">
        <f t="shared" si="286"/>
        <v>8</v>
      </c>
      <c r="V73" s="36">
        <f t="shared" si="286"/>
        <v>8</v>
      </c>
      <c r="W73" s="36">
        <f t="shared" si="286"/>
        <v>1</v>
      </c>
      <c r="X73" s="36">
        <f t="shared" si="286"/>
        <v>0</v>
      </c>
      <c r="Y73" s="36">
        <f t="shared" si="286"/>
        <v>0</v>
      </c>
      <c r="Z73" s="36">
        <f t="shared" si="286"/>
        <v>0</v>
      </c>
      <c r="AA73" s="36">
        <f t="shared" si="286"/>
        <v>0</v>
      </c>
      <c r="AB73" s="36">
        <f t="shared" si="286"/>
        <v>1</v>
      </c>
      <c r="AC73" s="36">
        <f t="shared" si="286"/>
        <v>0</v>
      </c>
      <c r="AD73" s="36">
        <f t="shared" si="286"/>
        <v>1</v>
      </c>
      <c r="AE73" s="36">
        <f t="shared" si="286"/>
        <v>0</v>
      </c>
      <c r="AF73" s="36">
        <f t="shared" si="286"/>
        <v>0</v>
      </c>
      <c r="AG73" s="36">
        <f t="shared" si="286"/>
        <v>0</v>
      </c>
      <c r="AH73" s="36">
        <f t="shared" si="286"/>
        <v>0</v>
      </c>
      <c r="AI73" s="36">
        <f t="shared" si="286"/>
        <v>0</v>
      </c>
      <c r="AJ73" s="36">
        <f t="shared" si="286"/>
        <v>0</v>
      </c>
      <c r="AK73" s="36">
        <f t="shared" si="286"/>
        <v>0</v>
      </c>
      <c r="AL73" s="36">
        <f t="shared" si="286"/>
        <v>0</v>
      </c>
      <c r="AM73" s="36">
        <f t="shared" si="286"/>
        <v>0</v>
      </c>
      <c r="AN73" s="36">
        <f t="shared" si="286"/>
        <v>0</v>
      </c>
      <c r="AO73" s="36">
        <f t="shared" si="286"/>
        <v>0</v>
      </c>
      <c r="AP73" s="36">
        <f t="shared" si="286"/>
        <v>0</v>
      </c>
      <c r="AQ73" s="36">
        <f t="shared" si="286"/>
        <v>0</v>
      </c>
      <c r="AR73" s="36">
        <f t="shared" si="286"/>
        <v>0</v>
      </c>
      <c r="AS73" s="31" t="str">
        <f t="shared" ref="AS73:AS101" si="287">P$13&amp;P73&amp;","</f>
        <v>SimulationStorage,1,</v>
      </c>
      <c r="AT73" s="31" t="str">
        <f t="shared" ref="AT73:AT101" si="288">Q$13&amp;Q73&amp;","</f>
        <v>AnalysisStorage,1,</v>
      </c>
      <c r="AU73" s="31" t="str">
        <f t="shared" ref="AU73:AU101" si="289">R$13&amp;R73&amp;","</f>
        <v>LogRuleEvaluation,0,</v>
      </c>
      <c r="AV73" s="31" t="str">
        <f t="shared" ref="AV73:AV101" si="290">S$13&amp;S73&amp;","</f>
        <v>ParallelSimulations,1,</v>
      </c>
      <c r="AW73" s="31" t="str">
        <f t="shared" ref="AW73:AW101" si="291">T$13&amp;T73&amp;","</f>
        <v>DurationStats,0,</v>
      </c>
      <c r="AX73" s="31" t="str">
        <f t="shared" ref="AX73:AX101" si="292">U$13&amp;U73&amp;","</f>
        <v>AnalysisThruStep,8,</v>
      </c>
      <c r="AY73" s="31" t="str">
        <f t="shared" ref="AY73:AY101" si="293">V$13&amp;V73&amp;","</f>
        <v>DontAbortOnErrorsThruStep,8,</v>
      </c>
      <c r="AZ73" s="31" t="str">
        <f t="shared" ref="AZ73:AZ101" si="294">W$13&amp;W73&amp;","</f>
        <v>BypassValidFileChecks,1,</v>
      </c>
      <c r="BA73" s="31" t="str">
        <f t="shared" ref="BA73:BA101" si="295">X$13&amp;X73&amp;","</f>
        <v>BypassInputChecks,0,</v>
      </c>
      <c r="BB73" s="31" t="str">
        <f t="shared" ref="BB73:BB101" si="296">Y$13&amp;Y73&amp;","</f>
        <v>BypassUMLHChecks,0,</v>
      </c>
      <c r="BC73" s="31" t="str">
        <f t="shared" ref="BC73:BC101" si="297">Z$13&amp;Z73&amp;","</f>
        <v>BypassCheckSimRules,0,</v>
      </c>
      <c r="BD73" s="31" t="str">
        <f t="shared" ref="BD73:BD101" si="298">AA$13&amp;AA73&amp;","</f>
        <v>BypassCheckCodeRules,0,</v>
      </c>
      <c r="BE73" s="31" t="str">
        <f t="shared" ref="BE73:BE105" si="299">AB$13&amp;AB73&amp;","</f>
        <v>StoreResultsToModelInput,1,</v>
      </c>
      <c r="BF73" s="31" t="str">
        <f t="shared" ref="BF73:BF105" si="300">AC$13&amp;AC73&amp;","</f>
        <v>StoreBEMDetails,0,</v>
      </c>
      <c r="BG73" s="31" t="str">
        <f t="shared" ref="BG73:BG105" si="301">AD$13&amp;AD73&amp;","</f>
        <v>ModelRpt_ALL,1,</v>
      </c>
      <c r="BH73" s="31" t="str">
        <f t="shared" ref="BH73:BH105" si="302">AE$13&amp;AE73&amp;","</f>
        <v>ExportHourlyResults_All,0,</v>
      </c>
      <c r="BI73" s="31" t="str">
        <f t="shared" ref="BI73:BI105" si="303">AF$13&amp;AF73&amp;","</f>
        <v>ComplianceReportPDF,0,</v>
      </c>
      <c r="BJ73" s="31" t="str">
        <f t="shared" ref="BJ73:BJ105" si="304">AG$13&amp;AG73&amp;","</f>
        <v>ComplianceReportXML,0,</v>
      </c>
      <c r="BK73" s="31" t="str">
        <f t="shared" ref="BK73:BL105" si="305">AH$13&amp;AH73&amp;","</f>
        <v>QuickAnalysis,0,</v>
      </c>
      <c r="BL73" s="31" t="str">
        <f t="shared" si="305"/>
        <v>PromptUserUMLHWarning,0,</v>
      </c>
      <c r="BM73" s="31" t="str">
        <f t="shared" ref="BM73:BM105" si="306">AJ$13&amp;AJ73&amp;","</f>
        <v>BypassOpenStudio_all,0,</v>
      </c>
      <c r="BN73" s="31" t="str">
        <f t="shared" ref="BN73:BN105" si="307">AK$13&amp;AK73&amp;","</f>
        <v>BypassOpenStudio_zp,0,</v>
      </c>
      <c r="BO73" s="31" t="str">
        <f t="shared" ref="BO73:BO105" si="308">AL$13&amp;AL73&amp;","</f>
        <v>BypassOpenStudio_zb,0,</v>
      </c>
      <c r="BP73" s="31" t="str">
        <f t="shared" ref="BP73:BP105" si="309">AM$13&amp;AM73&amp;","</f>
        <v>BypassOpenStudio_ap,0,</v>
      </c>
      <c r="BQ73" s="31" t="str">
        <f t="shared" ref="BQ73:BQ105" si="310">AN$13&amp;AN73&amp;","</f>
        <v>BypassOpenStudio_ab,0,</v>
      </c>
      <c r="BR73" s="31" t="str">
        <f t="shared" ref="BR73:BR105" si="311">AO$13&amp;AO73&amp;","</f>
        <v>BypassOpenStudio_zp,0,</v>
      </c>
      <c r="BS73" s="31" t="str">
        <f t="shared" ref="BS73:BS105" si="312">AP$13&amp;AP73&amp;","</f>
        <v>BypassOpenStudio_zb,0,</v>
      </c>
      <c r="BT73" s="31" t="str">
        <f t="shared" ref="BT73:BT105" si="313">AQ$13&amp;AQ73&amp;","</f>
        <v>BypassOpenStudio_ap,0,</v>
      </c>
      <c r="BU73" s="31" t="str">
        <f t="shared" ref="BU73:BU105" si="314">AR$13&amp;AR73&amp;","</f>
        <v>BypassOpenStudio_ab,0,</v>
      </c>
    </row>
    <row r="74" spans="1:74" hidden="1" outlineLevel="1" x14ac:dyDescent="0.25">
      <c r="A74" s="39">
        <f t="shared" si="283"/>
        <v>0</v>
      </c>
      <c r="B74" s="27" t="str">
        <f t="shared" ref="B74:B105" si="315">M$69&amp;N74&amp;"\"&amp;N74&amp;".cibd16"</f>
        <v>RulesetImplementation2016Tests\x\x.cibd16</v>
      </c>
      <c r="C74" s="27" t="str">
        <f t="shared" ref="C74:C105" si="316" xml:space="preserve"> M$70 &amp; O74 &amp; ".cibd16"</f>
        <v>BatchOut_171026_r5178_FinalRel-v3-SSTSG_RIc\x.cibd16</v>
      </c>
      <c r="D74" s="27" t="str">
        <f t="shared" ref="D74:D108" si="317">$M$71</f>
        <v>BatchOut_171026_r5178_FinalRel-v3-SSTSG_RIc\XML\</v>
      </c>
      <c r="E74" s="9" t="str">
        <f t="shared" ref="E74:E88" si="318">M74</f>
        <v>x</v>
      </c>
      <c r="F74" s="22"/>
      <c r="G74" s="29"/>
      <c r="H74" s="23" t="str">
        <f>IF(F74&gt;1,1,"")</f>
        <v/>
      </c>
      <c r="I74" s="9" t="s">
        <v>11</v>
      </c>
      <c r="J7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4" s="15" t="s">
        <v>1</v>
      </c>
      <c r="L74" s="36">
        <f>L73</f>
        <v>0</v>
      </c>
      <c r="M74" s="91" t="str">
        <f t="shared" ref="M74:M108" si="319">N74</f>
        <v>x</v>
      </c>
      <c r="N74" s="90" t="s">
        <v>149</v>
      </c>
      <c r="O74" s="57" t="str">
        <f t="shared" si="285"/>
        <v>x</v>
      </c>
      <c r="P74" s="63">
        <f>P73</f>
        <v>1</v>
      </c>
      <c r="Q74" s="65">
        <f t="shared" ref="Q74" si="320">Q73</f>
        <v>1</v>
      </c>
      <c r="R74" s="65">
        <f t="shared" ref="R74" si="321">R73</f>
        <v>0</v>
      </c>
      <c r="S74" s="65">
        <f t="shared" ref="S74" si="322">S73</f>
        <v>1</v>
      </c>
      <c r="T74" s="65">
        <f t="shared" ref="T74" si="323">T73</f>
        <v>0</v>
      </c>
      <c r="U74" s="65">
        <f>U73</f>
        <v>8</v>
      </c>
      <c r="V74" s="65">
        <f>V73</f>
        <v>8</v>
      </c>
      <c r="W74" s="65">
        <f>W73</f>
        <v>1</v>
      </c>
      <c r="X74" s="65">
        <f t="shared" ref="X74:Y74" si="324">X73</f>
        <v>0</v>
      </c>
      <c r="Y74" s="65">
        <f t="shared" si="324"/>
        <v>0</v>
      </c>
      <c r="Z74" s="65">
        <f>Z73</f>
        <v>0</v>
      </c>
      <c r="AA74" s="65">
        <f>AA73</f>
        <v>0</v>
      </c>
      <c r="AB74" s="65">
        <f>AB73</f>
        <v>1</v>
      </c>
      <c r="AC74" s="65">
        <f t="shared" ref="AC74:AD105" si="325">AC73</f>
        <v>0</v>
      </c>
      <c r="AD74" s="61">
        <f t="shared" ref="AD74:AK74" si="326">AD73</f>
        <v>1</v>
      </c>
      <c r="AE74" s="61">
        <f t="shared" si="326"/>
        <v>0</v>
      </c>
      <c r="AF74" s="61">
        <f t="shared" si="326"/>
        <v>0</v>
      </c>
      <c r="AG74" s="61">
        <f t="shared" si="326"/>
        <v>0</v>
      </c>
      <c r="AH74" s="61">
        <f t="shared" si="326"/>
        <v>0</v>
      </c>
      <c r="AI74" s="61">
        <f t="shared" ref="AI74" si="327">AI73</f>
        <v>0</v>
      </c>
      <c r="AJ74" s="63">
        <f t="shared" si="326"/>
        <v>0</v>
      </c>
      <c r="AK74" s="64">
        <f t="shared" si="326"/>
        <v>0</v>
      </c>
      <c r="AL74" s="64">
        <f t="shared" ref="AL74" si="328">AL73</f>
        <v>0</v>
      </c>
      <c r="AM74" s="64">
        <f t="shared" ref="AM74:AN74" si="329">AM73</f>
        <v>0</v>
      </c>
      <c r="AN74" s="66">
        <f t="shared" si="329"/>
        <v>0</v>
      </c>
      <c r="AO74" s="63">
        <f>AO73</f>
        <v>0</v>
      </c>
      <c r="AP74" s="64">
        <f>AP73</f>
        <v>0</v>
      </c>
      <c r="AQ74" s="65">
        <f t="shared" ref="AQ74:AR74" si="330">AQ73</f>
        <v>0</v>
      </c>
      <c r="AR74" s="66">
        <f t="shared" si="330"/>
        <v>0</v>
      </c>
      <c r="AS74" s="31" t="str">
        <f t="shared" si="287"/>
        <v>SimulationStorage,1,</v>
      </c>
      <c r="AT74" s="31" t="str">
        <f t="shared" si="288"/>
        <v>AnalysisStorage,1,</v>
      </c>
      <c r="AU74" s="31" t="str">
        <f t="shared" si="289"/>
        <v>LogRuleEvaluation,0,</v>
      </c>
      <c r="AV74" s="31" t="str">
        <f t="shared" si="290"/>
        <v>ParallelSimulations,1,</v>
      </c>
      <c r="AW74" s="31" t="str">
        <f t="shared" si="291"/>
        <v>DurationStats,0,</v>
      </c>
      <c r="AX74" s="31" t="str">
        <f t="shared" si="292"/>
        <v>AnalysisThruStep,8,</v>
      </c>
      <c r="AY74" s="31" t="str">
        <f t="shared" si="293"/>
        <v>DontAbortOnErrorsThruStep,8,</v>
      </c>
      <c r="AZ74" s="31" t="str">
        <f t="shared" si="294"/>
        <v>BypassValidFileChecks,1,</v>
      </c>
      <c r="BA74" s="31" t="str">
        <f t="shared" si="295"/>
        <v>BypassInputChecks,0,</v>
      </c>
      <c r="BB74" s="31" t="str">
        <f t="shared" si="296"/>
        <v>BypassUMLHChecks,0,</v>
      </c>
      <c r="BC74" s="31" t="str">
        <f t="shared" si="297"/>
        <v>BypassCheckSimRules,0,</v>
      </c>
      <c r="BD74" s="31" t="str">
        <f t="shared" si="298"/>
        <v>BypassCheckCodeRules,0,</v>
      </c>
      <c r="BE74" s="31" t="str">
        <f t="shared" si="299"/>
        <v>StoreResultsToModelInput,1,</v>
      </c>
      <c r="BF74" s="31" t="str">
        <f t="shared" si="300"/>
        <v>StoreBEMDetails,0,</v>
      </c>
      <c r="BG74" s="31" t="str">
        <f t="shared" si="301"/>
        <v>ModelRpt_ALL,1,</v>
      </c>
      <c r="BH74" s="31" t="str">
        <f t="shared" si="302"/>
        <v>ExportHourlyResults_All,0,</v>
      </c>
      <c r="BI74" s="31" t="str">
        <f t="shared" si="303"/>
        <v>ComplianceReportPDF,0,</v>
      </c>
      <c r="BJ74" s="31" t="str">
        <f t="shared" si="304"/>
        <v>ComplianceReportXML,0,</v>
      </c>
      <c r="BK74" s="31" t="str">
        <f t="shared" si="305"/>
        <v>QuickAnalysis,0,</v>
      </c>
      <c r="BL74" s="31" t="str">
        <f t="shared" si="305"/>
        <v>PromptUserUMLHWarning,0,</v>
      </c>
      <c r="BM74" s="31" t="str">
        <f t="shared" si="306"/>
        <v>BypassOpenStudio_all,0,</v>
      </c>
      <c r="BN74" s="31" t="str">
        <f t="shared" si="307"/>
        <v>BypassOpenStudio_zp,0,</v>
      </c>
      <c r="BO74" s="31" t="str">
        <f t="shared" si="308"/>
        <v>BypassOpenStudio_zb,0,</v>
      </c>
      <c r="BP74" s="31" t="str">
        <f t="shared" si="309"/>
        <v>BypassOpenStudio_ap,0,</v>
      </c>
      <c r="BQ74" s="31" t="str">
        <f t="shared" si="310"/>
        <v>BypassOpenStudio_ab,0,</v>
      </c>
      <c r="BR74" s="31" t="str">
        <f t="shared" si="311"/>
        <v>BypassOpenStudio_zp,0,</v>
      </c>
      <c r="BS74" s="31" t="str">
        <f t="shared" si="312"/>
        <v>BypassOpenStudio_zb,0,</v>
      </c>
      <c r="BT74" s="31" t="str">
        <f t="shared" si="313"/>
        <v>BypassOpenStudio_ap,0,</v>
      </c>
      <c r="BU74" s="31" t="str">
        <f t="shared" si="314"/>
        <v>BypassOpenStudio_ab,0,</v>
      </c>
    </row>
    <row r="75" spans="1:74" hidden="1" outlineLevel="1" x14ac:dyDescent="0.25">
      <c r="A75" s="39">
        <f t="shared" si="283"/>
        <v>0</v>
      </c>
      <c r="B75" s="27" t="str">
        <f t="shared" si="315"/>
        <v>RulesetImplementation2016Tests\x\x.cibd16</v>
      </c>
      <c r="C75" s="27" t="str">
        <f t="shared" si="316"/>
        <v>BatchOut_171026_r5178_FinalRel-v3-SSTSG_RIc\x.cibd16</v>
      </c>
      <c r="D75" s="27" t="str">
        <f t="shared" si="317"/>
        <v>BatchOut_171026_r5178_FinalRel-v3-SSTSG_RIc\XML\</v>
      </c>
      <c r="E75" s="9" t="str">
        <f t="shared" si="318"/>
        <v>x</v>
      </c>
      <c r="F75" s="22"/>
      <c r="G75" s="29"/>
      <c r="H75" s="23" t="str">
        <f>IF(F75&gt;1,1,"")</f>
        <v/>
      </c>
      <c r="I75" s="9" t="s">
        <v>11</v>
      </c>
      <c r="J7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5" s="15" t="s">
        <v>1</v>
      </c>
      <c r="L75" s="36">
        <f t="shared" ref="L75:L106" si="331">L74</f>
        <v>0</v>
      </c>
      <c r="M75" s="91" t="str">
        <f t="shared" si="319"/>
        <v>x</v>
      </c>
      <c r="N75" s="90" t="s">
        <v>149</v>
      </c>
      <c r="O75" s="57" t="str">
        <f t="shared" si="285"/>
        <v>x</v>
      </c>
      <c r="P75" s="63">
        <f t="shared" ref="P75:P108" si="332">P74</f>
        <v>1</v>
      </c>
      <c r="Q75" s="65">
        <f t="shared" ref="Q75:Q108" si="333">Q74</f>
        <v>1</v>
      </c>
      <c r="R75" s="65">
        <f t="shared" ref="R75:AG108" si="334">R74</f>
        <v>0</v>
      </c>
      <c r="S75" s="65">
        <f t="shared" ref="S75:AH107" si="335">S74</f>
        <v>1</v>
      </c>
      <c r="T75" s="65">
        <f t="shared" ref="T75:AH106" si="336">T74</f>
        <v>0</v>
      </c>
      <c r="U75" s="65">
        <f t="shared" ref="U75:V105" si="337">U74</f>
        <v>8</v>
      </c>
      <c r="V75" s="65">
        <f t="shared" si="337"/>
        <v>8</v>
      </c>
      <c r="W75" s="65">
        <f t="shared" ref="W75:Y101" si="338">W74</f>
        <v>1</v>
      </c>
      <c r="X75" s="65">
        <f t="shared" si="338"/>
        <v>0</v>
      </c>
      <c r="Y75" s="65">
        <f t="shared" si="338"/>
        <v>0</v>
      </c>
      <c r="Z75" s="65">
        <f t="shared" ref="Z75:AB102" si="339">Z74</f>
        <v>0</v>
      </c>
      <c r="AA75" s="65">
        <f t="shared" ref="AA75:AB101" si="340">AA74</f>
        <v>0</v>
      </c>
      <c r="AB75" s="65">
        <f t="shared" si="340"/>
        <v>1</v>
      </c>
      <c r="AC75" s="65">
        <f t="shared" si="325"/>
        <v>0</v>
      </c>
      <c r="AD75" s="61">
        <f t="shared" si="325"/>
        <v>1</v>
      </c>
      <c r="AE75" s="61">
        <f t="shared" ref="AE75:AF75" si="341">AE74</f>
        <v>0</v>
      </c>
      <c r="AF75" s="61">
        <f t="shared" si="341"/>
        <v>0</v>
      </c>
      <c r="AG75" s="61">
        <f t="shared" ref="AG75:AH75" si="342">AG74</f>
        <v>0</v>
      </c>
      <c r="AH75" s="61">
        <f t="shared" si="342"/>
        <v>0</v>
      </c>
      <c r="AI75" s="61">
        <f t="shared" ref="AI75" si="343">AI74</f>
        <v>0</v>
      </c>
      <c r="AJ75" s="63">
        <f t="shared" ref="AJ75:AR107" si="344">AJ74</f>
        <v>0</v>
      </c>
      <c r="AK75" s="64">
        <f t="shared" ref="AK75:AR106" si="345">AK74</f>
        <v>0</v>
      </c>
      <c r="AL75" s="64">
        <f t="shared" ref="AL75:AR105" si="346">AL74</f>
        <v>0</v>
      </c>
      <c r="AM75" s="64">
        <f t="shared" ref="AM75:AR104" si="347">AM74</f>
        <v>0</v>
      </c>
      <c r="AN75" s="66">
        <f t="shared" ref="AN75:AR103" si="348">AN74</f>
        <v>0</v>
      </c>
      <c r="AO75" s="63">
        <f t="shared" ref="AO75:AR102" si="349">AO74</f>
        <v>0</v>
      </c>
      <c r="AP75" s="64">
        <f t="shared" ref="AP75:AR101" si="350">AP74</f>
        <v>0</v>
      </c>
      <c r="AQ75" s="65">
        <f t="shared" si="350"/>
        <v>0</v>
      </c>
      <c r="AR75" s="66">
        <f t="shared" si="350"/>
        <v>0</v>
      </c>
      <c r="AS75" s="31" t="str">
        <f t="shared" si="287"/>
        <v>SimulationStorage,1,</v>
      </c>
      <c r="AT75" s="31" t="str">
        <f t="shared" si="288"/>
        <v>AnalysisStorage,1,</v>
      </c>
      <c r="AU75" s="31" t="str">
        <f t="shared" si="289"/>
        <v>LogRuleEvaluation,0,</v>
      </c>
      <c r="AV75" s="31" t="str">
        <f t="shared" si="290"/>
        <v>ParallelSimulations,1,</v>
      </c>
      <c r="AW75" s="31" t="str">
        <f t="shared" si="291"/>
        <v>DurationStats,0,</v>
      </c>
      <c r="AX75" s="31" t="str">
        <f t="shared" si="292"/>
        <v>AnalysisThruStep,8,</v>
      </c>
      <c r="AY75" s="31" t="str">
        <f t="shared" si="293"/>
        <v>DontAbortOnErrorsThruStep,8,</v>
      </c>
      <c r="AZ75" s="31" t="str">
        <f t="shared" si="294"/>
        <v>BypassValidFileChecks,1,</v>
      </c>
      <c r="BA75" s="31" t="str">
        <f t="shared" si="295"/>
        <v>BypassInputChecks,0,</v>
      </c>
      <c r="BB75" s="31" t="str">
        <f t="shared" si="296"/>
        <v>BypassUMLHChecks,0,</v>
      </c>
      <c r="BC75" s="31" t="str">
        <f t="shared" si="297"/>
        <v>BypassCheckSimRules,0,</v>
      </c>
      <c r="BD75" s="31" t="str">
        <f t="shared" si="298"/>
        <v>BypassCheckCodeRules,0,</v>
      </c>
      <c r="BE75" s="31" t="str">
        <f t="shared" si="299"/>
        <v>StoreResultsToModelInput,1,</v>
      </c>
      <c r="BF75" s="31" t="str">
        <f t="shared" si="300"/>
        <v>StoreBEMDetails,0,</v>
      </c>
      <c r="BG75" s="31" t="str">
        <f t="shared" si="301"/>
        <v>ModelRpt_ALL,1,</v>
      </c>
      <c r="BH75" s="31" t="str">
        <f t="shared" si="302"/>
        <v>ExportHourlyResults_All,0,</v>
      </c>
      <c r="BI75" s="31" t="str">
        <f t="shared" si="303"/>
        <v>ComplianceReportPDF,0,</v>
      </c>
      <c r="BJ75" s="31" t="str">
        <f t="shared" si="304"/>
        <v>ComplianceReportXML,0,</v>
      </c>
      <c r="BK75" s="31" t="str">
        <f t="shared" si="305"/>
        <v>QuickAnalysis,0,</v>
      </c>
      <c r="BL75" s="31" t="str">
        <f t="shared" si="305"/>
        <v>PromptUserUMLHWarning,0,</v>
      </c>
      <c r="BM75" s="31" t="str">
        <f t="shared" si="306"/>
        <v>BypassOpenStudio_all,0,</v>
      </c>
      <c r="BN75" s="31" t="str">
        <f t="shared" si="307"/>
        <v>BypassOpenStudio_zp,0,</v>
      </c>
      <c r="BO75" s="31" t="str">
        <f t="shared" si="308"/>
        <v>BypassOpenStudio_zb,0,</v>
      </c>
      <c r="BP75" s="31" t="str">
        <f t="shared" si="309"/>
        <v>BypassOpenStudio_ap,0,</v>
      </c>
      <c r="BQ75" s="31" t="str">
        <f t="shared" si="310"/>
        <v>BypassOpenStudio_ab,0,</v>
      </c>
      <c r="BR75" s="31" t="str">
        <f t="shared" si="311"/>
        <v>BypassOpenStudio_zp,0,</v>
      </c>
      <c r="BS75" s="31" t="str">
        <f t="shared" si="312"/>
        <v>BypassOpenStudio_zb,0,</v>
      </c>
      <c r="BT75" s="31" t="str">
        <f t="shared" si="313"/>
        <v>BypassOpenStudio_ap,0,</v>
      </c>
      <c r="BU75" s="31" t="str">
        <f t="shared" si="314"/>
        <v>BypassOpenStudio_ab,0,</v>
      </c>
    </row>
    <row r="76" spans="1:74" hidden="1" outlineLevel="1" x14ac:dyDescent="0.25">
      <c r="A76" s="39">
        <f t="shared" si="283"/>
        <v>0</v>
      </c>
      <c r="B76" s="27" t="str">
        <f t="shared" si="315"/>
        <v>RulesetImplementation2016Tests\x\x.cibd16</v>
      </c>
      <c r="C76" s="27" t="str">
        <f t="shared" si="316"/>
        <v>BatchOut_171026_r5178_FinalRel-v3-SSTSG_RIc\x.cibd16</v>
      </c>
      <c r="D76" s="27" t="str">
        <f t="shared" si="317"/>
        <v>BatchOut_171026_r5178_FinalRel-v3-SSTSG_RIc\XML\</v>
      </c>
      <c r="E76" s="9" t="str">
        <f t="shared" si="318"/>
        <v>x</v>
      </c>
      <c r="F76" s="22"/>
      <c r="G76" s="29"/>
      <c r="H76" s="23"/>
      <c r="I76" s="9" t="s">
        <v>11</v>
      </c>
      <c r="J76"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6" s="15" t="s">
        <v>1</v>
      </c>
      <c r="L76" s="36">
        <f t="shared" si="331"/>
        <v>0</v>
      </c>
      <c r="M76" s="91" t="str">
        <f t="shared" si="319"/>
        <v>x</v>
      </c>
      <c r="N76" s="90" t="s">
        <v>149</v>
      </c>
      <c r="O76" s="57" t="str">
        <f t="shared" si="285"/>
        <v>x</v>
      </c>
      <c r="P76" s="63">
        <f t="shared" si="332"/>
        <v>1</v>
      </c>
      <c r="Q76" s="65">
        <f t="shared" si="333"/>
        <v>1</v>
      </c>
      <c r="R76" s="65">
        <f t="shared" si="334"/>
        <v>0</v>
      </c>
      <c r="S76" s="65">
        <f t="shared" si="335"/>
        <v>1</v>
      </c>
      <c r="T76" s="65">
        <f t="shared" si="336"/>
        <v>0</v>
      </c>
      <c r="U76" s="65">
        <f t="shared" si="337"/>
        <v>8</v>
      </c>
      <c r="V76" s="65">
        <f t="shared" si="337"/>
        <v>8</v>
      </c>
      <c r="W76" s="65">
        <f t="shared" si="338"/>
        <v>1</v>
      </c>
      <c r="X76" s="65">
        <f t="shared" si="338"/>
        <v>0</v>
      </c>
      <c r="Y76" s="65">
        <f t="shared" si="338"/>
        <v>0</v>
      </c>
      <c r="Z76" s="65">
        <f t="shared" si="339"/>
        <v>0</v>
      </c>
      <c r="AA76" s="65">
        <f t="shared" si="340"/>
        <v>0</v>
      </c>
      <c r="AB76" s="65">
        <f t="shared" si="340"/>
        <v>1</v>
      </c>
      <c r="AC76" s="65">
        <f t="shared" si="325"/>
        <v>0</v>
      </c>
      <c r="AD76" s="61">
        <f t="shared" si="325"/>
        <v>1</v>
      </c>
      <c r="AE76" s="61">
        <f t="shared" ref="AE76:AF76" si="351">AE75</f>
        <v>0</v>
      </c>
      <c r="AF76" s="61">
        <f t="shared" si="351"/>
        <v>0</v>
      </c>
      <c r="AG76" s="61">
        <f t="shared" ref="AG76:AH76" si="352">AG75</f>
        <v>0</v>
      </c>
      <c r="AH76" s="61">
        <f t="shared" si="352"/>
        <v>0</v>
      </c>
      <c r="AI76" s="61">
        <f t="shared" ref="AI76" si="353">AI75</f>
        <v>0</v>
      </c>
      <c r="AJ76" s="63">
        <f t="shared" si="344"/>
        <v>0</v>
      </c>
      <c r="AK76" s="64">
        <f t="shared" si="345"/>
        <v>0</v>
      </c>
      <c r="AL76" s="64">
        <f t="shared" si="346"/>
        <v>0</v>
      </c>
      <c r="AM76" s="64">
        <f t="shared" si="347"/>
        <v>0</v>
      </c>
      <c r="AN76" s="66">
        <f t="shared" si="348"/>
        <v>0</v>
      </c>
      <c r="AO76" s="63">
        <f t="shared" si="349"/>
        <v>0</v>
      </c>
      <c r="AP76" s="64">
        <f t="shared" si="350"/>
        <v>0</v>
      </c>
      <c r="AQ76" s="65">
        <f t="shared" si="350"/>
        <v>0</v>
      </c>
      <c r="AR76" s="66">
        <f t="shared" si="350"/>
        <v>0</v>
      </c>
      <c r="AS76" s="31" t="str">
        <f t="shared" si="287"/>
        <v>SimulationStorage,1,</v>
      </c>
      <c r="AT76" s="31" t="str">
        <f t="shared" si="288"/>
        <v>AnalysisStorage,1,</v>
      </c>
      <c r="AU76" s="31" t="str">
        <f t="shared" si="289"/>
        <v>LogRuleEvaluation,0,</v>
      </c>
      <c r="AV76" s="31" t="str">
        <f t="shared" si="290"/>
        <v>ParallelSimulations,1,</v>
      </c>
      <c r="AW76" s="31" t="str">
        <f t="shared" si="291"/>
        <v>DurationStats,0,</v>
      </c>
      <c r="AX76" s="31" t="str">
        <f t="shared" si="292"/>
        <v>AnalysisThruStep,8,</v>
      </c>
      <c r="AY76" s="31" t="str">
        <f t="shared" si="293"/>
        <v>DontAbortOnErrorsThruStep,8,</v>
      </c>
      <c r="AZ76" s="31" t="str">
        <f t="shared" si="294"/>
        <v>BypassValidFileChecks,1,</v>
      </c>
      <c r="BA76" s="31" t="str">
        <f t="shared" si="295"/>
        <v>BypassInputChecks,0,</v>
      </c>
      <c r="BB76" s="31" t="str">
        <f t="shared" si="296"/>
        <v>BypassUMLHChecks,0,</v>
      </c>
      <c r="BC76" s="31" t="str">
        <f t="shared" si="297"/>
        <v>BypassCheckSimRules,0,</v>
      </c>
      <c r="BD76" s="31" t="str">
        <f t="shared" si="298"/>
        <v>BypassCheckCodeRules,0,</v>
      </c>
      <c r="BE76" s="31" t="str">
        <f t="shared" si="299"/>
        <v>StoreResultsToModelInput,1,</v>
      </c>
      <c r="BF76" s="31" t="str">
        <f t="shared" si="300"/>
        <v>StoreBEMDetails,0,</v>
      </c>
      <c r="BG76" s="31" t="str">
        <f t="shared" si="301"/>
        <v>ModelRpt_ALL,1,</v>
      </c>
      <c r="BH76" s="31" t="str">
        <f t="shared" si="302"/>
        <v>ExportHourlyResults_All,0,</v>
      </c>
      <c r="BI76" s="31" t="str">
        <f t="shared" si="303"/>
        <v>ComplianceReportPDF,0,</v>
      </c>
      <c r="BJ76" s="31" t="str">
        <f t="shared" si="304"/>
        <v>ComplianceReportXML,0,</v>
      </c>
      <c r="BK76" s="31" t="str">
        <f t="shared" si="305"/>
        <v>QuickAnalysis,0,</v>
      </c>
      <c r="BL76" s="31" t="str">
        <f t="shared" si="305"/>
        <v>PromptUserUMLHWarning,0,</v>
      </c>
      <c r="BM76" s="31" t="str">
        <f t="shared" si="306"/>
        <v>BypassOpenStudio_all,0,</v>
      </c>
      <c r="BN76" s="31" t="str">
        <f t="shared" si="307"/>
        <v>BypassOpenStudio_zp,0,</v>
      </c>
      <c r="BO76" s="31" t="str">
        <f t="shared" si="308"/>
        <v>BypassOpenStudio_zb,0,</v>
      </c>
      <c r="BP76" s="31" t="str">
        <f t="shared" si="309"/>
        <v>BypassOpenStudio_ap,0,</v>
      </c>
      <c r="BQ76" s="31" t="str">
        <f t="shared" si="310"/>
        <v>BypassOpenStudio_ab,0,</v>
      </c>
      <c r="BR76" s="31" t="str">
        <f t="shared" si="311"/>
        <v>BypassOpenStudio_zp,0,</v>
      </c>
      <c r="BS76" s="31" t="str">
        <f t="shared" si="312"/>
        <v>BypassOpenStudio_zb,0,</v>
      </c>
      <c r="BT76" s="31" t="str">
        <f t="shared" si="313"/>
        <v>BypassOpenStudio_ap,0,</v>
      </c>
      <c r="BU76" s="31" t="str">
        <f t="shared" si="314"/>
        <v>BypassOpenStudio_ab,0,</v>
      </c>
    </row>
    <row r="77" spans="1:74" hidden="1" outlineLevel="1" x14ac:dyDescent="0.25">
      <c r="A77" s="39">
        <f t="shared" si="283"/>
        <v>0</v>
      </c>
      <c r="B77" s="27" t="str">
        <f t="shared" si="315"/>
        <v>RulesetImplementation2016Tests\x\x.cibd16</v>
      </c>
      <c r="C77" s="27" t="str">
        <f t="shared" si="316"/>
        <v>BatchOut_171026_r5178_FinalRel-v3-SSTSG_RIc\x.cibd16</v>
      </c>
      <c r="D77" s="27" t="str">
        <f t="shared" si="317"/>
        <v>BatchOut_171026_r5178_FinalRel-v3-SSTSG_RIc\XML\</v>
      </c>
      <c r="E77" s="9" t="str">
        <f t="shared" si="318"/>
        <v>x</v>
      </c>
      <c r="F77" s="22"/>
      <c r="G77" s="29"/>
      <c r="H77" s="23"/>
      <c r="I77" s="9" t="s">
        <v>11</v>
      </c>
      <c r="J77"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7" s="15" t="s">
        <v>1</v>
      </c>
      <c r="L77" s="36">
        <f t="shared" si="331"/>
        <v>0</v>
      </c>
      <c r="M77" s="91" t="str">
        <f t="shared" si="319"/>
        <v>x</v>
      </c>
      <c r="N77" s="90" t="s">
        <v>149</v>
      </c>
      <c r="O77" s="57" t="str">
        <f t="shared" si="285"/>
        <v>x</v>
      </c>
      <c r="P77" s="63">
        <f t="shared" si="332"/>
        <v>1</v>
      </c>
      <c r="Q77" s="65">
        <f t="shared" si="333"/>
        <v>1</v>
      </c>
      <c r="R77" s="65">
        <f t="shared" si="334"/>
        <v>0</v>
      </c>
      <c r="S77" s="65">
        <f t="shared" si="335"/>
        <v>1</v>
      </c>
      <c r="T77" s="65">
        <f t="shared" si="336"/>
        <v>0</v>
      </c>
      <c r="U77" s="65">
        <f t="shared" si="337"/>
        <v>8</v>
      </c>
      <c r="V77" s="65">
        <f t="shared" si="337"/>
        <v>8</v>
      </c>
      <c r="W77" s="65">
        <f t="shared" si="338"/>
        <v>1</v>
      </c>
      <c r="X77" s="65">
        <f t="shared" si="338"/>
        <v>0</v>
      </c>
      <c r="Y77" s="65">
        <f t="shared" si="338"/>
        <v>0</v>
      </c>
      <c r="Z77" s="65">
        <f t="shared" si="339"/>
        <v>0</v>
      </c>
      <c r="AA77" s="65">
        <f t="shared" si="340"/>
        <v>0</v>
      </c>
      <c r="AB77" s="65">
        <f t="shared" si="340"/>
        <v>1</v>
      </c>
      <c r="AC77" s="65">
        <f t="shared" si="325"/>
        <v>0</v>
      </c>
      <c r="AD77" s="61">
        <f t="shared" si="325"/>
        <v>1</v>
      </c>
      <c r="AE77" s="61">
        <f t="shared" ref="AE77:AF77" si="354">AE76</f>
        <v>0</v>
      </c>
      <c r="AF77" s="61">
        <f t="shared" si="354"/>
        <v>0</v>
      </c>
      <c r="AG77" s="61">
        <f t="shared" ref="AG77:AH77" si="355">AG76</f>
        <v>0</v>
      </c>
      <c r="AH77" s="61">
        <f t="shared" si="355"/>
        <v>0</v>
      </c>
      <c r="AI77" s="61">
        <f t="shared" ref="AI77" si="356">AI76</f>
        <v>0</v>
      </c>
      <c r="AJ77" s="63">
        <f t="shared" si="344"/>
        <v>0</v>
      </c>
      <c r="AK77" s="64">
        <f t="shared" si="345"/>
        <v>0</v>
      </c>
      <c r="AL77" s="64">
        <f t="shared" si="346"/>
        <v>0</v>
      </c>
      <c r="AM77" s="64">
        <f t="shared" si="347"/>
        <v>0</v>
      </c>
      <c r="AN77" s="66">
        <f t="shared" si="348"/>
        <v>0</v>
      </c>
      <c r="AO77" s="63">
        <f t="shared" si="349"/>
        <v>0</v>
      </c>
      <c r="AP77" s="64">
        <f t="shared" si="350"/>
        <v>0</v>
      </c>
      <c r="AQ77" s="65">
        <f t="shared" si="350"/>
        <v>0</v>
      </c>
      <c r="AR77" s="66">
        <f t="shared" si="350"/>
        <v>0</v>
      </c>
      <c r="AS77" s="31" t="str">
        <f t="shared" si="287"/>
        <v>SimulationStorage,1,</v>
      </c>
      <c r="AT77" s="31" t="str">
        <f t="shared" si="288"/>
        <v>AnalysisStorage,1,</v>
      </c>
      <c r="AU77" s="31" t="str">
        <f t="shared" si="289"/>
        <v>LogRuleEvaluation,0,</v>
      </c>
      <c r="AV77" s="31" t="str">
        <f t="shared" si="290"/>
        <v>ParallelSimulations,1,</v>
      </c>
      <c r="AW77" s="31" t="str">
        <f t="shared" si="291"/>
        <v>DurationStats,0,</v>
      </c>
      <c r="AX77" s="31" t="str">
        <f t="shared" si="292"/>
        <v>AnalysisThruStep,8,</v>
      </c>
      <c r="AY77" s="31" t="str">
        <f t="shared" si="293"/>
        <v>DontAbortOnErrorsThruStep,8,</v>
      </c>
      <c r="AZ77" s="31" t="str">
        <f t="shared" si="294"/>
        <v>BypassValidFileChecks,1,</v>
      </c>
      <c r="BA77" s="31" t="str">
        <f t="shared" si="295"/>
        <v>BypassInputChecks,0,</v>
      </c>
      <c r="BB77" s="31" t="str">
        <f t="shared" si="296"/>
        <v>BypassUMLHChecks,0,</v>
      </c>
      <c r="BC77" s="31" t="str">
        <f t="shared" si="297"/>
        <v>BypassCheckSimRules,0,</v>
      </c>
      <c r="BD77" s="31" t="str">
        <f t="shared" si="298"/>
        <v>BypassCheckCodeRules,0,</v>
      </c>
      <c r="BE77" s="31" t="str">
        <f t="shared" si="299"/>
        <v>StoreResultsToModelInput,1,</v>
      </c>
      <c r="BF77" s="31" t="str">
        <f t="shared" si="300"/>
        <v>StoreBEMDetails,0,</v>
      </c>
      <c r="BG77" s="31" t="str">
        <f t="shared" si="301"/>
        <v>ModelRpt_ALL,1,</v>
      </c>
      <c r="BH77" s="31" t="str">
        <f t="shared" si="302"/>
        <v>ExportHourlyResults_All,0,</v>
      </c>
      <c r="BI77" s="31" t="str">
        <f t="shared" si="303"/>
        <v>ComplianceReportPDF,0,</v>
      </c>
      <c r="BJ77" s="31" t="str">
        <f t="shared" si="304"/>
        <v>ComplianceReportXML,0,</v>
      </c>
      <c r="BK77" s="31" t="str">
        <f t="shared" si="305"/>
        <v>QuickAnalysis,0,</v>
      </c>
      <c r="BL77" s="31" t="str">
        <f t="shared" si="305"/>
        <v>PromptUserUMLHWarning,0,</v>
      </c>
      <c r="BM77" s="31" t="str">
        <f t="shared" si="306"/>
        <v>BypassOpenStudio_all,0,</v>
      </c>
      <c r="BN77" s="31" t="str">
        <f t="shared" si="307"/>
        <v>BypassOpenStudio_zp,0,</v>
      </c>
      <c r="BO77" s="31" t="str">
        <f t="shared" si="308"/>
        <v>BypassOpenStudio_zb,0,</v>
      </c>
      <c r="BP77" s="31" t="str">
        <f t="shared" si="309"/>
        <v>BypassOpenStudio_ap,0,</v>
      </c>
      <c r="BQ77" s="31" t="str">
        <f t="shared" si="310"/>
        <v>BypassOpenStudio_ab,0,</v>
      </c>
      <c r="BR77" s="31" t="str">
        <f t="shared" si="311"/>
        <v>BypassOpenStudio_zp,0,</v>
      </c>
      <c r="BS77" s="31" t="str">
        <f t="shared" si="312"/>
        <v>BypassOpenStudio_zb,0,</v>
      </c>
      <c r="BT77" s="31" t="str">
        <f t="shared" si="313"/>
        <v>BypassOpenStudio_ap,0,</v>
      </c>
      <c r="BU77" s="31" t="str">
        <f t="shared" si="314"/>
        <v>BypassOpenStudio_ab,0,</v>
      </c>
    </row>
    <row r="78" spans="1:74" hidden="1" outlineLevel="1" x14ac:dyDescent="0.25">
      <c r="A78" s="39">
        <f t="shared" si="283"/>
        <v>0</v>
      </c>
      <c r="B78" s="27" t="str">
        <f t="shared" si="315"/>
        <v>RulesetImplementation2016Tests\x\x.cibd16</v>
      </c>
      <c r="C78" s="27" t="str">
        <f t="shared" si="316"/>
        <v>BatchOut_171026_r5178_FinalRel-v3-SSTSG_RIc\x.cibd16</v>
      </c>
      <c r="D78" s="27" t="str">
        <f t="shared" si="317"/>
        <v>BatchOut_171026_r5178_FinalRel-v3-SSTSG_RIc\XML\</v>
      </c>
      <c r="E78" s="9" t="str">
        <f t="shared" si="318"/>
        <v>x</v>
      </c>
      <c r="F78" s="22"/>
      <c r="G78" s="29"/>
      <c r="H78" s="23" t="str">
        <f>IF(F78&gt;1,1,"")</f>
        <v/>
      </c>
      <c r="I78" s="9" t="s">
        <v>11</v>
      </c>
      <c r="J78"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8" s="15" t="s">
        <v>1</v>
      </c>
      <c r="L78" s="36">
        <f t="shared" si="331"/>
        <v>0</v>
      </c>
      <c r="M78" s="91" t="str">
        <f t="shared" si="319"/>
        <v>x</v>
      </c>
      <c r="N78" s="90" t="s">
        <v>149</v>
      </c>
      <c r="O78" s="57" t="str">
        <f t="shared" si="285"/>
        <v>x</v>
      </c>
      <c r="P78" s="63">
        <f t="shared" si="332"/>
        <v>1</v>
      </c>
      <c r="Q78" s="65">
        <f t="shared" si="333"/>
        <v>1</v>
      </c>
      <c r="R78" s="65">
        <f t="shared" si="334"/>
        <v>0</v>
      </c>
      <c r="S78" s="65">
        <f t="shared" si="335"/>
        <v>1</v>
      </c>
      <c r="T78" s="65">
        <f t="shared" si="336"/>
        <v>0</v>
      </c>
      <c r="U78" s="65">
        <f t="shared" si="337"/>
        <v>8</v>
      </c>
      <c r="V78" s="65">
        <f t="shared" si="337"/>
        <v>8</v>
      </c>
      <c r="W78" s="65">
        <f t="shared" si="338"/>
        <v>1</v>
      </c>
      <c r="X78" s="65">
        <f t="shared" si="338"/>
        <v>0</v>
      </c>
      <c r="Y78" s="65">
        <f t="shared" si="338"/>
        <v>0</v>
      </c>
      <c r="Z78" s="65">
        <f t="shared" si="339"/>
        <v>0</v>
      </c>
      <c r="AA78" s="65">
        <f t="shared" si="340"/>
        <v>0</v>
      </c>
      <c r="AB78" s="65">
        <f t="shared" si="340"/>
        <v>1</v>
      </c>
      <c r="AC78" s="65">
        <f t="shared" si="325"/>
        <v>0</v>
      </c>
      <c r="AD78" s="61">
        <f t="shared" si="325"/>
        <v>1</v>
      </c>
      <c r="AE78" s="61">
        <f t="shared" ref="AE78:AF78" si="357">AE77</f>
        <v>0</v>
      </c>
      <c r="AF78" s="61">
        <f t="shared" si="357"/>
        <v>0</v>
      </c>
      <c r="AG78" s="61">
        <f t="shared" ref="AG78:AH78" si="358">AG77</f>
        <v>0</v>
      </c>
      <c r="AH78" s="61">
        <f t="shared" si="358"/>
        <v>0</v>
      </c>
      <c r="AI78" s="61">
        <f t="shared" ref="AI78" si="359">AI77</f>
        <v>0</v>
      </c>
      <c r="AJ78" s="63">
        <f t="shared" si="344"/>
        <v>0</v>
      </c>
      <c r="AK78" s="64">
        <f t="shared" si="345"/>
        <v>0</v>
      </c>
      <c r="AL78" s="64">
        <f t="shared" si="346"/>
        <v>0</v>
      </c>
      <c r="AM78" s="64">
        <f t="shared" si="347"/>
        <v>0</v>
      </c>
      <c r="AN78" s="66">
        <f t="shared" si="348"/>
        <v>0</v>
      </c>
      <c r="AO78" s="63">
        <f t="shared" si="349"/>
        <v>0</v>
      </c>
      <c r="AP78" s="64">
        <f t="shared" si="350"/>
        <v>0</v>
      </c>
      <c r="AQ78" s="65">
        <f t="shared" si="350"/>
        <v>0</v>
      </c>
      <c r="AR78" s="66">
        <f t="shared" si="350"/>
        <v>0</v>
      </c>
      <c r="AS78" s="31" t="str">
        <f t="shared" si="287"/>
        <v>SimulationStorage,1,</v>
      </c>
      <c r="AT78" s="31" t="str">
        <f t="shared" si="288"/>
        <v>AnalysisStorage,1,</v>
      </c>
      <c r="AU78" s="31" t="str">
        <f t="shared" si="289"/>
        <v>LogRuleEvaluation,0,</v>
      </c>
      <c r="AV78" s="31" t="str">
        <f t="shared" si="290"/>
        <v>ParallelSimulations,1,</v>
      </c>
      <c r="AW78" s="31" t="str">
        <f t="shared" si="291"/>
        <v>DurationStats,0,</v>
      </c>
      <c r="AX78" s="31" t="str">
        <f t="shared" si="292"/>
        <v>AnalysisThruStep,8,</v>
      </c>
      <c r="AY78" s="31" t="str">
        <f t="shared" si="293"/>
        <v>DontAbortOnErrorsThruStep,8,</v>
      </c>
      <c r="AZ78" s="31" t="str">
        <f t="shared" si="294"/>
        <v>BypassValidFileChecks,1,</v>
      </c>
      <c r="BA78" s="31" t="str">
        <f t="shared" si="295"/>
        <v>BypassInputChecks,0,</v>
      </c>
      <c r="BB78" s="31" t="str">
        <f t="shared" si="296"/>
        <v>BypassUMLHChecks,0,</v>
      </c>
      <c r="BC78" s="31" t="str">
        <f t="shared" si="297"/>
        <v>BypassCheckSimRules,0,</v>
      </c>
      <c r="BD78" s="31" t="str">
        <f t="shared" si="298"/>
        <v>BypassCheckCodeRules,0,</v>
      </c>
      <c r="BE78" s="31" t="str">
        <f t="shared" si="299"/>
        <v>StoreResultsToModelInput,1,</v>
      </c>
      <c r="BF78" s="31" t="str">
        <f t="shared" si="300"/>
        <v>StoreBEMDetails,0,</v>
      </c>
      <c r="BG78" s="31" t="str">
        <f t="shared" si="301"/>
        <v>ModelRpt_ALL,1,</v>
      </c>
      <c r="BH78" s="31" t="str">
        <f t="shared" si="302"/>
        <v>ExportHourlyResults_All,0,</v>
      </c>
      <c r="BI78" s="31" t="str">
        <f t="shared" si="303"/>
        <v>ComplianceReportPDF,0,</v>
      </c>
      <c r="BJ78" s="31" t="str">
        <f t="shared" si="304"/>
        <v>ComplianceReportXML,0,</v>
      </c>
      <c r="BK78" s="31" t="str">
        <f t="shared" si="305"/>
        <v>QuickAnalysis,0,</v>
      </c>
      <c r="BL78" s="31" t="str">
        <f t="shared" si="305"/>
        <v>PromptUserUMLHWarning,0,</v>
      </c>
      <c r="BM78" s="31" t="str">
        <f t="shared" si="306"/>
        <v>BypassOpenStudio_all,0,</v>
      </c>
      <c r="BN78" s="31" t="str">
        <f t="shared" si="307"/>
        <v>BypassOpenStudio_zp,0,</v>
      </c>
      <c r="BO78" s="31" t="str">
        <f t="shared" si="308"/>
        <v>BypassOpenStudio_zb,0,</v>
      </c>
      <c r="BP78" s="31" t="str">
        <f t="shared" si="309"/>
        <v>BypassOpenStudio_ap,0,</v>
      </c>
      <c r="BQ78" s="31" t="str">
        <f t="shared" si="310"/>
        <v>BypassOpenStudio_ab,0,</v>
      </c>
      <c r="BR78" s="31" t="str">
        <f t="shared" si="311"/>
        <v>BypassOpenStudio_zp,0,</v>
      </c>
      <c r="BS78" s="31" t="str">
        <f t="shared" si="312"/>
        <v>BypassOpenStudio_zb,0,</v>
      </c>
      <c r="BT78" s="31" t="str">
        <f t="shared" si="313"/>
        <v>BypassOpenStudio_ap,0,</v>
      </c>
      <c r="BU78" s="31" t="str">
        <f t="shared" si="314"/>
        <v>BypassOpenStudio_ab,0,</v>
      </c>
    </row>
    <row r="79" spans="1:74" hidden="1" outlineLevel="1" x14ac:dyDescent="0.25">
      <c r="A79" s="39">
        <f t="shared" si="283"/>
        <v>0</v>
      </c>
      <c r="B79" s="27" t="str">
        <f t="shared" si="315"/>
        <v>RulesetImplementation2016Tests\x\x.cibd16</v>
      </c>
      <c r="C79" s="27" t="str">
        <f t="shared" si="316"/>
        <v>BatchOut_171026_r5178_FinalRel-v3-SSTSG_RIc\x.cibd16</v>
      </c>
      <c r="D79" s="27" t="str">
        <f t="shared" si="317"/>
        <v>BatchOut_171026_r5178_FinalRel-v3-SSTSG_RIc\XML\</v>
      </c>
      <c r="E79" s="9" t="str">
        <f t="shared" si="318"/>
        <v>x</v>
      </c>
      <c r="F79" s="22"/>
      <c r="G79" s="29"/>
      <c r="H79" s="23"/>
      <c r="I79" s="9" t="s">
        <v>11</v>
      </c>
      <c r="J79"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9" s="15" t="s">
        <v>1</v>
      </c>
      <c r="L79" s="36">
        <f t="shared" si="331"/>
        <v>0</v>
      </c>
      <c r="M79" s="91" t="str">
        <f t="shared" si="319"/>
        <v>x</v>
      </c>
      <c r="N79" s="90" t="s">
        <v>149</v>
      </c>
      <c r="O79" s="57" t="str">
        <f t="shared" si="285"/>
        <v>x</v>
      </c>
      <c r="P79" s="63">
        <f t="shared" si="332"/>
        <v>1</v>
      </c>
      <c r="Q79" s="65">
        <f t="shared" si="333"/>
        <v>1</v>
      </c>
      <c r="R79" s="65">
        <f t="shared" si="334"/>
        <v>0</v>
      </c>
      <c r="S79" s="65">
        <f t="shared" si="335"/>
        <v>1</v>
      </c>
      <c r="T79" s="65">
        <f t="shared" si="336"/>
        <v>0</v>
      </c>
      <c r="U79" s="65">
        <f t="shared" si="337"/>
        <v>8</v>
      </c>
      <c r="V79" s="65">
        <f t="shared" si="337"/>
        <v>8</v>
      </c>
      <c r="W79" s="65">
        <f t="shared" si="338"/>
        <v>1</v>
      </c>
      <c r="X79" s="65">
        <f t="shared" si="338"/>
        <v>0</v>
      </c>
      <c r="Y79" s="65">
        <f t="shared" si="338"/>
        <v>0</v>
      </c>
      <c r="Z79" s="65">
        <f t="shared" si="339"/>
        <v>0</v>
      </c>
      <c r="AA79" s="65">
        <f t="shared" si="340"/>
        <v>0</v>
      </c>
      <c r="AB79" s="65">
        <f t="shared" si="340"/>
        <v>1</v>
      </c>
      <c r="AC79" s="65">
        <f t="shared" si="325"/>
        <v>0</v>
      </c>
      <c r="AD79" s="61">
        <f t="shared" si="325"/>
        <v>1</v>
      </c>
      <c r="AE79" s="61">
        <f t="shared" ref="AE79:AF79" si="360">AE78</f>
        <v>0</v>
      </c>
      <c r="AF79" s="61">
        <f t="shared" si="360"/>
        <v>0</v>
      </c>
      <c r="AG79" s="61">
        <f t="shared" ref="AG79:AH79" si="361">AG78</f>
        <v>0</v>
      </c>
      <c r="AH79" s="61">
        <f t="shared" si="361"/>
        <v>0</v>
      </c>
      <c r="AI79" s="61">
        <f t="shared" ref="AI79" si="362">AI78</f>
        <v>0</v>
      </c>
      <c r="AJ79" s="63">
        <f t="shared" si="344"/>
        <v>0</v>
      </c>
      <c r="AK79" s="64">
        <f t="shared" si="345"/>
        <v>0</v>
      </c>
      <c r="AL79" s="64">
        <f t="shared" si="346"/>
        <v>0</v>
      </c>
      <c r="AM79" s="64">
        <f t="shared" si="347"/>
        <v>0</v>
      </c>
      <c r="AN79" s="66">
        <f t="shared" si="348"/>
        <v>0</v>
      </c>
      <c r="AO79" s="63">
        <f t="shared" si="349"/>
        <v>0</v>
      </c>
      <c r="AP79" s="64">
        <f t="shared" si="350"/>
        <v>0</v>
      </c>
      <c r="AQ79" s="65">
        <f t="shared" si="350"/>
        <v>0</v>
      </c>
      <c r="AR79" s="66">
        <f t="shared" si="350"/>
        <v>0</v>
      </c>
      <c r="AS79" s="31" t="str">
        <f t="shared" si="287"/>
        <v>SimulationStorage,1,</v>
      </c>
      <c r="AT79" s="31" t="str">
        <f t="shared" si="288"/>
        <v>AnalysisStorage,1,</v>
      </c>
      <c r="AU79" s="31" t="str">
        <f t="shared" si="289"/>
        <v>LogRuleEvaluation,0,</v>
      </c>
      <c r="AV79" s="31" t="str">
        <f t="shared" si="290"/>
        <v>ParallelSimulations,1,</v>
      </c>
      <c r="AW79" s="31" t="str">
        <f t="shared" si="291"/>
        <v>DurationStats,0,</v>
      </c>
      <c r="AX79" s="31" t="str">
        <f t="shared" si="292"/>
        <v>AnalysisThruStep,8,</v>
      </c>
      <c r="AY79" s="31" t="str">
        <f t="shared" si="293"/>
        <v>DontAbortOnErrorsThruStep,8,</v>
      </c>
      <c r="AZ79" s="31" t="str">
        <f t="shared" si="294"/>
        <v>BypassValidFileChecks,1,</v>
      </c>
      <c r="BA79" s="31" t="str">
        <f t="shared" si="295"/>
        <v>BypassInputChecks,0,</v>
      </c>
      <c r="BB79" s="31" t="str">
        <f t="shared" si="296"/>
        <v>BypassUMLHChecks,0,</v>
      </c>
      <c r="BC79" s="31" t="str">
        <f t="shared" si="297"/>
        <v>BypassCheckSimRules,0,</v>
      </c>
      <c r="BD79" s="31" t="str">
        <f t="shared" si="298"/>
        <v>BypassCheckCodeRules,0,</v>
      </c>
      <c r="BE79" s="31" t="str">
        <f t="shared" si="299"/>
        <v>StoreResultsToModelInput,1,</v>
      </c>
      <c r="BF79" s="31" t="str">
        <f t="shared" si="300"/>
        <v>StoreBEMDetails,0,</v>
      </c>
      <c r="BG79" s="31" t="str">
        <f t="shared" si="301"/>
        <v>ModelRpt_ALL,1,</v>
      </c>
      <c r="BH79" s="31" t="str">
        <f t="shared" si="302"/>
        <v>ExportHourlyResults_All,0,</v>
      </c>
      <c r="BI79" s="31" t="str">
        <f t="shared" si="303"/>
        <v>ComplianceReportPDF,0,</v>
      </c>
      <c r="BJ79" s="31" t="str">
        <f t="shared" si="304"/>
        <v>ComplianceReportXML,0,</v>
      </c>
      <c r="BK79" s="31" t="str">
        <f t="shared" si="305"/>
        <v>QuickAnalysis,0,</v>
      </c>
      <c r="BL79" s="31" t="str">
        <f t="shared" si="305"/>
        <v>PromptUserUMLHWarning,0,</v>
      </c>
      <c r="BM79" s="31" t="str">
        <f t="shared" si="306"/>
        <v>BypassOpenStudio_all,0,</v>
      </c>
      <c r="BN79" s="31" t="str">
        <f t="shared" si="307"/>
        <v>BypassOpenStudio_zp,0,</v>
      </c>
      <c r="BO79" s="31" t="str">
        <f t="shared" si="308"/>
        <v>BypassOpenStudio_zb,0,</v>
      </c>
      <c r="BP79" s="31" t="str">
        <f t="shared" si="309"/>
        <v>BypassOpenStudio_ap,0,</v>
      </c>
      <c r="BQ79" s="31" t="str">
        <f t="shared" si="310"/>
        <v>BypassOpenStudio_ab,0,</v>
      </c>
      <c r="BR79" s="31" t="str">
        <f t="shared" si="311"/>
        <v>BypassOpenStudio_zp,0,</v>
      </c>
      <c r="BS79" s="31" t="str">
        <f t="shared" si="312"/>
        <v>BypassOpenStudio_zb,0,</v>
      </c>
      <c r="BT79" s="31" t="str">
        <f t="shared" si="313"/>
        <v>BypassOpenStudio_ap,0,</v>
      </c>
      <c r="BU79" s="31" t="str">
        <f t="shared" si="314"/>
        <v>BypassOpenStudio_ab,0,</v>
      </c>
    </row>
    <row r="80" spans="1:74" hidden="1" outlineLevel="1" x14ac:dyDescent="0.25">
      <c r="A80" s="39">
        <f t="shared" si="283"/>
        <v>0</v>
      </c>
      <c r="B80" s="27" t="str">
        <f t="shared" si="315"/>
        <v>RulesetImplementation2016Tests\x\x.cibd16</v>
      </c>
      <c r="C80" s="27" t="str">
        <f t="shared" si="316"/>
        <v>BatchOut_171026_r5178_FinalRel-v3-SSTSG_RIc\x.cibd16</v>
      </c>
      <c r="D80" s="27" t="str">
        <f t="shared" si="317"/>
        <v>BatchOut_171026_r5178_FinalRel-v3-SSTSG_RIc\XML\</v>
      </c>
      <c r="E80" s="9" t="str">
        <f t="shared" si="318"/>
        <v>x</v>
      </c>
      <c r="F80" s="22"/>
      <c r="G80" s="29"/>
      <c r="H80" s="23" t="str">
        <f>IF(F80&gt;1,1,"")</f>
        <v/>
      </c>
      <c r="I80" s="9" t="s">
        <v>11</v>
      </c>
      <c r="J80"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0" s="15" t="s">
        <v>1</v>
      </c>
      <c r="L80" s="36">
        <f t="shared" si="331"/>
        <v>0</v>
      </c>
      <c r="M80" s="91" t="str">
        <f t="shared" si="319"/>
        <v>x</v>
      </c>
      <c r="N80" s="90" t="s">
        <v>149</v>
      </c>
      <c r="O80" s="57" t="str">
        <f t="shared" si="285"/>
        <v>x</v>
      </c>
      <c r="P80" s="63">
        <f t="shared" si="332"/>
        <v>1</v>
      </c>
      <c r="Q80" s="65">
        <f t="shared" si="333"/>
        <v>1</v>
      </c>
      <c r="R80" s="65">
        <f t="shared" si="334"/>
        <v>0</v>
      </c>
      <c r="S80" s="65">
        <f t="shared" si="335"/>
        <v>1</v>
      </c>
      <c r="T80" s="65">
        <f t="shared" si="336"/>
        <v>0</v>
      </c>
      <c r="U80" s="65">
        <f t="shared" si="337"/>
        <v>8</v>
      </c>
      <c r="V80" s="65">
        <f t="shared" si="337"/>
        <v>8</v>
      </c>
      <c r="W80" s="65">
        <f t="shared" si="338"/>
        <v>1</v>
      </c>
      <c r="X80" s="65">
        <f t="shared" si="338"/>
        <v>0</v>
      </c>
      <c r="Y80" s="65">
        <f t="shared" si="338"/>
        <v>0</v>
      </c>
      <c r="Z80" s="65">
        <f t="shared" si="339"/>
        <v>0</v>
      </c>
      <c r="AA80" s="65">
        <f t="shared" si="340"/>
        <v>0</v>
      </c>
      <c r="AB80" s="65">
        <f t="shared" si="340"/>
        <v>1</v>
      </c>
      <c r="AC80" s="65">
        <f t="shared" si="325"/>
        <v>0</v>
      </c>
      <c r="AD80" s="61">
        <f t="shared" si="325"/>
        <v>1</v>
      </c>
      <c r="AE80" s="61">
        <f t="shared" ref="AE80:AF80" si="363">AE79</f>
        <v>0</v>
      </c>
      <c r="AF80" s="61">
        <f t="shared" si="363"/>
        <v>0</v>
      </c>
      <c r="AG80" s="61">
        <f t="shared" ref="AG80:AH80" si="364">AG79</f>
        <v>0</v>
      </c>
      <c r="AH80" s="61">
        <f t="shared" si="364"/>
        <v>0</v>
      </c>
      <c r="AI80" s="61">
        <f t="shared" ref="AI80" si="365">AI79</f>
        <v>0</v>
      </c>
      <c r="AJ80" s="63">
        <f t="shared" si="344"/>
        <v>0</v>
      </c>
      <c r="AK80" s="64">
        <f t="shared" si="345"/>
        <v>0</v>
      </c>
      <c r="AL80" s="64">
        <f t="shared" si="346"/>
        <v>0</v>
      </c>
      <c r="AM80" s="64">
        <f t="shared" si="347"/>
        <v>0</v>
      </c>
      <c r="AN80" s="66">
        <f t="shared" si="348"/>
        <v>0</v>
      </c>
      <c r="AO80" s="63">
        <f t="shared" si="349"/>
        <v>0</v>
      </c>
      <c r="AP80" s="64">
        <f t="shared" si="350"/>
        <v>0</v>
      </c>
      <c r="AQ80" s="65">
        <f t="shared" si="350"/>
        <v>0</v>
      </c>
      <c r="AR80" s="66">
        <f t="shared" si="350"/>
        <v>0</v>
      </c>
      <c r="AS80" s="31" t="str">
        <f t="shared" si="287"/>
        <v>SimulationStorage,1,</v>
      </c>
      <c r="AT80" s="31" t="str">
        <f t="shared" si="288"/>
        <v>AnalysisStorage,1,</v>
      </c>
      <c r="AU80" s="31" t="str">
        <f t="shared" si="289"/>
        <v>LogRuleEvaluation,0,</v>
      </c>
      <c r="AV80" s="31" t="str">
        <f t="shared" si="290"/>
        <v>ParallelSimulations,1,</v>
      </c>
      <c r="AW80" s="31" t="str">
        <f t="shared" si="291"/>
        <v>DurationStats,0,</v>
      </c>
      <c r="AX80" s="31" t="str">
        <f t="shared" si="292"/>
        <v>AnalysisThruStep,8,</v>
      </c>
      <c r="AY80" s="31" t="str">
        <f t="shared" si="293"/>
        <v>DontAbortOnErrorsThruStep,8,</v>
      </c>
      <c r="AZ80" s="31" t="str">
        <f t="shared" si="294"/>
        <v>BypassValidFileChecks,1,</v>
      </c>
      <c r="BA80" s="31" t="str">
        <f t="shared" si="295"/>
        <v>BypassInputChecks,0,</v>
      </c>
      <c r="BB80" s="31" t="str">
        <f t="shared" si="296"/>
        <v>BypassUMLHChecks,0,</v>
      </c>
      <c r="BC80" s="31" t="str">
        <f t="shared" si="297"/>
        <v>BypassCheckSimRules,0,</v>
      </c>
      <c r="BD80" s="31" t="str">
        <f t="shared" si="298"/>
        <v>BypassCheckCodeRules,0,</v>
      </c>
      <c r="BE80" s="31" t="str">
        <f t="shared" si="299"/>
        <v>StoreResultsToModelInput,1,</v>
      </c>
      <c r="BF80" s="31" t="str">
        <f t="shared" si="300"/>
        <v>StoreBEMDetails,0,</v>
      </c>
      <c r="BG80" s="31" t="str">
        <f t="shared" si="301"/>
        <v>ModelRpt_ALL,1,</v>
      </c>
      <c r="BH80" s="31" t="str">
        <f t="shared" si="302"/>
        <v>ExportHourlyResults_All,0,</v>
      </c>
      <c r="BI80" s="31" t="str">
        <f t="shared" si="303"/>
        <v>ComplianceReportPDF,0,</v>
      </c>
      <c r="BJ80" s="31" t="str">
        <f t="shared" si="304"/>
        <v>ComplianceReportXML,0,</v>
      </c>
      <c r="BK80" s="31" t="str">
        <f t="shared" si="305"/>
        <v>QuickAnalysis,0,</v>
      </c>
      <c r="BL80" s="31" t="str">
        <f t="shared" si="305"/>
        <v>PromptUserUMLHWarning,0,</v>
      </c>
      <c r="BM80" s="31" t="str">
        <f t="shared" si="306"/>
        <v>BypassOpenStudio_all,0,</v>
      </c>
      <c r="BN80" s="31" t="str">
        <f t="shared" si="307"/>
        <v>BypassOpenStudio_zp,0,</v>
      </c>
      <c r="BO80" s="31" t="str">
        <f t="shared" si="308"/>
        <v>BypassOpenStudio_zb,0,</v>
      </c>
      <c r="BP80" s="31" t="str">
        <f t="shared" si="309"/>
        <v>BypassOpenStudio_ap,0,</v>
      </c>
      <c r="BQ80" s="31" t="str">
        <f t="shared" si="310"/>
        <v>BypassOpenStudio_ab,0,</v>
      </c>
      <c r="BR80" s="31" t="str">
        <f t="shared" si="311"/>
        <v>BypassOpenStudio_zp,0,</v>
      </c>
      <c r="BS80" s="31" t="str">
        <f t="shared" si="312"/>
        <v>BypassOpenStudio_zb,0,</v>
      </c>
      <c r="BT80" s="31" t="str">
        <f t="shared" si="313"/>
        <v>BypassOpenStudio_ap,0,</v>
      </c>
      <c r="BU80" s="31" t="str">
        <f t="shared" si="314"/>
        <v>BypassOpenStudio_ab,0,</v>
      </c>
    </row>
    <row r="81" spans="1:73" hidden="1" outlineLevel="1" x14ac:dyDescent="0.25">
      <c r="A81" s="39">
        <f t="shared" si="283"/>
        <v>0</v>
      </c>
      <c r="B81" s="27" t="str">
        <f t="shared" si="315"/>
        <v>RulesetImplementation2016Tests\x\x.cibd16</v>
      </c>
      <c r="C81" s="27" t="str">
        <f t="shared" si="316"/>
        <v>BatchOut_171026_r5178_FinalRel-v3-SSTSG_RIc\x.cibd16</v>
      </c>
      <c r="D81" s="27" t="str">
        <f t="shared" si="317"/>
        <v>BatchOut_171026_r5178_FinalRel-v3-SSTSG_RIc\XML\</v>
      </c>
      <c r="E81" s="9" t="str">
        <f t="shared" si="318"/>
        <v>x</v>
      </c>
      <c r="F81" s="22"/>
      <c r="G81" s="29"/>
      <c r="H81" s="23"/>
      <c r="I81" s="9" t="s">
        <v>11</v>
      </c>
      <c r="J81"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1" s="15" t="s">
        <v>1</v>
      </c>
      <c r="L81" s="36">
        <f t="shared" si="331"/>
        <v>0</v>
      </c>
      <c r="M81" s="91" t="str">
        <f t="shared" si="319"/>
        <v>x</v>
      </c>
      <c r="N81" s="90" t="s">
        <v>149</v>
      </c>
      <c r="O81" s="57" t="str">
        <f t="shared" si="285"/>
        <v>x</v>
      </c>
      <c r="P81" s="63">
        <f t="shared" si="332"/>
        <v>1</v>
      </c>
      <c r="Q81" s="65">
        <f t="shared" si="333"/>
        <v>1</v>
      </c>
      <c r="R81" s="65">
        <f t="shared" si="334"/>
        <v>0</v>
      </c>
      <c r="S81" s="65">
        <f t="shared" si="335"/>
        <v>1</v>
      </c>
      <c r="T81" s="65">
        <f t="shared" si="336"/>
        <v>0</v>
      </c>
      <c r="U81" s="65">
        <f t="shared" si="337"/>
        <v>8</v>
      </c>
      <c r="V81" s="65">
        <f t="shared" si="337"/>
        <v>8</v>
      </c>
      <c r="W81" s="65">
        <f t="shared" si="338"/>
        <v>1</v>
      </c>
      <c r="X81" s="65">
        <f t="shared" si="338"/>
        <v>0</v>
      </c>
      <c r="Y81" s="65">
        <f t="shared" si="338"/>
        <v>0</v>
      </c>
      <c r="Z81" s="65">
        <f t="shared" si="339"/>
        <v>0</v>
      </c>
      <c r="AA81" s="65">
        <f t="shared" si="340"/>
        <v>0</v>
      </c>
      <c r="AB81" s="65">
        <f t="shared" si="340"/>
        <v>1</v>
      </c>
      <c r="AC81" s="65">
        <f t="shared" si="325"/>
        <v>0</v>
      </c>
      <c r="AD81" s="61">
        <f t="shared" si="325"/>
        <v>1</v>
      </c>
      <c r="AE81" s="61">
        <f t="shared" ref="AE81:AF81" si="366">AE80</f>
        <v>0</v>
      </c>
      <c r="AF81" s="61">
        <f t="shared" si="366"/>
        <v>0</v>
      </c>
      <c r="AG81" s="61">
        <f t="shared" ref="AG81:AH81" si="367">AG80</f>
        <v>0</v>
      </c>
      <c r="AH81" s="61">
        <f t="shared" si="367"/>
        <v>0</v>
      </c>
      <c r="AI81" s="61">
        <f t="shared" ref="AI81" si="368">AI80</f>
        <v>0</v>
      </c>
      <c r="AJ81" s="63">
        <f t="shared" si="344"/>
        <v>0</v>
      </c>
      <c r="AK81" s="64">
        <f t="shared" si="345"/>
        <v>0</v>
      </c>
      <c r="AL81" s="64">
        <f t="shared" si="346"/>
        <v>0</v>
      </c>
      <c r="AM81" s="64">
        <f t="shared" si="347"/>
        <v>0</v>
      </c>
      <c r="AN81" s="66">
        <f t="shared" si="348"/>
        <v>0</v>
      </c>
      <c r="AO81" s="63">
        <f t="shared" si="349"/>
        <v>0</v>
      </c>
      <c r="AP81" s="64">
        <f t="shared" si="350"/>
        <v>0</v>
      </c>
      <c r="AQ81" s="65">
        <f t="shared" si="350"/>
        <v>0</v>
      </c>
      <c r="AR81" s="66">
        <f t="shared" si="350"/>
        <v>0</v>
      </c>
      <c r="AS81" s="31" t="str">
        <f t="shared" si="287"/>
        <v>SimulationStorage,1,</v>
      </c>
      <c r="AT81" s="31" t="str">
        <f t="shared" si="288"/>
        <v>AnalysisStorage,1,</v>
      </c>
      <c r="AU81" s="31" t="str">
        <f t="shared" si="289"/>
        <v>LogRuleEvaluation,0,</v>
      </c>
      <c r="AV81" s="31" t="str">
        <f t="shared" si="290"/>
        <v>ParallelSimulations,1,</v>
      </c>
      <c r="AW81" s="31" t="str">
        <f t="shared" si="291"/>
        <v>DurationStats,0,</v>
      </c>
      <c r="AX81" s="31" t="str">
        <f t="shared" si="292"/>
        <v>AnalysisThruStep,8,</v>
      </c>
      <c r="AY81" s="31" t="str">
        <f t="shared" si="293"/>
        <v>DontAbortOnErrorsThruStep,8,</v>
      </c>
      <c r="AZ81" s="31" t="str">
        <f t="shared" si="294"/>
        <v>BypassValidFileChecks,1,</v>
      </c>
      <c r="BA81" s="31" t="str">
        <f t="shared" si="295"/>
        <v>BypassInputChecks,0,</v>
      </c>
      <c r="BB81" s="31" t="str">
        <f t="shared" si="296"/>
        <v>BypassUMLHChecks,0,</v>
      </c>
      <c r="BC81" s="31" t="str">
        <f t="shared" si="297"/>
        <v>BypassCheckSimRules,0,</v>
      </c>
      <c r="BD81" s="31" t="str">
        <f t="shared" si="298"/>
        <v>BypassCheckCodeRules,0,</v>
      </c>
      <c r="BE81" s="31" t="str">
        <f t="shared" si="299"/>
        <v>StoreResultsToModelInput,1,</v>
      </c>
      <c r="BF81" s="31" t="str">
        <f t="shared" si="300"/>
        <v>StoreBEMDetails,0,</v>
      </c>
      <c r="BG81" s="31" t="str">
        <f t="shared" si="301"/>
        <v>ModelRpt_ALL,1,</v>
      </c>
      <c r="BH81" s="31" t="str">
        <f t="shared" si="302"/>
        <v>ExportHourlyResults_All,0,</v>
      </c>
      <c r="BI81" s="31" t="str">
        <f t="shared" si="303"/>
        <v>ComplianceReportPDF,0,</v>
      </c>
      <c r="BJ81" s="31" t="str">
        <f t="shared" si="304"/>
        <v>ComplianceReportXML,0,</v>
      </c>
      <c r="BK81" s="31" t="str">
        <f t="shared" si="305"/>
        <v>QuickAnalysis,0,</v>
      </c>
      <c r="BL81" s="31" t="str">
        <f t="shared" si="305"/>
        <v>PromptUserUMLHWarning,0,</v>
      </c>
      <c r="BM81" s="31" t="str">
        <f t="shared" si="306"/>
        <v>BypassOpenStudio_all,0,</v>
      </c>
      <c r="BN81" s="31" t="str">
        <f t="shared" si="307"/>
        <v>BypassOpenStudio_zp,0,</v>
      </c>
      <c r="BO81" s="31" t="str">
        <f t="shared" si="308"/>
        <v>BypassOpenStudio_zb,0,</v>
      </c>
      <c r="BP81" s="31" t="str">
        <f t="shared" si="309"/>
        <v>BypassOpenStudio_ap,0,</v>
      </c>
      <c r="BQ81" s="31" t="str">
        <f t="shared" si="310"/>
        <v>BypassOpenStudio_ab,0,</v>
      </c>
      <c r="BR81" s="31" t="str">
        <f t="shared" si="311"/>
        <v>BypassOpenStudio_zp,0,</v>
      </c>
      <c r="BS81" s="31" t="str">
        <f t="shared" si="312"/>
        <v>BypassOpenStudio_zb,0,</v>
      </c>
      <c r="BT81" s="31" t="str">
        <f t="shared" si="313"/>
        <v>BypassOpenStudio_ap,0,</v>
      </c>
      <c r="BU81" s="31" t="str">
        <f t="shared" si="314"/>
        <v>BypassOpenStudio_ab,0,</v>
      </c>
    </row>
    <row r="82" spans="1:73" hidden="1" outlineLevel="1" x14ac:dyDescent="0.25">
      <c r="A82" s="39">
        <f t="shared" si="283"/>
        <v>0</v>
      </c>
      <c r="B82" s="27" t="str">
        <f t="shared" si="315"/>
        <v>RulesetImplementation2016Tests\x\x.cibd16</v>
      </c>
      <c r="C82" s="27" t="str">
        <f t="shared" si="316"/>
        <v>BatchOut_171026_r5178_FinalRel-v3-SSTSG_RIc\x.cibd16</v>
      </c>
      <c r="D82" s="27" t="str">
        <f t="shared" si="317"/>
        <v>BatchOut_171026_r5178_FinalRel-v3-SSTSG_RIc\XML\</v>
      </c>
      <c r="E82" s="9" t="str">
        <f t="shared" si="318"/>
        <v>x</v>
      </c>
      <c r="F82" s="22"/>
      <c r="G82" s="29"/>
      <c r="H82" s="23"/>
      <c r="I82" s="9" t="s">
        <v>11</v>
      </c>
      <c r="J82"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2" s="15" t="s">
        <v>1</v>
      </c>
      <c r="L82" s="36">
        <f t="shared" si="331"/>
        <v>0</v>
      </c>
      <c r="M82" s="91" t="str">
        <f t="shared" si="319"/>
        <v>x</v>
      </c>
      <c r="N82" s="90" t="s">
        <v>149</v>
      </c>
      <c r="O82" s="57" t="str">
        <f t="shared" si="285"/>
        <v>x</v>
      </c>
      <c r="P82" s="63">
        <f t="shared" si="332"/>
        <v>1</v>
      </c>
      <c r="Q82" s="65">
        <f t="shared" si="333"/>
        <v>1</v>
      </c>
      <c r="R82" s="65">
        <f t="shared" si="334"/>
        <v>0</v>
      </c>
      <c r="S82" s="65">
        <f t="shared" si="335"/>
        <v>1</v>
      </c>
      <c r="T82" s="65">
        <f t="shared" si="336"/>
        <v>0</v>
      </c>
      <c r="U82" s="65">
        <f t="shared" si="337"/>
        <v>8</v>
      </c>
      <c r="V82" s="65">
        <f t="shared" si="337"/>
        <v>8</v>
      </c>
      <c r="W82" s="65">
        <f t="shared" si="338"/>
        <v>1</v>
      </c>
      <c r="X82" s="65">
        <f t="shared" si="338"/>
        <v>0</v>
      </c>
      <c r="Y82" s="65">
        <f t="shared" si="338"/>
        <v>0</v>
      </c>
      <c r="Z82" s="65">
        <f t="shared" si="339"/>
        <v>0</v>
      </c>
      <c r="AA82" s="65">
        <f t="shared" si="340"/>
        <v>0</v>
      </c>
      <c r="AB82" s="65">
        <f t="shared" si="340"/>
        <v>1</v>
      </c>
      <c r="AC82" s="65">
        <f t="shared" si="325"/>
        <v>0</v>
      </c>
      <c r="AD82" s="61">
        <f t="shared" si="325"/>
        <v>1</v>
      </c>
      <c r="AE82" s="61">
        <f t="shared" ref="AE82:AF82" si="369">AE81</f>
        <v>0</v>
      </c>
      <c r="AF82" s="61">
        <f t="shared" si="369"/>
        <v>0</v>
      </c>
      <c r="AG82" s="61">
        <f t="shared" ref="AG82:AH82" si="370">AG81</f>
        <v>0</v>
      </c>
      <c r="AH82" s="61">
        <f t="shared" si="370"/>
        <v>0</v>
      </c>
      <c r="AI82" s="61">
        <f t="shared" ref="AI82" si="371">AI81</f>
        <v>0</v>
      </c>
      <c r="AJ82" s="63">
        <f t="shared" si="344"/>
        <v>0</v>
      </c>
      <c r="AK82" s="64">
        <f t="shared" si="345"/>
        <v>0</v>
      </c>
      <c r="AL82" s="64">
        <f t="shared" si="346"/>
        <v>0</v>
      </c>
      <c r="AM82" s="64">
        <f t="shared" si="347"/>
        <v>0</v>
      </c>
      <c r="AN82" s="66">
        <f t="shared" si="348"/>
        <v>0</v>
      </c>
      <c r="AO82" s="63">
        <f t="shared" si="349"/>
        <v>0</v>
      </c>
      <c r="AP82" s="64">
        <f t="shared" si="350"/>
        <v>0</v>
      </c>
      <c r="AQ82" s="65">
        <f t="shared" si="350"/>
        <v>0</v>
      </c>
      <c r="AR82" s="66">
        <f t="shared" si="350"/>
        <v>0</v>
      </c>
      <c r="AS82" s="31" t="str">
        <f t="shared" si="287"/>
        <v>SimulationStorage,1,</v>
      </c>
      <c r="AT82" s="31" t="str">
        <f t="shared" si="288"/>
        <v>AnalysisStorage,1,</v>
      </c>
      <c r="AU82" s="31" t="str">
        <f t="shared" si="289"/>
        <v>LogRuleEvaluation,0,</v>
      </c>
      <c r="AV82" s="31" t="str">
        <f t="shared" si="290"/>
        <v>ParallelSimulations,1,</v>
      </c>
      <c r="AW82" s="31" t="str">
        <f t="shared" si="291"/>
        <v>DurationStats,0,</v>
      </c>
      <c r="AX82" s="31" t="str">
        <f t="shared" si="292"/>
        <v>AnalysisThruStep,8,</v>
      </c>
      <c r="AY82" s="31" t="str">
        <f t="shared" si="293"/>
        <v>DontAbortOnErrorsThruStep,8,</v>
      </c>
      <c r="AZ82" s="31" t="str">
        <f t="shared" si="294"/>
        <v>BypassValidFileChecks,1,</v>
      </c>
      <c r="BA82" s="31" t="str">
        <f t="shared" si="295"/>
        <v>BypassInputChecks,0,</v>
      </c>
      <c r="BB82" s="31" t="str">
        <f t="shared" si="296"/>
        <v>BypassUMLHChecks,0,</v>
      </c>
      <c r="BC82" s="31" t="str">
        <f t="shared" si="297"/>
        <v>BypassCheckSimRules,0,</v>
      </c>
      <c r="BD82" s="31" t="str">
        <f t="shared" si="298"/>
        <v>BypassCheckCodeRules,0,</v>
      </c>
      <c r="BE82" s="31" t="str">
        <f t="shared" si="299"/>
        <v>StoreResultsToModelInput,1,</v>
      </c>
      <c r="BF82" s="31" t="str">
        <f t="shared" si="300"/>
        <v>StoreBEMDetails,0,</v>
      </c>
      <c r="BG82" s="31" t="str">
        <f t="shared" si="301"/>
        <v>ModelRpt_ALL,1,</v>
      </c>
      <c r="BH82" s="31" t="str">
        <f t="shared" si="302"/>
        <v>ExportHourlyResults_All,0,</v>
      </c>
      <c r="BI82" s="31" t="str">
        <f t="shared" si="303"/>
        <v>ComplianceReportPDF,0,</v>
      </c>
      <c r="BJ82" s="31" t="str">
        <f t="shared" si="304"/>
        <v>ComplianceReportXML,0,</v>
      </c>
      <c r="BK82" s="31" t="str">
        <f t="shared" si="305"/>
        <v>QuickAnalysis,0,</v>
      </c>
      <c r="BL82" s="31" t="str">
        <f t="shared" si="305"/>
        <v>PromptUserUMLHWarning,0,</v>
      </c>
      <c r="BM82" s="31" t="str">
        <f t="shared" si="306"/>
        <v>BypassOpenStudio_all,0,</v>
      </c>
      <c r="BN82" s="31" t="str">
        <f t="shared" si="307"/>
        <v>BypassOpenStudio_zp,0,</v>
      </c>
      <c r="BO82" s="31" t="str">
        <f t="shared" si="308"/>
        <v>BypassOpenStudio_zb,0,</v>
      </c>
      <c r="BP82" s="31" t="str">
        <f t="shared" si="309"/>
        <v>BypassOpenStudio_ap,0,</v>
      </c>
      <c r="BQ82" s="31" t="str">
        <f t="shared" si="310"/>
        <v>BypassOpenStudio_ab,0,</v>
      </c>
      <c r="BR82" s="31" t="str">
        <f t="shared" si="311"/>
        <v>BypassOpenStudio_zp,0,</v>
      </c>
      <c r="BS82" s="31" t="str">
        <f t="shared" si="312"/>
        <v>BypassOpenStudio_zb,0,</v>
      </c>
      <c r="BT82" s="31" t="str">
        <f t="shared" si="313"/>
        <v>BypassOpenStudio_ap,0,</v>
      </c>
      <c r="BU82" s="31" t="str">
        <f t="shared" si="314"/>
        <v>BypassOpenStudio_ab,0,</v>
      </c>
    </row>
    <row r="83" spans="1:73" hidden="1" outlineLevel="1" x14ac:dyDescent="0.25">
      <c r="A83" s="39">
        <f t="shared" si="283"/>
        <v>0</v>
      </c>
      <c r="B83" s="27" t="str">
        <f t="shared" si="315"/>
        <v>RulesetImplementation2016Tests\x\x.cibd16</v>
      </c>
      <c r="C83" s="27" t="str">
        <f t="shared" si="316"/>
        <v>BatchOut_171026_r5178_FinalRel-v3-SSTSG_RIc\x.cibd16</v>
      </c>
      <c r="D83" s="27" t="str">
        <f t="shared" si="317"/>
        <v>BatchOut_171026_r5178_FinalRel-v3-SSTSG_RIc\XML\</v>
      </c>
      <c r="E83" s="9" t="str">
        <f t="shared" si="318"/>
        <v>x</v>
      </c>
      <c r="F83" s="22"/>
      <c r="G83" s="29"/>
      <c r="H83" s="23" t="str">
        <f>IF(F83&gt;1,1,"")</f>
        <v/>
      </c>
      <c r="I83" s="9" t="s">
        <v>11</v>
      </c>
      <c r="J83"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3" s="15" t="s">
        <v>1</v>
      </c>
      <c r="L83" s="36">
        <f t="shared" si="331"/>
        <v>0</v>
      </c>
      <c r="M83" s="91" t="str">
        <f t="shared" si="319"/>
        <v>x</v>
      </c>
      <c r="N83" s="90" t="s">
        <v>149</v>
      </c>
      <c r="O83" s="57" t="str">
        <f t="shared" si="285"/>
        <v>x</v>
      </c>
      <c r="P83" s="63">
        <f t="shared" si="332"/>
        <v>1</v>
      </c>
      <c r="Q83" s="65">
        <f t="shared" si="333"/>
        <v>1</v>
      </c>
      <c r="R83" s="65">
        <f t="shared" si="334"/>
        <v>0</v>
      </c>
      <c r="S83" s="65">
        <f t="shared" si="335"/>
        <v>1</v>
      </c>
      <c r="T83" s="65">
        <f t="shared" si="336"/>
        <v>0</v>
      </c>
      <c r="U83" s="65">
        <f t="shared" si="337"/>
        <v>8</v>
      </c>
      <c r="V83" s="65">
        <f t="shared" si="337"/>
        <v>8</v>
      </c>
      <c r="W83" s="65">
        <f t="shared" si="338"/>
        <v>1</v>
      </c>
      <c r="X83" s="65">
        <f t="shared" si="338"/>
        <v>0</v>
      </c>
      <c r="Y83" s="65">
        <f t="shared" si="338"/>
        <v>0</v>
      </c>
      <c r="Z83" s="65">
        <f t="shared" si="339"/>
        <v>0</v>
      </c>
      <c r="AA83" s="65">
        <f t="shared" si="340"/>
        <v>0</v>
      </c>
      <c r="AB83" s="65">
        <f t="shared" si="340"/>
        <v>1</v>
      </c>
      <c r="AC83" s="65">
        <f t="shared" si="325"/>
        <v>0</v>
      </c>
      <c r="AD83" s="61">
        <f t="shared" si="325"/>
        <v>1</v>
      </c>
      <c r="AE83" s="61">
        <f t="shared" ref="AE83:AF83" si="372">AE82</f>
        <v>0</v>
      </c>
      <c r="AF83" s="61">
        <f t="shared" si="372"/>
        <v>0</v>
      </c>
      <c r="AG83" s="61">
        <f t="shared" ref="AG83:AH83" si="373">AG82</f>
        <v>0</v>
      </c>
      <c r="AH83" s="61">
        <f t="shared" si="373"/>
        <v>0</v>
      </c>
      <c r="AI83" s="61">
        <f t="shared" ref="AI83" si="374">AI82</f>
        <v>0</v>
      </c>
      <c r="AJ83" s="63">
        <f t="shared" si="344"/>
        <v>0</v>
      </c>
      <c r="AK83" s="64">
        <f t="shared" si="345"/>
        <v>0</v>
      </c>
      <c r="AL83" s="64">
        <f t="shared" si="346"/>
        <v>0</v>
      </c>
      <c r="AM83" s="64">
        <f t="shared" si="347"/>
        <v>0</v>
      </c>
      <c r="AN83" s="66">
        <f t="shared" si="348"/>
        <v>0</v>
      </c>
      <c r="AO83" s="63">
        <f t="shared" si="349"/>
        <v>0</v>
      </c>
      <c r="AP83" s="64">
        <f t="shared" si="350"/>
        <v>0</v>
      </c>
      <c r="AQ83" s="65">
        <f t="shared" si="350"/>
        <v>0</v>
      </c>
      <c r="AR83" s="66">
        <f t="shared" si="350"/>
        <v>0</v>
      </c>
      <c r="AS83" s="31" t="str">
        <f t="shared" si="287"/>
        <v>SimulationStorage,1,</v>
      </c>
      <c r="AT83" s="31" t="str">
        <f t="shared" si="288"/>
        <v>AnalysisStorage,1,</v>
      </c>
      <c r="AU83" s="31" t="str">
        <f t="shared" si="289"/>
        <v>LogRuleEvaluation,0,</v>
      </c>
      <c r="AV83" s="31" t="str">
        <f t="shared" si="290"/>
        <v>ParallelSimulations,1,</v>
      </c>
      <c r="AW83" s="31" t="str">
        <f t="shared" si="291"/>
        <v>DurationStats,0,</v>
      </c>
      <c r="AX83" s="31" t="str">
        <f t="shared" si="292"/>
        <v>AnalysisThruStep,8,</v>
      </c>
      <c r="AY83" s="31" t="str">
        <f t="shared" si="293"/>
        <v>DontAbortOnErrorsThruStep,8,</v>
      </c>
      <c r="AZ83" s="31" t="str">
        <f t="shared" si="294"/>
        <v>BypassValidFileChecks,1,</v>
      </c>
      <c r="BA83" s="31" t="str">
        <f t="shared" si="295"/>
        <v>BypassInputChecks,0,</v>
      </c>
      <c r="BB83" s="31" t="str">
        <f t="shared" si="296"/>
        <v>BypassUMLHChecks,0,</v>
      </c>
      <c r="BC83" s="31" t="str">
        <f t="shared" si="297"/>
        <v>BypassCheckSimRules,0,</v>
      </c>
      <c r="BD83" s="31" t="str">
        <f t="shared" si="298"/>
        <v>BypassCheckCodeRules,0,</v>
      </c>
      <c r="BE83" s="31" t="str">
        <f t="shared" si="299"/>
        <v>StoreResultsToModelInput,1,</v>
      </c>
      <c r="BF83" s="31" t="str">
        <f t="shared" si="300"/>
        <v>StoreBEMDetails,0,</v>
      </c>
      <c r="BG83" s="31" t="str">
        <f t="shared" si="301"/>
        <v>ModelRpt_ALL,1,</v>
      </c>
      <c r="BH83" s="31" t="str">
        <f t="shared" si="302"/>
        <v>ExportHourlyResults_All,0,</v>
      </c>
      <c r="BI83" s="31" t="str">
        <f t="shared" si="303"/>
        <v>ComplianceReportPDF,0,</v>
      </c>
      <c r="BJ83" s="31" t="str">
        <f t="shared" si="304"/>
        <v>ComplianceReportXML,0,</v>
      </c>
      <c r="BK83" s="31" t="str">
        <f t="shared" si="305"/>
        <v>QuickAnalysis,0,</v>
      </c>
      <c r="BL83" s="31" t="str">
        <f t="shared" si="305"/>
        <v>PromptUserUMLHWarning,0,</v>
      </c>
      <c r="BM83" s="31" t="str">
        <f t="shared" si="306"/>
        <v>BypassOpenStudio_all,0,</v>
      </c>
      <c r="BN83" s="31" t="str">
        <f t="shared" si="307"/>
        <v>BypassOpenStudio_zp,0,</v>
      </c>
      <c r="BO83" s="31" t="str">
        <f t="shared" si="308"/>
        <v>BypassOpenStudio_zb,0,</v>
      </c>
      <c r="BP83" s="31" t="str">
        <f t="shared" si="309"/>
        <v>BypassOpenStudio_ap,0,</v>
      </c>
      <c r="BQ83" s="31" t="str">
        <f t="shared" si="310"/>
        <v>BypassOpenStudio_ab,0,</v>
      </c>
      <c r="BR83" s="31" t="str">
        <f t="shared" si="311"/>
        <v>BypassOpenStudio_zp,0,</v>
      </c>
      <c r="BS83" s="31" t="str">
        <f t="shared" si="312"/>
        <v>BypassOpenStudio_zb,0,</v>
      </c>
      <c r="BT83" s="31" t="str">
        <f t="shared" si="313"/>
        <v>BypassOpenStudio_ap,0,</v>
      </c>
      <c r="BU83" s="31" t="str">
        <f t="shared" si="314"/>
        <v>BypassOpenStudio_ab,0,</v>
      </c>
    </row>
    <row r="84" spans="1:73" hidden="1" outlineLevel="1" x14ac:dyDescent="0.25">
      <c r="A84" s="39">
        <f t="shared" si="283"/>
        <v>0</v>
      </c>
      <c r="B84" s="27" t="str">
        <f t="shared" si="315"/>
        <v>RulesetImplementation2016Tests\x\x.cibd16</v>
      </c>
      <c r="C84" s="27" t="str">
        <f t="shared" si="316"/>
        <v>BatchOut_171026_r5178_FinalRel-v3-SSTSG_RIc\x.cibd16</v>
      </c>
      <c r="D84" s="27" t="str">
        <f t="shared" si="317"/>
        <v>BatchOut_171026_r5178_FinalRel-v3-SSTSG_RIc\XML\</v>
      </c>
      <c r="E84" s="9" t="str">
        <f t="shared" si="318"/>
        <v>x</v>
      </c>
      <c r="F84" s="22"/>
      <c r="G84" s="29"/>
      <c r="H84" s="23" t="str">
        <f>IF(F84&gt;1,1,"")</f>
        <v/>
      </c>
      <c r="I84" s="9" t="s">
        <v>11</v>
      </c>
      <c r="J8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4" s="15" t="s">
        <v>1</v>
      </c>
      <c r="L84" s="36">
        <f t="shared" si="331"/>
        <v>0</v>
      </c>
      <c r="M84" s="91" t="str">
        <f t="shared" si="319"/>
        <v>x</v>
      </c>
      <c r="N84" s="90" t="s">
        <v>149</v>
      </c>
      <c r="O84" s="57" t="str">
        <f t="shared" si="285"/>
        <v>x</v>
      </c>
      <c r="P84" s="63">
        <f t="shared" si="332"/>
        <v>1</v>
      </c>
      <c r="Q84" s="65">
        <f t="shared" si="333"/>
        <v>1</v>
      </c>
      <c r="R84" s="65">
        <f t="shared" si="334"/>
        <v>0</v>
      </c>
      <c r="S84" s="65">
        <f t="shared" si="335"/>
        <v>1</v>
      </c>
      <c r="T84" s="65">
        <f t="shared" si="336"/>
        <v>0</v>
      </c>
      <c r="U84" s="65">
        <f t="shared" si="337"/>
        <v>8</v>
      </c>
      <c r="V84" s="65">
        <f t="shared" si="337"/>
        <v>8</v>
      </c>
      <c r="W84" s="65">
        <f t="shared" si="338"/>
        <v>1</v>
      </c>
      <c r="X84" s="65">
        <f t="shared" si="338"/>
        <v>0</v>
      </c>
      <c r="Y84" s="65">
        <f t="shared" si="338"/>
        <v>0</v>
      </c>
      <c r="Z84" s="65">
        <f t="shared" si="339"/>
        <v>0</v>
      </c>
      <c r="AA84" s="65">
        <f t="shared" si="340"/>
        <v>0</v>
      </c>
      <c r="AB84" s="65">
        <f t="shared" si="340"/>
        <v>1</v>
      </c>
      <c r="AC84" s="65">
        <f t="shared" si="325"/>
        <v>0</v>
      </c>
      <c r="AD84" s="61">
        <f t="shared" si="325"/>
        <v>1</v>
      </c>
      <c r="AE84" s="61">
        <f t="shared" ref="AE84:AF84" si="375">AE83</f>
        <v>0</v>
      </c>
      <c r="AF84" s="61">
        <f t="shared" si="375"/>
        <v>0</v>
      </c>
      <c r="AG84" s="61">
        <f t="shared" ref="AG84:AH84" si="376">AG83</f>
        <v>0</v>
      </c>
      <c r="AH84" s="61">
        <f t="shared" si="376"/>
        <v>0</v>
      </c>
      <c r="AI84" s="61">
        <f t="shared" ref="AI84" si="377">AI83</f>
        <v>0</v>
      </c>
      <c r="AJ84" s="63">
        <f t="shared" si="344"/>
        <v>0</v>
      </c>
      <c r="AK84" s="64">
        <f t="shared" si="345"/>
        <v>0</v>
      </c>
      <c r="AL84" s="64">
        <f t="shared" si="346"/>
        <v>0</v>
      </c>
      <c r="AM84" s="64">
        <f t="shared" si="347"/>
        <v>0</v>
      </c>
      <c r="AN84" s="66">
        <f t="shared" si="348"/>
        <v>0</v>
      </c>
      <c r="AO84" s="63">
        <f t="shared" si="349"/>
        <v>0</v>
      </c>
      <c r="AP84" s="64">
        <f t="shared" si="350"/>
        <v>0</v>
      </c>
      <c r="AQ84" s="65">
        <f t="shared" si="350"/>
        <v>0</v>
      </c>
      <c r="AR84" s="66">
        <f t="shared" si="350"/>
        <v>0</v>
      </c>
      <c r="AS84" s="31" t="str">
        <f t="shared" si="287"/>
        <v>SimulationStorage,1,</v>
      </c>
      <c r="AT84" s="31" t="str">
        <f t="shared" si="288"/>
        <v>AnalysisStorage,1,</v>
      </c>
      <c r="AU84" s="31" t="str">
        <f t="shared" si="289"/>
        <v>LogRuleEvaluation,0,</v>
      </c>
      <c r="AV84" s="31" t="str">
        <f t="shared" si="290"/>
        <v>ParallelSimulations,1,</v>
      </c>
      <c r="AW84" s="31" t="str">
        <f t="shared" si="291"/>
        <v>DurationStats,0,</v>
      </c>
      <c r="AX84" s="31" t="str">
        <f t="shared" si="292"/>
        <v>AnalysisThruStep,8,</v>
      </c>
      <c r="AY84" s="31" t="str">
        <f t="shared" si="293"/>
        <v>DontAbortOnErrorsThruStep,8,</v>
      </c>
      <c r="AZ84" s="31" t="str">
        <f t="shared" si="294"/>
        <v>BypassValidFileChecks,1,</v>
      </c>
      <c r="BA84" s="31" t="str">
        <f t="shared" si="295"/>
        <v>BypassInputChecks,0,</v>
      </c>
      <c r="BB84" s="31" t="str">
        <f t="shared" si="296"/>
        <v>BypassUMLHChecks,0,</v>
      </c>
      <c r="BC84" s="31" t="str">
        <f t="shared" si="297"/>
        <v>BypassCheckSimRules,0,</v>
      </c>
      <c r="BD84" s="31" t="str">
        <f t="shared" si="298"/>
        <v>BypassCheckCodeRules,0,</v>
      </c>
      <c r="BE84" s="31" t="str">
        <f t="shared" si="299"/>
        <v>StoreResultsToModelInput,1,</v>
      </c>
      <c r="BF84" s="31" t="str">
        <f t="shared" si="300"/>
        <v>StoreBEMDetails,0,</v>
      </c>
      <c r="BG84" s="31" t="str">
        <f t="shared" si="301"/>
        <v>ModelRpt_ALL,1,</v>
      </c>
      <c r="BH84" s="31" t="str">
        <f t="shared" si="302"/>
        <v>ExportHourlyResults_All,0,</v>
      </c>
      <c r="BI84" s="31" t="str">
        <f t="shared" si="303"/>
        <v>ComplianceReportPDF,0,</v>
      </c>
      <c r="BJ84" s="31" t="str">
        <f t="shared" si="304"/>
        <v>ComplianceReportXML,0,</v>
      </c>
      <c r="BK84" s="31" t="str">
        <f t="shared" si="305"/>
        <v>QuickAnalysis,0,</v>
      </c>
      <c r="BL84" s="31" t="str">
        <f t="shared" si="305"/>
        <v>PromptUserUMLHWarning,0,</v>
      </c>
      <c r="BM84" s="31" t="str">
        <f t="shared" si="306"/>
        <v>BypassOpenStudio_all,0,</v>
      </c>
      <c r="BN84" s="31" t="str">
        <f t="shared" si="307"/>
        <v>BypassOpenStudio_zp,0,</v>
      </c>
      <c r="BO84" s="31" t="str">
        <f t="shared" si="308"/>
        <v>BypassOpenStudio_zb,0,</v>
      </c>
      <c r="BP84" s="31" t="str">
        <f t="shared" si="309"/>
        <v>BypassOpenStudio_ap,0,</v>
      </c>
      <c r="BQ84" s="31" t="str">
        <f t="shared" si="310"/>
        <v>BypassOpenStudio_ab,0,</v>
      </c>
      <c r="BR84" s="31" t="str">
        <f t="shared" si="311"/>
        <v>BypassOpenStudio_zp,0,</v>
      </c>
      <c r="BS84" s="31" t="str">
        <f t="shared" si="312"/>
        <v>BypassOpenStudio_zb,0,</v>
      </c>
      <c r="BT84" s="31" t="str">
        <f t="shared" si="313"/>
        <v>BypassOpenStudio_ap,0,</v>
      </c>
      <c r="BU84" s="31" t="str">
        <f t="shared" si="314"/>
        <v>BypassOpenStudio_ab,0,</v>
      </c>
    </row>
    <row r="85" spans="1:73" hidden="1" outlineLevel="1" x14ac:dyDescent="0.25">
      <c r="A85" s="39">
        <f t="shared" si="283"/>
        <v>0</v>
      </c>
      <c r="B85" s="27" t="str">
        <f t="shared" si="315"/>
        <v>RulesetImplementation2016Tests\x\x.cibd16</v>
      </c>
      <c r="C85" s="27" t="str">
        <f t="shared" si="316"/>
        <v>BatchOut_171026_r5178_FinalRel-v3-SSTSG_RIc\x.cibd16</v>
      </c>
      <c r="D85" s="27" t="str">
        <f t="shared" si="317"/>
        <v>BatchOut_171026_r5178_FinalRel-v3-SSTSG_RIc\XML\</v>
      </c>
      <c r="E85" s="9" t="str">
        <f t="shared" si="318"/>
        <v>x</v>
      </c>
      <c r="F85" s="22"/>
      <c r="G85" s="29"/>
      <c r="H85" s="23" t="str">
        <f>IF(F85&gt;1,1,"")</f>
        <v/>
      </c>
      <c r="I85" s="9" t="s">
        <v>11</v>
      </c>
      <c r="J8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5" s="15" t="s">
        <v>1</v>
      </c>
      <c r="L85" s="36">
        <f t="shared" si="331"/>
        <v>0</v>
      </c>
      <c r="M85" s="91" t="str">
        <f t="shared" si="319"/>
        <v>x</v>
      </c>
      <c r="N85" s="90" t="s">
        <v>149</v>
      </c>
      <c r="O85" s="57" t="str">
        <f t="shared" si="285"/>
        <v>x</v>
      </c>
      <c r="P85" s="63">
        <f t="shared" si="332"/>
        <v>1</v>
      </c>
      <c r="Q85" s="65">
        <f t="shared" si="333"/>
        <v>1</v>
      </c>
      <c r="R85" s="65">
        <f t="shared" si="334"/>
        <v>0</v>
      </c>
      <c r="S85" s="65">
        <f t="shared" si="335"/>
        <v>1</v>
      </c>
      <c r="T85" s="65">
        <f t="shared" si="336"/>
        <v>0</v>
      </c>
      <c r="U85" s="65">
        <f t="shared" si="337"/>
        <v>8</v>
      </c>
      <c r="V85" s="65">
        <f t="shared" si="337"/>
        <v>8</v>
      </c>
      <c r="W85" s="65">
        <f t="shared" si="338"/>
        <v>1</v>
      </c>
      <c r="X85" s="65">
        <f t="shared" si="338"/>
        <v>0</v>
      </c>
      <c r="Y85" s="65">
        <f t="shared" si="338"/>
        <v>0</v>
      </c>
      <c r="Z85" s="65">
        <f t="shared" si="339"/>
        <v>0</v>
      </c>
      <c r="AA85" s="65">
        <f t="shared" si="340"/>
        <v>0</v>
      </c>
      <c r="AB85" s="65">
        <f t="shared" si="340"/>
        <v>1</v>
      </c>
      <c r="AC85" s="65">
        <f t="shared" si="325"/>
        <v>0</v>
      </c>
      <c r="AD85" s="61">
        <f t="shared" si="325"/>
        <v>1</v>
      </c>
      <c r="AE85" s="61">
        <f t="shared" ref="AE85:AF85" si="378">AE84</f>
        <v>0</v>
      </c>
      <c r="AF85" s="61">
        <f t="shared" si="378"/>
        <v>0</v>
      </c>
      <c r="AG85" s="61">
        <f t="shared" ref="AG85:AH85" si="379">AG84</f>
        <v>0</v>
      </c>
      <c r="AH85" s="61">
        <f t="shared" si="379"/>
        <v>0</v>
      </c>
      <c r="AI85" s="61">
        <f t="shared" ref="AI85" si="380">AI84</f>
        <v>0</v>
      </c>
      <c r="AJ85" s="63">
        <f t="shared" si="344"/>
        <v>0</v>
      </c>
      <c r="AK85" s="64">
        <f t="shared" si="345"/>
        <v>0</v>
      </c>
      <c r="AL85" s="64">
        <f t="shared" si="346"/>
        <v>0</v>
      </c>
      <c r="AM85" s="64">
        <f t="shared" si="347"/>
        <v>0</v>
      </c>
      <c r="AN85" s="66">
        <f t="shared" si="348"/>
        <v>0</v>
      </c>
      <c r="AO85" s="63">
        <f t="shared" si="349"/>
        <v>0</v>
      </c>
      <c r="AP85" s="64">
        <f t="shared" si="350"/>
        <v>0</v>
      </c>
      <c r="AQ85" s="65">
        <f t="shared" si="350"/>
        <v>0</v>
      </c>
      <c r="AR85" s="66">
        <f t="shared" si="350"/>
        <v>0</v>
      </c>
      <c r="AS85" s="31" t="str">
        <f t="shared" si="287"/>
        <v>SimulationStorage,1,</v>
      </c>
      <c r="AT85" s="31" t="str">
        <f t="shared" si="288"/>
        <v>AnalysisStorage,1,</v>
      </c>
      <c r="AU85" s="31" t="str">
        <f t="shared" si="289"/>
        <v>LogRuleEvaluation,0,</v>
      </c>
      <c r="AV85" s="31" t="str">
        <f t="shared" si="290"/>
        <v>ParallelSimulations,1,</v>
      </c>
      <c r="AW85" s="31" t="str">
        <f t="shared" si="291"/>
        <v>DurationStats,0,</v>
      </c>
      <c r="AX85" s="31" t="str">
        <f t="shared" si="292"/>
        <v>AnalysisThruStep,8,</v>
      </c>
      <c r="AY85" s="31" t="str">
        <f t="shared" si="293"/>
        <v>DontAbortOnErrorsThruStep,8,</v>
      </c>
      <c r="AZ85" s="31" t="str">
        <f t="shared" si="294"/>
        <v>BypassValidFileChecks,1,</v>
      </c>
      <c r="BA85" s="31" t="str">
        <f t="shared" si="295"/>
        <v>BypassInputChecks,0,</v>
      </c>
      <c r="BB85" s="31" t="str">
        <f t="shared" si="296"/>
        <v>BypassUMLHChecks,0,</v>
      </c>
      <c r="BC85" s="31" t="str">
        <f t="shared" si="297"/>
        <v>BypassCheckSimRules,0,</v>
      </c>
      <c r="BD85" s="31" t="str">
        <f t="shared" si="298"/>
        <v>BypassCheckCodeRules,0,</v>
      </c>
      <c r="BE85" s="31" t="str">
        <f t="shared" si="299"/>
        <v>StoreResultsToModelInput,1,</v>
      </c>
      <c r="BF85" s="31" t="str">
        <f t="shared" si="300"/>
        <v>StoreBEMDetails,0,</v>
      </c>
      <c r="BG85" s="31" t="str">
        <f t="shared" si="301"/>
        <v>ModelRpt_ALL,1,</v>
      </c>
      <c r="BH85" s="31" t="str">
        <f t="shared" si="302"/>
        <v>ExportHourlyResults_All,0,</v>
      </c>
      <c r="BI85" s="31" t="str">
        <f t="shared" si="303"/>
        <v>ComplianceReportPDF,0,</v>
      </c>
      <c r="BJ85" s="31" t="str">
        <f t="shared" si="304"/>
        <v>ComplianceReportXML,0,</v>
      </c>
      <c r="BK85" s="31" t="str">
        <f t="shared" si="305"/>
        <v>QuickAnalysis,0,</v>
      </c>
      <c r="BL85" s="31" t="str">
        <f t="shared" si="305"/>
        <v>PromptUserUMLHWarning,0,</v>
      </c>
      <c r="BM85" s="31" t="str">
        <f t="shared" si="306"/>
        <v>BypassOpenStudio_all,0,</v>
      </c>
      <c r="BN85" s="31" t="str">
        <f t="shared" si="307"/>
        <v>BypassOpenStudio_zp,0,</v>
      </c>
      <c r="BO85" s="31" t="str">
        <f t="shared" si="308"/>
        <v>BypassOpenStudio_zb,0,</v>
      </c>
      <c r="BP85" s="31" t="str">
        <f t="shared" si="309"/>
        <v>BypassOpenStudio_ap,0,</v>
      </c>
      <c r="BQ85" s="31" t="str">
        <f t="shared" si="310"/>
        <v>BypassOpenStudio_ab,0,</v>
      </c>
      <c r="BR85" s="31" t="str">
        <f t="shared" si="311"/>
        <v>BypassOpenStudio_zp,0,</v>
      </c>
      <c r="BS85" s="31" t="str">
        <f t="shared" si="312"/>
        <v>BypassOpenStudio_zb,0,</v>
      </c>
      <c r="BT85" s="31" t="str">
        <f t="shared" si="313"/>
        <v>BypassOpenStudio_ap,0,</v>
      </c>
      <c r="BU85" s="31" t="str">
        <f t="shared" si="314"/>
        <v>BypassOpenStudio_ab,0,</v>
      </c>
    </row>
    <row r="86" spans="1:73" hidden="1" outlineLevel="1" x14ac:dyDescent="0.25">
      <c r="A86" s="39">
        <f t="shared" si="283"/>
        <v>0</v>
      </c>
      <c r="B86" s="27" t="str">
        <f t="shared" si="315"/>
        <v>RulesetImplementation2016Tests\x\x.cibd16</v>
      </c>
      <c r="C86" s="27" t="str">
        <f t="shared" si="316"/>
        <v>BatchOut_171026_r5178_FinalRel-v3-SSTSG_RIc\x.cibd16</v>
      </c>
      <c r="D86" s="27" t="str">
        <f t="shared" si="317"/>
        <v>BatchOut_171026_r5178_FinalRel-v3-SSTSG_RIc\XML\</v>
      </c>
      <c r="E86" s="9" t="str">
        <f t="shared" si="318"/>
        <v>x</v>
      </c>
      <c r="F86" s="22"/>
      <c r="G86" s="29"/>
      <c r="H86" s="23"/>
      <c r="I86" s="9" t="s">
        <v>11</v>
      </c>
      <c r="J86"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6" s="15" t="s">
        <v>1</v>
      </c>
      <c r="L86" s="36">
        <f t="shared" si="331"/>
        <v>0</v>
      </c>
      <c r="M86" s="91" t="str">
        <f t="shared" si="319"/>
        <v>x</v>
      </c>
      <c r="N86" s="90" t="s">
        <v>149</v>
      </c>
      <c r="O86" s="57" t="str">
        <f>N86</f>
        <v>x</v>
      </c>
      <c r="P86" s="63">
        <f t="shared" si="332"/>
        <v>1</v>
      </c>
      <c r="Q86" s="65">
        <f t="shared" si="333"/>
        <v>1</v>
      </c>
      <c r="R86" s="65">
        <f t="shared" si="334"/>
        <v>0</v>
      </c>
      <c r="S86" s="65">
        <f t="shared" si="335"/>
        <v>1</v>
      </c>
      <c r="T86" s="65">
        <f t="shared" si="336"/>
        <v>0</v>
      </c>
      <c r="U86" s="65">
        <f t="shared" si="337"/>
        <v>8</v>
      </c>
      <c r="V86" s="65">
        <f t="shared" si="337"/>
        <v>8</v>
      </c>
      <c r="W86" s="65">
        <f t="shared" si="338"/>
        <v>1</v>
      </c>
      <c r="X86" s="65">
        <f t="shared" si="338"/>
        <v>0</v>
      </c>
      <c r="Y86" s="65">
        <f t="shared" si="338"/>
        <v>0</v>
      </c>
      <c r="Z86" s="65">
        <f t="shared" si="339"/>
        <v>0</v>
      </c>
      <c r="AA86" s="65">
        <f t="shared" si="340"/>
        <v>0</v>
      </c>
      <c r="AB86" s="65">
        <f t="shared" si="340"/>
        <v>1</v>
      </c>
      <c r="AC86" s="65">
        <f t="shared" si="325"/>
        <v>0</v>
      </c>
      <c r="AD86" s="61">
        <f t="shared" si="325"/>
        <v>1</v>
      </c>
      <c r="AE86" s="61">
        <f t="shared" ref="AE86:AF86" si="381">AE85</f>
        <v>0</v>
      </c>
      <c r="AF86" s="61">
        <f t="shared" si="381"/>
        <v>0</v>
      </c>
      <c r="AG86" s="61">
        <f t="shared" ref="AG86:AH86" si="382">AG85</f>
        <v>0</v>
      </c>
      <c r="AH86" s="61">
        <f t="shared" si="382"/>
        <v>0</v>
      </c>
      <c r="AI86" s="61">
        <f t="shared" ref="AI86" si="383">AI85</f>
        <v>0</v>
      </c>
      <c r="AJ86" s="63">
        <f t="shared" si="344"/>
        <v>0</v>
      </c>
      <c r="AK86" s="64">
        <f t="shared" si="345"/>
        <v>0</v>
      </c>
      <c r="AL86" s="64">
        <f t="shared" si="346"/>
        <v>0</v>
      </c>
      <c r="AM86" s="64">
        <f t="shared" si="347"/>
        <v>0</v>
      </c>
      <c r="AN86" s="66">
        <f t="shared" si="348"/>
        <v>0</v>
      </c>
      <c r="AO86" s="63">
        <f t="shared" si="349"/>
        <v>0</v>
      </c>
      <c r="AP86" s="64">
        <f t="shared" si="350"/>
        <v>0</v>
      </c>
      <c r="AQ86" s="65">
        <f t="shared" si="350"/>
        <v>0</v>
      </c>
      <c r="AR86" s="66">
        <f t="shared" si="350"/>
        <v>0</v>
      </c>
      <c r="AS86" s="31" t="str">
        <f t="shared" si="287"/>
        <v>SimulationStorage,1,</v>
      </c>
      <c r="AT86" s="31" t="str">
        <f t="shared" si="288"/>
        <v>AnalysisStorage,1,</v>
      </c>
      <c r="AU86" s="31" t="str">
        <f t="shared" si="289"/>
        <v>LogRuleEvaluation,0,</v>
      </c>
      <c r="AV86" s="31" t="str">
        <f t="shared" si="290"/>
        <v>ParallelSimulations,1,</v>
      </c>
      <c r="AW86" s="31" t="str">
        <f t="shared" si="291"/>
        <v>DurationStats,0,</v>
      </c>
      <c r="AX86" s="31" t="str">
        <f t="shared" si="292"/>
        <v>AnalysisThruStep,8,</v>
      </c>
      <c r="AY86" s="31" t="str">
        <f t="shared" si="293"/>
        <v>DontAbortOnErrorsThruStep,8,</v>
      </c>
      <c r="AZ86" s="31" t="str">
        <f t="shared" si="294"/>
        <v>BypassValidFileChecks,1,</v>
      </c>
      <c r="BA86" s="31" t="str">
        <f t="shared" si="295"/>
        <v>BypassInputChecks,0,</v>
      </c>
      <c r="BB86" s="31" t="str">
        <f t="shared" si="296"/>
        <v>BypassUMLHChecks,0,</v>
      </c>
      <c r="BC86" s="31" t="str">
        <f t="shared" si="297"/>
        <v>BypassCheckSimRules,0,</v>
      </c>
      <c r="BD86" s="31" t="str">
        <f t="shared" si="298"/>
        <v>BypassCheckCodeRules,0,</v>
      </c>
      <c r="BE86" s="31" t="str">
        <f t="shared" si="299"/>
        <v>StoreResultsToModelInput,1,</v>
      </c>
      <c r="BF86" s="31" t="str">
        <f t="shared" si="300"/>
        <v>StoreBEMDetails,0,</v>
      </c>
      <c r="BG86" s="31" t="str">
        <f t="shared" si="301"/>
        <v>ModelRpt_ALL,1,</v>
      </c>
      <c r="BH86" s="31" t="str">
        <f t="shared" si="302"/>
        <v>ExportHourlyResults_All,0,</v>
      </c>
      <c r="BI86" s="31" t="str">
        <f t="shared" si="303"/>
        <v>ComplianceReportPDF,0,</v>
      </c>
      <c r="BJ86" s="31" t="str">
        <f t="shared" si="304"/>
        <v>ComplianceReportXML,0,</v>
      </c>
      <c r="BK86" s="31" t="str">
        <f t="shared" si="305"/>
        <v>QuickAnalysis,0,</v>
      </c>
      <c r="BL86" s="31" t="str">
        <f t="shared" si="305"/>
        <v>PromptUserUMLHWarning,0,</v>
      </c>
      <c r="BM86" s="31" t="str">
        <f t="shared" si="306"/>
        <v>BypassOpenStudio_all,0,</v>
      </c>
      <c r="BN86" s="31" t="str">
        <f t="shared" si="307"/>
        <v>BypassOpenStudio_zp,0,</v>
      </c>
      <c r="BO86" s="31" t="str">
        <f t="shared" si="308"/>
        <v>BypassOpenStudio_zb,0,</v>
      </c>
      <c r="BP86" s="31" t="str">
        <f t="shared" si="309"/>
        <v>BypassOpenStudio_ap,0,</v>
      </c>
      <c r="BQ86" s="31" t="str">
        <f t="shared" si="310"/>
        <v>BypassOpenStudio_ab,0,</v>
      </c>
      <c r="BR86" s="31" t="str">
        <f t="shared" si="311"/>
        <v>BypassOpenStudio_zp,0,</v>
      </c>
      <c r="BS86" s="31" t="str">
        <f t="shared" si="312"/>
        <v>BypassOpenStudio_zb,0,</v>
      </c>
      <c r="BT86" s="31" t="str">
        <f t="shared" si="313"/>
        <v>BypassOpenStudio_ap,0,</v>
      </c>
      <c r="BU86" s="31" t="str">
        <f t="shared" si="314"/>
        <v>BypassOpenStudio_ab,0,</v>
      </c>
    </row>
    <row r="87" spans="1:73" hidden="1" outlineLevel="1" x14ac:dyDescent="0.25">
      <c r="A87" s="39">
        <f t="shared" si="283"/>
        <v>0</v>
      </c>
      <c r="B87" s="27" t="str">
        <f t="shared" si="315"/>
        <v>RulesetImplementation2016Tests\x\x.cibd16</v>
      </c>
      <c r="C87" s="27" t="str">
        <f t="shared" si="316"/>
        <v>BatchOut_171026_r5178_FinalRel-v3-SSTSG_RIc\x.cibd16</v>
      </c>
      <c r="D87" s="27" t="str">
        <f t="shared" si="317"/>
        <v>BatchOut_171026_r5178_FinalRel-v3-SSTSG_RIc\XML\</v>
      </c>
      <c r="E87" s="9" t="str">
        <f t="shared" si="318"/>
        <v>x</v>
      </c>
      <c r="F87" s="22"/>
      <c r="G87" s="29"/>
      <c r="H87" s="23"/>
      <c r="I87" s="9" t="s">
        <v>11</v>
      </c>
      <c r="J87"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7" s="15" t="s">
        <v>1</v>
      </c>
      <c r="L87" s="36">
        <f t="shared" si="331"/>
        <v>0</v>
      </c>
      <c r="M87" s="91" t="str">
        <f t="shared" si="319"/>
        <v>x</v>
      </c>
      <c r="N87" s="90" t="s">
        <v>149</v>
      </c>
      <c r="O87" s="57" t="str">
        <f>N87</f>
        <v>x</v>
      </c>
      <c r="P87" s="63">
        <f t="shared" si="332"/>
        <v>1</v>
      </c>
      <c r="Q87" s="65">
        <f t="shared" si="333"/>
        <v>1</v>
      </c>
      <c r="R87" s="65">
        <f t="shared" si="334"/>
        <v>0</v>
      </c>
      <c r="S87" s="65">
        <f t="shared" si="335"/>
        <v>1</v>
      </c>
      <c r="T87" s="65">
        <f t="shared" si="336"/>
        <v>0</v>
      </c>
      <c r="U87" s="65">
        <f t="shared" si="337"/>
        <v>8</v>
      </c>
      <c r="V87" s="65">
        <f t="shared" si="337"/>
        <v>8</v>
      </c>
      <c r="W87" s="65">
        <f t="shared" si="338"/>
        <v>1</v>
      </c>
      <c r="X87" s="65">
        <f t="shared" si="338"/>
        <v>0</v>
      </c>
      <c r="Y87" s="65">
        <f t="shared" si="338"/>
        <v>0</v>
      </c>
      <c r="Z87" s="65">
        <f t="shared" si="339"/>
        <v>0</v>
      </c>
      <c r="AA87" s="65">
        <f t="shared" si="340"/>
        <v>0</v>
      </c>
      <c r="AB87" s="65">
        <f t="shared" si="340"/>
        <v>1</v>
      </c>
      <c r="AC87" s="65">
        <f t="shared" si="325"/>
        <v>0</v>
      </c>
      <c r="AD87" s="61">
        <f t="shared" si="325"/>
        <v>1</v>
      </c>
      <c r="AE87" s="61">
        <f t="shared" ref="AE87:AF87" si="384">AE86</f>
        <v>0</v>
      </c>
      <c r="AF87" s="61">
        <f t="shared" si="384"/>
        <v>0</v>
      </c>
      <c r="AG87" s="61">
        <f t="shared" ref="AG87:AH87" si="385">AG86</f>
        <v>0</v>
      </c>
      <c r="AH87" s="61">
        <f t="shared" si="385"/>
        <v>0</v>
      </c>
      <c r="AI87" s="61">
        <f t="shared" ref="AI87" si="386">AI86</f>
        <v>0</v>
      </c>
      <c r="AJ87" s="63">
        <f t="shared" si="344"/>
        <v>0</v>
      </c>
      <c r="AK87" s="64">
        <f t="shared" si="345"/>
        <v>0</v>
      </c>
      <c r="AL87" s="64">
        <f t="shared" si="346"/>
        <v>0</v>
      </c>
      <c r="AM87" s="64">
        <f t="shared" si="347"/>
        <v>0</v>
      </c>
      <c r="AN87" s="66">
        <f t="shared" si="348"/>
        <v>0</v>
      </c>
      <c r="AO87" s="63">
        <f t="shared" si="349"/>
        <v>0</v>
      </c>
      <c r="AP87" s="64">
        <f t="shared" si="350"/>
        <v>0</v>
      </c>
      <c r="AQ87" s="65">
        <f t="shared" si="350"/>
        <v>0</v>
      </c>
      <c r="AR87" s="66">
        <f t="shared" si="350"/>
        <v>0</v>
      </c>
      <c r="AS87" s="31" t="str">
        <f t="shared" si="287"/>
        <v>SimulationStorage,1,</v>
      </c>
      <c r="AT87" s="31" t="str">
        <f t="shared" si="288"/>
        <v>AnalysisStorage,1,</v>
      </c>
      <c r="AU87" s="31" t="str">
        <f t="shared" si="289"/>
        <v>LogRuleEvaluation,0,</v>
      </c>
      <c r="AV87" s="31" t="str">
        <f t="shared" si="290"/>
        <v>ParallelSimulations,1,</v>
      </c>
      <c r="AW87" s="31" t="str">
        <f t="shared" si="291"/>
        <v>DurationStats,0,</v>
      </c>
      <c r="AX87" s="31" t="str">
        <f t="shared" si="292"/>
        <v>AnalysisThruStep,8,</v>
      </c>
      <c r="AY87" s="31" t="str">
        <f t="shared" si="293"/>
        <v>DontAbortOnErrorsThruStep,8,</v>
      </c>
      <c r="AZ87" s="31" t="str">
        <f t="shared" si="294"/>
        <v>BypassValidFileChecks,1,</v>
      </c>
      <c r="BA87" s="31" t="str">
        <f t="shared" si="295"/>
        <v>BypassInputChecks,0,</v>
      </c>
      <c r="BB87" s="31" t="str">
        <f t="shared" si="296"/>
        <v>BypassUMLHChecks,0,</v>
      </c>
      <c r="BC87" s="31" t="str">
        <f t="shared" si="297"/>
        <v>BypassCheckSimRules,0,</v>
      </c>
      <c r="BD87" s="31" t="str">
        <f t="shared" si="298"/>
        <v>BypassCheckCodeRules,0,</v>
      </c>
      <c r="BE87" s="31" t="str">
        <f t="shared" si="299"/>
        <v>StoreResultsToModelInput,1,</v>
      </c>
      <c r="BF87" s="31" t="str">
        <f t="shared" si="300"/>
        <v>StoreBEMDetails,0,</v>
      </c>
      <c r="BG87" s="31" t="str">
        <f t="shared" si="301"/>
        <v>ModelRpt_ALL,1,</v>
      </c>
      <c r="BH87" s="31" t="str">
        <f t="shared" si="302"/>
        <v>ExportHourlyResults_All,0,</v>
      </c>
      <c r="BI87" s="31" t="str">
        <f t="shared" si="303"/>
        <v>ComplianceReportPDF,0,</v>
      </c>
      <c r="BJ87" s="31" t="str">
        <f t="shared" si="304"/>
        <v>ComplianceReportXML,0,</v>
      </c>
      <c r="BK87" s="31" t="str">
        <f t="shared" si="305"/>
        <v>QuickAnalysis,0,</v>
      </c>
      <c r="BL87" s="31" t="str">
        <f t="shared" si="305"/>
        <v>PromptUserUMLHWarning,0,</v>
      </c>
      <c r="BM87" s="31" t="str">
        <f t="shared" si="306"/>
        <v>BypassOpenStudio_all,0,</v>
      </c>
      <c r="BN87" s="31" t="str">
        <f t="shared" si="307"/>
        <v>BypassOpenStudio_zp,0,</v>
      </c>
      <c r="BO87" s="31" t="str">
        <f t="shared" si="308"/>
        <v>BypassOpenStudio_zb,0,</v>
      </c>
      <c r="BP87" s="31" t="str">
        <f t="shared" si="309"/>
        <v>BypassOpenStudio_ap,0,</v>
      </c>
      <c r="BQ87" s="31" t="str">
        <f t="shared" si="310"/>
        <v>BypassOpenStudio_ab,0,</v>
      </c>
      <c r="BR87" s="31" t="str">
        <f t="shared" si="311"/>
        <v>BypassOpenStudio_zp,0,</v>
      </c>
      <c r="BS87" s="31" t="str">
        <f t="shared" si="312"/>
        <v>BypassOpenStudio_zb,0,</v>
      </c>
      <c r="BT87" s="31" t="str">
        <f t="shared" si="313"/>
        <v>BypassOpenStudio_ap,0,</v>
      </c>
      <c r="BU87" s="31" t="str">
        <f t="shared" si="314"/>
        <v>BypassOpenStudio_ab,0,</v>
      </c>
    </row>
    <row r="88" spans="1:73" hidden="1" outlineLevel="1" x14ac:dyDescent="0.25">
      <c r="A88" s="39">
        <f t="shared" si="283"/>
        <v>0</v>
      </c>
      <c r="B88" s="27" t="str">
        <f t="shared" si="315"/>
        <v>RulesetImplementation2016Tests\x\x.cibd16</v>
      </c>
      <c r="C88" s="27" t="str">
        <f t="shared" si="316"/>
        <v>BatchOut_171026_r5178_FinalRel-v3-SSTSG_RIc\x.cibd16</v>
      </c>
      <c r="D88" s="27" t="str">
        <f t="shared" si="317"/>
        <v>BatchOut_171026_r5178_FinalRel-v3-SSTSG_RIc\XML\</v>
      </c>
      <c r="E88" s="9" t="str">
        <f t="shared" si="318"/>
        <v>x</v>
      </c>
      <c r="F88" s="22"/>
      <c r="G88" s="29"/>
      <c r="H88" s="23"/>
      <c r="I88" s="9" t="s">
        <v>11</v>
      </c>
      <c r="J88"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8" s="15" t="s">
        <v>1</v>
      </c>
      <c r="L88" s="36">
        <f t="shared" si="331"/>
        <v>0</v>
      </c>
      <c r="M88" s="91" t="str">
        <f t="shared" si="319"/>
        <v>x</v>
      </c>
      <c r="N88" s="90" t="s">
        <v>149</v>
      </c>
      <c r="O88" s="57" t="str">
        <f t="shared" ref="O88:O100" si="387">N88</f>
        <v>x</v>
      </c>
      <c r="P88" s="63">
        <f t="shared" si="332"/>
        <v>1</v>
      </c>
      <c r="Q88" s="65">
        <f t="shared" si="333"/>
        <v>1</v>
      </c>
      <c r="R88" s="65">
        <f t="shared" si="334"/>
        <v>0</v>
      </c>
      <c r="S88" s="65">
        <f t="shared" si="335"/>
        <v>1</v>
      </c>
      <c r="T88" s="65">
        <f t="shared" si="336"/>
        <v>0</v>
      </c>
      <c r="U88" s="65">
        <f t="shared" si="337"/>
        <v>8</v>
      </c>
      <c r="V88" s="65">
        <f t="shared" si="337"/>
        <v>8</v>
      </c>
      <c r="W88" s="65">
        <f t="shared" si="338"/>
        <v>1</v>
      </c>
      <c r="X88" s="65">
        <f t="shared" si="338"/>
        <v>0</v>
      </c>
      <c r="Y88" s="65">
        <f t="shared" si="338"/>
        <v>0</v>
      </c>
      <c r="Z88" s="65">
        <f t="shared" si="339"/>
        <v>0</v>
      </c>
      <c r="AA88" s="65">
        <f t="shared" si="340"/>
        <v>0</v>
      </c>
      <c r="AB88" s="65">
        <f t="shared" si="340"/>
        <v>1</v>
      </c>
      <c r="AC88" s="65">
        <f t="shared" si="325"/>
        <v>0</v>
      </c>
      <c r="AD88" s="61">
        <f t="shared" si="325"/>
        <v>1</v>
      </c>
      <c r="AE88" s="61">
        <f t="shared" ref="AE88:AF88" si="388">AE87</f>
        <v>0</v>
      </c>
      <c r="AF88" s="61">
        <f t="shared" si="388"/>
        <v>0</v>
      </c>
      <c r="AG88" s="61">
        <f t="shared" ref="AG88:AH88" si="389">AG87</f>
        <v>0</v>
      </c>
      <c r="AH88" s="61">
        <f t="shared" si="389"/>
        <v>0</v>
      </c>
      <c r="AI88" s="61">
        <f t="shared" ref="AI88" si="390">AI87</f>
        <v>0</v>
      </c>
      <c r="AJ88" s="63">
        <f t="shared" si="344"/>
        <v>0</v>
      </c>
      <c r="AK88" s="64">
        <f t="shared" si="345"/>
        <v>0</v>
      </c>
      <c r="AL88" s="64">
        <f t="shared" si="346"/>
        <v>0</v>
      </c>
      <c r="AM88" s="64">
        <f t="shared" si="347"/>
        <v>0</v>
      </c>
      <c r="AN88" s="66">
        <f t="shared" si="348"/>
        <v>0</v>
      </c>
      <c r="AO88" s="63">
        <f t="shared" si="349"/>
        <v>0</v>
      </c>
      <c r="AP88" s="64">
        <f t="shared" si="350"/>
        <v>0</v>
      </c>
      <c r="AQ88" s="65">
        <f t="shared" si="350"/>
        <v>0</v>
      </c>
      <c r="AR88" s="66">
        <f t="shared" si="350"/>
        <v>0</v>
      </c>
      <c r="AS88" s="31" t="str">
        <f t="shared" si="287"/>
        <v>SimulationStorage,1,</v>
      </c>
      <c r="AT88" s="31" t="str">
        <f t="shared" si="288"/>
        <v>AnalysisStorage,1,</v>
      </c>
      <c r="AU88" s="31" t="str">
        <f t="shared" si="289"/>
        <v>LogRuleEvaluation,0,</v>
      </c>
      <c r="AV88" s="31" t="str">
        <f t="shared" si="290"/>
        <v>ParallelSimulations,1,</v>
      </c>
      <c r="AW88" s="31" t="str">
        <f t="shared" si="291"/>
        <v>DurationStats,0,</v>
      </c>
      <c r="AX88" s="31" t="str">
        <f t="shared" si="292"/>
        <v>AnalysisThruStep,8,</v>
      </c>
      <c r="AY88" s="31" t="str">
        <f t="shared" si="293"/>
        <v>DontAbortOnErrorsThruStep,8,</v>
      </c>
      <c r="AZ88" s="31" t="str">
        <f t="shared" si="294"/>
        <v>BypassValidFileChecks,1,</v>
      </c>
      <c r="BA88" s="31" t="str">
        <f t="shared" si="295"/>
        <v>BypassInputChecks,0,</v>
      </c>
      <c r="BB88" s="31" t="str">
        <f t="shared" si="296"/>
        <v>BypassUMLHChecks,0,</v>
      </c>
      <c r="BC88" s="31" t="str">
        <f t="shared" si="297"/>
        <v>BypassCheckSimRules,0,</v>
      </c>
      <c r="BD88" s="31" t="str">
        <f t="shared" si="298"/>
        <v>BypassCheckCodeRules,0,</v>
      </c>
      <c r="BE88" s="31" t="str">
        <f t="shared" si="299"/>
        <v>StoreResultsToModelInput,1,</v>
      </c>
      <c r="BF88" s="31" t="str">
        <f t="shared" si="300"/>
        <v>StoreBEMDetails,0,</v>
      </c>
      <c r="BG88" s="31" t="str">
        <f t="shared" si="301"/>
        <v>ModelRpt_ALL,1,</v>
      </c>
      <c r="BH88" s="31" t="str">
        <f t="shared" si="302"/>
        <v>ExportHourlyResults_All,0,</v>
      </c>
      <c r="BI88" s="31" t="str">
        <f t="shared" si="303"/>
        <v>ComplianceReportPDF,0,</v>
      </c>
      <c r="BJ88" s="31" t="str">
        <f t="shared" si="304"/>
        <v>ComplianceReportXML,0,</v>
      </c>
      <c r="BK88" s="31" t="str">
        <f t="shared" si="305"/>
        <v>QuickAnalysis,0,</v>
      </c>
      <c r="BL88" s="31" t="str">
        <f t="shared" si="305"/>
        <v>PromptUserUMLHWarning,0,</v>
      </c>
      <c r="BM88" s="31" t="str">
        <f t="shared" si="306"/>
        <v>BypassOpenStudio_all,0,</v>
      </c>
      <c r="BN88" s="31" t="str">
        <f t="shared" si="307"/>
        <v>BypassOpenStudio_zp,0,</v>
      </c>
      <c r="BO88" s="31" t="str">
        <f t="shared" si="308"/>
        <v>BypassOpenStudio_zb,0,</v>
      </c>
      <c r="BP88" s="31" t="str">
        <f t="shared" si="309"/>
        <v>BypassOpenStudio_ap,0,</v>
      </c>
      <c r="BQ88" s="31" t="str">
        <f t="shared" si="310"/>
        <v>BypassOpenStudio_ab,0,</v>
      </c>
      <c r="BR88" s="31" t="str">
        <f t="shared" si="311"/>
        <v>BypassOpenStudio_zp,0,</v>
      </c>
      <c r="BS88" s="31" t="str">
        <f t="shared" si="312"/>
        <v>BypassOpenStudio_zb,0,</v>
      </c>
      <c r="BT88" s="31" t="str">
        <f t="shared" si="313"/>
        <v>BypassOpenStudio_ap,0,</v>
      </c>
      <c r="BU88" s="31" t="str">
        <f t="shared" si="314"/>
        <v>BypassOpenStudio_ab,0,</v>
      </c>
    </row>
    <row r="89" spans="1:73" hidden="1" outlineLevel="1" x14ac:dyDescent="0.25">
      <c r="A89" s="39">
        <f t="shared" ref="A89:A101" si="391">L89</f>
        <v>0</v>
      </c>
      <c r="B89" s="27" t="str">
        <f t="shared" si="315"/>
        <v>RulesetImplementation2016Tests\x\x.cibd16</v>
      </c>
      <c r="C89" s="27" t="str">
        <f t="shared" si="316"/>
        <v>BatchOut_171026_r5178_FinalRel-v3-SSTSG_RIc\x.cibd16</v>
      </c>
      <c r="D89" s="27" t="str">
        <f t="shared" si="317"/>
        <v>BatchOut_171026_r5178_FinalRel-v3-SSTSG_RIc\XML\</v>
      </c>
      <c r="E89" s="9" t="str">
        <f t="shared" ref="E89:E101" si="392">M89</f>
        <v>x</v>
      </c>
      <c r="F89" s="22"/>
      <c r="G89" s="29"/>
      <c r="H89" s="23"/>
      <c r="I89" s="9" t="s">
        <v>11</v>
      </c>
      <c r="J89"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9" s="15" t="s">
        <v>1</v>
      </c>
      <c r="L89" s="36">
        <f t="shared" si="331"/>
        <v>0</v>
      </c>
      <c r="M89" s="91" t="str">
        <f t="shared" si="319"/>
        <v>x</v>
      </c>
      <c r="N89" s="90" t="s">
        <v>149</v>
      </c>
      <c r="O89" s="57" t="str">
        <f t="shared" si="387"/>
        <v>x</v>
      </c>
      <c r="P89" s="63">
        <f t="shared" si="332"/>
        <v>1</v>
      </c>
      <c r="Q89" s="65">
        <f t="shared" si="333"/>
        <v>1</v>
      </c>
      <c r="R89" s="65">
        <f t="shared" si="334"/>
        <v>0</v>
      </c>
      <c r="S89" s="65">
        <f t="shared" si="335"/>
        <v>1</v>
      </c>
      <c r="T89" s="65">
        <f t="shared" si="336"/>
        <v>0</v>
      </c>
      <c r="U89" s="65">
        <f t="shared" si="337"/>
        <v>8</v>
      </c>
      <c r="V89" s="65">
        <f t="shared" si="337"/>
        <v>8</v>
      </c>
      <c r="W89" s="65">
        <f t="shared" si="338"/>
        <v>1</v>
      </c>
      <c r="X89" s="65">
        <f t="shared" si="338"/>
        <v>0</v>
      </c>
      <c r="Y89" s="65">
        <f t="shared" si="338"/>
        <v>0</v>
      </c>
      <c r="Z89" s="65">
        <f t="shared" si="339"/>
        <v>0</v>
      </c>
      <c r="AA89" s="65">
        <f t="shared" si="340"/>
        <v>0</v>
      </c>
      <c r="AB89" s="65">
        <f t="shared" si="340"/>
        <v>1</v>
      </c>
      <c r="AC89" s="65">
        <f t="shared" si="325"/>
        <v>0</v>
      </c>
      <c r="AD89" s="61">
        <f t="shared" si="325"/>
        <v>1</v>
      </c>
      <c r="AE89" s="61">
        <f t="shared" ref="AE89:AF89" si="393">AE88</f>
        <v>0</v>
      </c>
      <c r="AF89" s="61">
        <f t="shared" si="393"/>
        <v>0</v>
      </c>
      <c r="AG89" s="61">
        <f t="shared" ref="AG89:AH89" si="394">AG88</f>
        <v>0</v>
      </c>
      <c r="AH89" s="61">
        <f t="shared" si="394"/>
        <v>0</v>
      </c>
      <c r="AI89" s="61">
        <f t="shared" ref="AI89" si="395">AI88</f>
        <v>0</v>
      </c>
      <c r="AJ89" s="63">
        <f t="shared" si="344"/>
        <v>0</v>
      </c>
      <c r="AK89" s="64">
        <f t="shared" si="345"/>
        <v>0</v>
      </c>
      <c r="AL89" s="64">
        <f t="shared" si="346"/>
        <v>0</v>
      </c>
      <c r="AM89" s="64">
        <f t="shared" si="347"/>
        <v>0</v>
      </c>
      <c r="AN89" s="66">
        <f t="shared" si="348"/>
        <v>0</v>
      </c>
      <c r="AO89" s="63">
        <f t="shared" si="349"/>
        <v>0</v>
      </c>
      <c r="AP89" s="64">
        <f t="shared" si="350"/>
        <v>0</v>
      </c>
      <c r="AQ89" s="65">
        <f t="shared" si="350"/>
        <v>0</v>
      </c>
      <c r="AR89" s="66">
        <f t="shared" si="350"/>
        <v>0</v>
      </c>
      <c r="AS89" s="31" t="str">
        <f t="shared" ref="AS89:AS96" si="396">P$13&amp;P89&amp;","</f>
        <v>SimulationStorage,1,</v>
      </c>
      <c r="AT89" s="31" t="str">
        <f t="shared" ref="AT89:AT96" si="397">Q$13&amp;Q89&amp;","</f>
        <v>AnalysisStorage,1,</v>
      </c>
      <c r="AU89" s="31" t="str">
        <f t="shared" ref="AU89:AU96" si="398">R$13&amp;R89&amp;","</f>
        <v>LogRuleEvaluation,0,</v>
      </c>
      <c r="AV89" s="31" t="str">
        <f t="shared" ref="AV89:AV96" si="399">S$13&amp;S89&amp;","</f>
        <v>ParallelSimulations,1,</v>
      </c>
      <c r="AW89" s="31" t="str">
        <f t="shared" ref="AW89:AW96" si="400">T$13&amp;T89&amp;","</f>
        <v>DurationStats,0,</v>
      </c>
      <c r="AX89" s="31" t="str">
        <f t="shared" ref="AX89:AX96" si="401">U$13&amp;U89&amp;","</f>
        <v>AnalysisThruStep,8,</v>
      </c>
      <c r="AY89" s="31" t="str">
        <f t="shared" ref="AY89:AY96" si="402">V$13&amp;V89&amp;","</f>
        <v>DontAbortOnErrorsThruStep,8,</v>
      </c>
      <c r="AZ89" s="31" t="str">
        <f t="shared" ref="AZ89:AZ96" si="403">W$13&amp;W89&amp;","</f>
        <v>BypassValidFileChecks,1,</v>
      </c>
      <c r="BA89" s="31" t="str">
        <f t="shared" ref="BA89:BA96" si="404">X$13&amp;X89&amp;","</f>
        <v>BypassInputChecks,0,</v>
      </c>
      <c r="BB89" s="31" t="str">
        <f t="shared" ref="BB89:BB96" si="405">Y$13&amp;Y89&amp;","</f>
        <v>BypassUMLHChecks,0,</v>
      </c>
      <c r="BC89" s="31" t="str">
        <f t="shared" ref="BC89:BC96" si="406">Z$13&amp;Z89&amp;","</f>
        <v>BypassCheckSimRules,0,</v>
      </c>
      <c r="BD89" s="31" t="str">
        <f t="shared" ref="BD89:BD96" si="407">AA$13&amp;AA89&amp;","</f>
        <v>BypassCheckCodeRules,0,</v>
      </c>
      <c r="BE89" s="31" t="str">
        <f t="shared" si="299"/>
        <v>StoreResultsToModelInput,1,</v>
      </c>
      <c r="BF89" s="31" t="str">
        <f t="shared" si="300"/>
        <v>StoreBEMDetails,0,</v>
      </c>
      <c r="BG89" s="31" t="str">
        <f t="shared" si="301"/>
        <v>ModelRpt_ALL,1,</v>
      </c>
      <c r="BH89" s="31" t="str">
        <f t="shared" si="302"/>
        <v>ExportHourlyResults_All,0,</v>
      </c>
      <c r="BI89" s="31" t="str">
        <f t="shared" si="303"/>
        <v>ComplianceReportPDF,0,</v>
      </c>
      <c r="BJ89" s="31" t="str">
        <f t="shared" si="304"/>
        <v>ComplianceReportXML,0,</v>
      </c>
      <c r="BK89" s="31" t="str">
        <f t="shared" si="305"/>
        <v>QuickAnalysis,0,</v>
      </c>
      <c r="BL89" s="31" t="str">
        <f t="shared" si="305"/>
        <v>PromptUserUMLHWarning,0,</v>
      </c>
      <c r="BM89" s="31" t="str">
        <f t="shared" si="306"/>
        <v>BypassOpenStudio_all,0,</v>
      </c>
      <c r="BN89" s="31" t="str">
        <f t="shared" si="307"/>
        <v>BypassOpenStudio_zp,0,</v>
      </c>
      <c r="BO89" s="31" t="str">
        <f t="shared" si="308"/>
        <v>BypassOpenStudio_zb,0,</v>
      </c>
      <c r="BP89" s="31" t="str">
        <f t="shared" si="309"/>
        <v>BypassOpenStudio_ap,0,</v>
      </c>
      <c r="BQ89" s="31" t="str">
        <f t="shared" si="310"/>
        <v>BypassOpenStudio_ab,0,</v>
      </c>
      <c r="BR89" s="31" t="str">
        <f t="shared" si="311"/>
        <v>BypassOpenStudio_zp,0,</v>
      </c>
      <c r="BS89" s="31" t="str">
        <f t="shared" si="312"/>
        <v>BypassOpenStudio_zb,0,</v>
      </c>
      <c r="BT89" s="31" t="str">
        <f t="shared" si="313"/>
        <v>BypassOpenStudio_ap,0,</v>
      </c>
      <c r="BU89" s="31" t="str">
        <f t="shared" si="314"/>
        <v>BypassOpenStudio_ab,0,</v>
      </c>
    </row>
    <row r="90" spans="1:73" hidden="1" outlineLevel="1" x14ac:dyDescent="0.25">
      <c r="A90" s="39">
        <f t="shared" si="391"/>
        <v>0</v>
      </c>
      <c r="B90" s="27" t="str">
        <f t="shared" si="315"/>
        <v>RulesetImplementation2016Tests\x\x.cibd16</v>
      </c>
      <c r="C90" s="27" t="str">
        <f t="shared" si="316"/>
        <v>BatchOut_171026_r5178_FinalRel-v3-SSTSG_RIc\x.cibd16</v>
      </c>
      <c r="D90" s="27" t="str">
        <f t="shared" si="317"/>
        <v>BatchOut_171026_r5178_FinalRel-v3-SSTSG_RIc\XML\</v>
      </c>
      <c r="E90" s="9" t="str">
        <f t="shared" si="392"/>
        <v>x</v>
      </c>
      <c r="F90" s="22"/>
      <c r="G90" s="29"/>
      <c r="H90" s="23"/>
      <c r="I90" s="9" t="s">
        <v>11</v>
      </c>
      <c r="J90"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0" s="15" t="s">
        <v>1</v>
      </c>
      <c r="L90" s="36">
        <f t="shared" si="331"/>
        <v>0</v>
      </c>
      <c r="M90" s="91" t="str">
        <f t="shared" si="319"/>
        <v>x</v>
      </c>
      <c r="N90" s="90" t="s">
        <v>149</v>
      </c>
      <c r="O90" s="57" t="str">
        <f t="shared" si="387"/>
        <v>x</v>
      </c>
      <c r="P90" s="63">
        <f t="shared" si="332"/>
        <v>1</v>
      </c>
      <c r="Q90" s="65">
        <f t="shared" si="333"/>
        <v>1</v>
      </c>
      <c r="R90" s="65">
        <f t="shared" si="334"/>
        <v>0</v>
      </c>
      <c r="S90" s="65">
        <f t="shared" si="335"/>
        <v>1</v>
      </c>
      <c r="T90" s="65">
        <f t="shared" si="336"/>
        <v>0</v>
      </c>
      <c r="U90" s="65">
        <f t="shared" si="337"/>
        <v>8</v>
      </c>
      <c r="V90" s="65">
        <f t="shared" si="337"/>
        <v>8</v>
      </c>
      <c r="W90" s="65">
        <f t="shared" si="338"/>
        <v>1</v>
      </c>
      <c r="X90" s="65">
        <f t="shared" si="338"/>
        <v>0</v>
      </c>
      <c r="Y90" s="65">
        <f t="shared" si="338"/>
        <v>0</v>
      </c>
      <c r="Z90" s="65">
        <f t="shared" si="339"/>
        <v>0</v>
      </c>
      <c r="AA90" s="65">
        <f t="shared" si="340"/>
        <v>0</v>
      </c>
      <c r="AB90" s="65">
        <f t="shared" si="340"/>
        <v>1</v>
      </c>
      <c r="AC90" s="65">
        <f t="shared" si="325"/>
        <v>0</v>
      </c>
      <c r="AD90" s="61">
        <f t="shared" si="325"/>
        <v>1</v>
      </c>
      <c r="AE90" s="61">
        <f t="shared" ref="AE90:AF90" si="408">AE89</f>
        <v>0</v>
      </c>
      <c r="AF90" s="61">
        <f t="shared" si="408"/>
        <v>0</v>
      </c>
      <c r="AG90" s="61">
        <f t="shared" ref="AG90:AH90" si="409">AG89</f>
        <v>0</v>
      </c>
      <c r="AH90" s="61">
        <f t="shared" si="409"/>
        <v>0</v>
      </c>
      <c r="AI90" s="61">
        <f t="shared" ref="AI90" si="410">AI89</f>
        <v>0</v>
      </c>
      <c r="AJ90" s="63">
        <f t="shared" si="344"/>
        <v>0</v>
      </c>
      <c r="AK90" s="64">
        <f t="shared" si="345"/>
        <v>0</v>
      </c>
      <c r="AL90" s="64">
        <f t="shared" si="346"/>
        <v>0</v>
      </c>
      <c r="AM90" s="64">
        <f t="shared" si="347"/>
        <v>0</v>
      </c>
      <c r="AN90" s="66">
        <f t="shared" si="348"/>
        <v>0</v>
      </c>
      <c r="AO90" s="63">
        <f t="shared" si="349"/>
        <v>0</v>
      </c>
      <c r="AP90" s="64">
        <f t="shared" si="350"/>
        <v>0</v>
      </c>
      <c r="AQ90" s="65">
        <f t="shared" si="350"/>
        <v>0</v>
      </c>
      <c r="AR90" s="66">
        <f t="shared" si="350"/>
        <v>0</v>
      </c>
      <c r="AS90" s="31" t="str">
        <f t="shared" si="396"/>
        <v>SimulationStorage,1,</v>
      </c>
      <c r="AT90" s="31" t="str">
        <f t="shared" si="397"/>
        <v>AnalysisStorage,1,</v>
      </c>
      <c r="AU90" s="31" t="str">
        <f t="shared" si="398"/>
        <v>LogRuleEvaluation,0,</v>
      </c>
      <c r="AV90" s="31" t="str">
        <f t="shared" si="399"/>
        <v>ParallelSimulations,1,</v>
      </c>
      <c r="AW90" s="31" t="str">
        <f t="shared" si="400"/>
        <v>DurationStats,0,</v>
      </c>
      <c r="AX90" s="31" t="str">
        <f t="shared" si="401"/>
        <v>AnalysisThruStep,8,</v>
      </c>
      <c r="AY90" s="31" t="str">
        <f t="shared" si="402"/>
        <v>DontAbortOnErrorsThruStep,8,</v>
      </c>
      <c r="AZ90" s="31" t="str">
        <f t="shared" si="403"/>
        <v>BypassValidFileChecks,1,</v>
      </c>
      <c r="BA90" s="31" t="str">
        <f t="shared" si="404"/>
        <v>BypassInputChecks,0,</v>
      </c>
      <c r="BB90" s="31" t="str">
        <f t="shared" si="405"/>
        <v>BypassUMLHChecks,0,</v>
      </c>
      <c r="BC90" s="31" t="str">
        <f t="shared" si="406"/>
        <v>BypassCheckSimRules,0,</v>
      </c>
      <c r="BD90" s="31" t="str">
        <f t="shared" si="407"/>
        <v>BypassCheckCodeRules,0,</v>
      </c>
      <c r="BE90" s="31" t="str">
        <f t="shared" si="299"/>
        <v>StoreResultsToModelInput,1,</v>
      </c>
      <c r="BF90" s="31" t="str">
        <f t="shared" si="300"/>
        <v>StoreBEMDetails,0,</v>
      </c>
      <c r="BG90" s="31" t="str">
        <f t="shared" si="301"/>
        <v>ModelRpt_ALL,1,</v>
      </c>
      <c r="BH90" s="31" t="str">
        <f t="shared" si="302"/>
        <v>ExportHourlyResults_All,0,</v>
      </c>
      <c r="BI90" s="31" t="str">
        <f t="shared" si="303"/>
        <v>ComplianceReportPDF,0,</v>
      </c>
      <c r="BJ90" s="31" t="str">
        <f t="shared" si="304"/>
        <v>ComplianceReportXML,0,</v>
      </c>
      <c r="BK90" s="31" t="str">
        <f t="shared" si="305"/>
        <v>QuickAnalysis,0,</v>
      </c>
      <c r="BL90" s="31" t="str">
        <f t="shared" si="305"/>
        <v>PromptUserUMLHWarning,0,</v>
      </c>
      <c r="BM90" s="31" t="str">
        <f t="shared" si="306"/>
        <v>BypassOpenStudio_all,0,</v>
      </c>
      <c r="BN90" s="31" t="str">
        <f t="shared" si="307"/>
        <v>BypassOpenStudio_zp,0,</v>
      </c>
      <c r="BO90" s="31" t="str">
        <f t="shared" si="308"/>
        <v>BypassOpenStudio_zb,0,</v>
      </c>
      <c r="BP90" s="31" t="str">
        <f t="shared" si="309"/>
        <v>BypassOpenStudio_ap,0,</v>
      </c>
      <c r="BQ90" s="31" t="str">
        <f t="shared" si="310"/>
        <v>BypassOpenStudio_ab,0,</v>
      </c>
      <c r="BR90" s="31" t="str">
        <f t="shared" si="311"/>
        <v>BypassOpenStudio_zp,0,</v>
      </c>
      <c r="BS90" s="31" t="str">
        <f t="shared" si="312"/>
        <v>BypassOpenStudio_zb,0,</v>
      </c>
      <c r="BT90" s="31" t="str">
        <f t="shared" si="313"/>
        <v>BypassOpenStudio_ap,0,</v>
      </c>
      <c r="BU90" s="31" t="str">
        <f t="shared" si="314"/>
        <v>BypassOpenStudio_ab,0,</v>
      </c>
    </row>
    <row r="91" spans="1:73" hidden="1" outlineLevel="1" x14ac:dyDescent="0.25">
      <c r="A91" s="39">
        <f t="shared" si="391"/>
        <v>0</v>
      </c>
      <c r="B91" s="27" t="str">
        <f t="shared" si="315"/>
        <v>RulesetImplementation2016Tests\x\x.cibd16</v>
      </c>
      <c r="C91" s="27" t="str">
        <f t="shared" si="316"/>
        <v>BatchOut_171026_r5178_FinalRel-v3-SSTSG_RIc\x.cibd16</v>
      </c>
      <c r="D91" s="27" t="str">
        <f t="shared" si="317"/>
        <v>BatchOut_171026_r5178_FinalRel-v3-SSTSG_RIc\XML\</v>
      </c>
      <c r="E91" s="9" t="str">
        <f t="shared" si="392"/>
        <v>x</v>
      </c>
      <c r="F91" s="22"/>
      <c r="G91" s="29"/>
      <c r="H91" s="23"/>
      <c r="I91" s="9" t="s">
        <v>11</v>
      </c>
      <c r="J91"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1" s="15" t="s">
        <v>1</v>
      </c>
      <c r="L91" s="36">
        <f t="shared" si="331"/>
        <v>0</v>
      </c>
      <c r="M91" s="91" t="str">
        <f t="shared" si="319"/>
        <v>x</v>
      </c>
      <c r="N91" s="90" t="s">
        <v>149</v>
      </c>
      <c r="O91" s="57" t="str">
        <f t="shared" si="387"/>
        <v>x</v>
      </c>
      <c r="P91" s="63">
        <f t="shared" si="332"/>
        <v>1</v>
      </c>
      <c r="Q91" s="65">
        <f t="shared" si="333"/>
        <v>1</v>
      </c>
      <c r="R91" s="65">
        <f t="shared" si="334"/>
        <v>0</v>
      </c>
      <c r="S91" s="65">
        <f t="shared" si="335"/>
        <v>1</v>
      </c>
      <c r="T91" s="65">
        <f t="shared" si="336"/>
        <v>0</v>
      </c>
      <c r="U91" s="65">
        <f t="shared" si="337"/>
        <v>8</v>
      </c>
      <c r="V91" s="65">
        <f t="shared" si="337"/>
        <v>8</v>
      </c>
      <c r="W91" s="65">
        <f t="shared" si="338"/>
        <v>1</v>
      </c>
      <c r="X91" s="65">
        <f t="shared" si="338"/>
        <v>0</v>
      </c>
      <c r="Y91" s="65">
        <f t="shared" si="338"/>
        <v>0</v>
      </c>
      <c r="Z91" s="65">
        <f t="shared" si="339"/>
        <v>0</v>
      </c>
      <c r="AA91" s="65">
        <f t="shared" si="340"/>
        <v>0</v>
      </c>
      <c r="AB91" s="65">
        <f t="shared" si="340"/>
        <v>1</v>
      </c>
      <c r="AC91" s="65">
        <f t="shared" si="325"/>
        <v>0</v>
      </c>
      <c r="AD91" s="61">
        <f t="shared" si="325"/>
        <v>1</v>
      </c>
      <c r="AE91" s="61">
        <f t="shared" ref="AE91:AF91" si="411">AE90</f>
        <v>0</v>
      </c>
      <c r="AF91" s="61">
        <f t="shared" si="411"/>
        <v>0</v>
      </c>
      <c r="AG91" s="61">
        <f t="shared" ref="AG91:AH91" si="412">AG90</f>
        <v>0</v>
      </c>
      <c r="AH91" s="61">
        <f t="shared" si="412"/>
        <v>0</v>
      </c>
      <c r="AI91" s="61">
        <f t="shared" ref="AI91" si="413">AI90</f>
        <v>0</v>
      </c>
      <c r="AJ91" s="63">
        <f t="shared" si="344"/>
        <v>0</v>
      </c>
      <c r="AK91" s="64">
        <f t="shared" si="345"/>
        <v>0</v>
      </c>
      <c r="AL91" s="64">
        <f t="shared" si="346"/>
        <v>0</v>
      </c>
      <c r="AM91" s="64">
        <f t="shared" si="347"/>
        <v>0</v>
      </c>
      <c r="AN91" s="66">
        <f t="shared" si="348"/>
        <v>0</v>
      </c>
      <c r="AO91" s="63">
        <f t="shared" si="349"/>
        <v>0</v>
      </c>
      <c r="AP91" s="64">
        <f t="shared" si="350"/>
        <v>0</v>
      </c>
      <c r="AQ91" s="65">
        <f t="shared" si="350"/>
        <v>0</v>
      </c>
      <c r="AR91" s="66">
        <f t="shared" si="350"/>
        <v>0</v>
      </c>
      <c r="AS91" s="31" t="str">
        <f t="shared" si="396"/>
        <v>SimulationStorage,1,</v>
      </c>
      <c r="AT91" s="31" t="str">
        <f t="shared" si="397"/>
        <v>AnalysisStorage,1,</v>
      </c>
      <c r="AU91" s="31" t="str">
        <f t="shared" si="398"/>
        <v>LogRuleEvaluation,0,</v>
      </c>
      <c r="AV91" s="31" t="str">
        <f t="shared" si="399"/>
        <v>ParallelSimulations,1,</v>
      </c>
      <c r="AW91" s="31" t="str">
        <f t="shared" si="400"/>
        <v>DurationStats,0,</v>
      </c>
      <c r="AX91" s="31" t="str">
        <f t="shared" si="401"/>
        <v>AnalysisThruStep,8,</v>
      </c>
      <c r="AY91" s="31" t="str">
        <f t="shared" si="402"/>
        <v>DontAbortOnErrorsThruStep,8,</v>
      </c>
      <c r="AZ91" s="31" t="str">
        <f t="shared" si="403"/>
        <v>BypassValidFileChecks,1,</v>
      </c>
      <c r="BA91" s="31" t="str">
        <f t="shared" si="404"/>
        <v>BypassInputChecks,0,</v>
      </c>
      <c r="BB91" s="31" t="str">
        <f t="shared" si="405"/>
        <v>BypassUMLHChecks,0,</v>
      </c>
      <c r="BC91" s="31" t="str">
        <f t="shared" si="406"/>
        <v>BypassCheckSimRules,0,</v>
      </c>
      <c r="BD91" s="31" t="str">
        <f t="shared" si="407"/>
        <v>BypassCheckCodeRules,0,</v>
      </c>
      <c r="BE91" s="31" t="str">
        <f t="shared" si="299"/>
        <v>StoreResultsToModelInput,1,</v>
      </c>
      <c r="BF91" s="31" t="str">
        <f t="shared" si="300"/>
        <v>StoreBEMDetails,0,</v>
      </c>
      <c r="BG91" s="31" t="str">
        <f t="shared" si="301"/>
        <v>ModelRpt_ALL,1,</v>
      </c>
      <c r="BH91" s="31" t="str">
        <f t="shared" si="302"/>
        <v>ExportHourlyResults_All,0,</v>
      </c>
      <c r="BI91" s="31" t="str">
        <f t="shared" si="303"/>
        <v>ComplianceReportPDF,0,</v>
      </c>
      <c r="BJ91" s="31" t="str">
        <f t="shared" si="304"/>
        <v>ComplianceReportXML,0,</v>
      </c>
      <c r="BK91" s="31" t="str">
        <f t="shared" si="305"/>
        <v>QuickAnalysis,0,</v>
      </c>
      <c r="BL91" s="31" t="str">
        <f t="shared" si="305"/>
        <v>PromptUserUMLHWarning,0,</v>
      </c>
      <c r="BM91" s="31" t="str">
        <f t="shared" si="306"/>
        <v>BypassOpenStudio_all,0,</v>
      </c>
      <c r="BN91" s="31" t="str">
        <f t="shared" si="307"/>
        <v>BypassOpenStudio_zp,0,</v>
      </c>
      <c r="BO91" s="31" t="str">
        <f t="shared" si="308"/>
        <v>BypassOpenStudio_zb,0,</v>
      </c>
      <c r="BP91" s="31" t="str">
        <f t="shared" si="309"/>
        <v>BypassOpenStudio_ap,0,</v>
      </c>
      <c r="BQ91" s="31" t="str">
        <f t="shared" si="310"/>
        <v>BypassOpenStudio_ab,0,</v>
      </c>
      <c r="BR91" s="31" t="str">
        <f t="shared" si="311"/>
        <v>BypassOpenStudio_zp,0,</v>
      </c>
      <c r="BS91" s="31" t="str">
        <f t="shared" si="312"/>
        <v>BypassOpenStudio_zb,0,</v>
      </c>
      <c r="BT91" s="31" t="str">
        <f t="shared" si="313"/>
        <v>BypassOpenStudio_ap,0,</v>
      </c>
      <c r="BU91" s="31" t="str">
        <f t="shared" si="314"/>
        <v>BypassOpenStudio_ab,0,</v>
      </c>
    </row>
    <row r="92" spans="1:73" hidden="1" outlineLevel="1" x14ac:dyDescent="0.25">
      <c r="A92" s="39">
        <f t="shared" si="391"/>
        <v>0</v>
      </c>
      <c r="B92" s="27" t="str">
        <f t="shared" si="315"/>
        <v>RulesetImplementation2016Tests\x\x.cibd16</v>
      </c>
      <c r="C92" s="27" t="str">
        <f t="shared" si="316"/>
        <v>BatchOut_171026_r5178_FinalRel-v3-SSTSG_RIc\x.cibd16</v>
      </c>
      <c r="D92" s="27" t="str">
        <f t="shared" si="317"/>
        <v>BatchOut_171026_r5178_FinalRel-v3-SSTSG_RIc\XML\</v>
      </c>
      <c r="E92" s="9" t="str">
        <f t="shared" si="392"/>
        <v>x</v>
      </c>
      <c r="F92" s="22"/>
      <c r="G92" s="29"/>
      <c r="H92" s="23"/>
      <c r="I92" s="9" t="s">
        <v>11</v>
      </c>
      <c r="J92"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2" s="15" t="s">
        <v>1</v>
      </c>
      <c r="L92" s="36">
        <f t="shared" si="331"/>
        <v>0</v>
      </c>
      <c r="M92" s="91" t="str">
        <f t="shared" si="319"/>
        <v>x</v>
      </c>
      <c r="N92" s="90" t="s">
        <v>149</v>
      </c>
      <c r="O92" s="57" t="str">
        <f t="shared" si="387"/>
        <v>x</v>
      </c>
      <c r="P92" s="63">
        <f t="shared" si="332"/>
        <v>1</v>
      </c>
      <c r="Q92" s="65">
        <f t="shared" si="333"/>
        <v>1</v>
      </c>
      <c r="R92" s="65">
        <f t="shared" si="334"/>
        <v>0</v>
      </c>
      <c r="S92" s="65">
        <f t="shared" si="335"/>
        <v>1</v>
      </c>
      <c r="T92" s="65">
        <f t="shared" si="336"/>
        <v>0</v>
      </c>
      <c r="U92" s="65">
        <f t="shared" si="337"/>
        <v>8</v>
      </c>
      <c r="V92" s="65">
        <f t="shared" si="337"/>
        <v>8</v>
      </c>
      <c r="W92" s="65">
        <f t="shared" si="338"/>
        <v>1</v>
      </c>
      <c r="X92" s="65">
        <f t="shared" si="338"/>
        <v>0</v>
      </c>
      <c r="Y92" s="65">
        <f t="shared" si="338"/>
        <v>0</v>
      </c>
      <c r="Z92" s="65">
        <f t="shared" si="339"/>
        <v>0</v>
      </c>
      <c r="AA92" s="65">
        <f t="shared" si="340"/>
        <v>0</v>
      </c>
      <c r="AB92" s="65">
        <f t="shared" si="340"/>
        <v>1</v>
      </c>
      <c r="AC92" s="65">
        <f t="shared" si="325"/>
        <v>0</v>
      </c>
      <c r="AD92" s="61">
        <f t="shared" si="325"/>
        <v>1</v>
      </c>
      <c r="AE92" s="61">
        <f t="shared" ref="AE92:AF92" si="414">AE91</f>
        <v>0</v>
      </c>
      <c r="AF92" s="61">
        <f t="shared" si="414"/>
        <v>0</v>
      </c>
      <c r="AG92" s="61">
        <f t="shared" ref="AG92:AH92" si="415">AG91</f>
        <v>0</v>
      </c>
      <c r="AH92" s="61">
        <f t="shared" si="415"/>
        <v>0</v>
      </c>
      <c r="AI92" s="61">
        <f t="shared" ref="AI92" si="416">AI91</f>
        <v>0</v>
      </c>
      <c r="AJ92" s="63">
        <f t="shared" si="344"/>
        <v>0</v>
      </c>
      <c r="AK92" s="64">
        <f t="shared" si="345"/>
        <v>0</v>
      </c>
      <c r="AL92" s="64">
        <f t="shared" si="346"/>
        <v>0</v>
      </c>
      <c r="AM92" s="64">
        <f t="shared" si="347"/>
        <v>0</v>
      </c>
      <c r="AN92" s="66">
        <f t="shared" si="348"/>
        <v>0</v>
      </c>
      <c r="AO92" s="63">
        <f t="shared" si="349"/>
        <v>0</v>
      </c>
      <c r="AP92" s="64">
        <f t="shared" si="350"/>
        <v>0</v>
      </c>
      <c r="AQ92" s="65">
        <f t="shared" si="350"/>
        <v>0</v>
      </c>
      <c r="AR92" s="66">
        <f t="shared" si="350"/>
        <v>0</v>
      </c>
      <c r="AS92" s="31" t="str">
        <f t="shared" si="396"/>
        <v>SimulationStorage,1,</v>
      </c>
      <c r="AT92" s="31" t="str">
        <f t="shared" si="397"/>
        <v>AnalysisStorage,1,</v>
      </c>
      <c r="AU92" s="31" t="str">
        <f t="shared" si="398"/>
        <v>LogRuleEvaluation,0,</v>
      </c>
      <c r="AV92" s="31" t="str">
        <f t="shared" si="399"/>
        <v>ParallelSimulations,1,</v>
      </c>
      <c r="AW92" s="31" t="str">
        <f t="shared" si="400"/>
        <v>DurationStats,0,</v>
      </c>
      <c r="AX92" s="31" t="str">
        <f t="shared" si="401"/>
        <v>AnalysisThruStep,8,</v>
      </c>
      <c r="AY92" s="31" t="str">
        <f t="shared" si="402"/>
        <v>DontAbortOnErrorsThruStep,8,</v>
      </c>
      <c r="AZ92" s="31" t="str">
        <f t="shared" si="403"/>
        <v>BypassValidFileChecks,1,</v>
      </c>
      <c r="BA92" s="31" t="str">
        <f t="shared" si="404"/>
        <v>BypassInputChecks,0,</v>
      </c>
      <c r="BB92" s="31" t="str">
        <f t="shared" si="405"/>
        <v>BypassUMLHChecks,0,</v>
      </c>
      <c r="BC92" s="31" t="str">
        <f t="shared" si="406"/>
        <v>BypassCheckSimRules,0,</v>
      </c>
      <c r="BD92" s="31" t="str">
        <f t="shared" si="407"/>
        <v>BypassCheckCodeRules,0,</v>
      </c>
      <c r="BE92" s="31" t="str">
        <f t="shared" si="299"/>
        <v>StoreResultsToModelInput,1,</v>
      </c>
      <c r="BF92" s="31" t="str">
        <f t="shared" si="300"/>
        <v>StoreBEMDetails,0,</v>
      </c>
      <c r="BG92" s="31" t="str">
        <f t="shared" si="301"/>
        <v>ModelRpt_ALL,1,</v>
      </c>
      <c r="BH92" s="31" t="str">
        <f t="shared" si="302"/>
        <v>ExportHourlyResults_All,0,</v>
      </c>
      <c r="BI92" s="31" t="str">
        <f t="shared" si="303"/>
        <v>ComplianceReportPDF,0,</v>
      </c>
      <c r="BJ92" s="31" t="str">
        <f t="shared" si="304"/>
        <v>ComplianceReportXML,0,</v>
      </c>
      <c r="BK92" s="31" t="str">
        <f t="shared" si="305"/>
        <v>QuickAnalysis,0,</v>
      </c>
      <c r="BL92" s="31" t="str">
        <f t="shared" si="305"/>
        <v>PromptUserUMLHWarning,0,</v>
      </c>
      <c r="BM92" s="31" t="str">
        <f t="shared" si="306"/>
        <v>BypassOpenStudio_all,0,</v>
      </c>
      <c r="BN92" s="31" t="str">
        <f t="shared" si="307"/>
        <v>BypassOpenStudio_zp,0,</v>
      </c>
      <c r="BO92" s="31" t="str">
        <f t="shared" si="308"/>
        <v>BypassOpenStudio_zb,0,</v>
      </c>
      <c r="BP92" s="31" t="str">
        <f t="shared" si="309"/>
        <v>BypassOpenStudio_ap,0,</v>
      </c>
      <c r="BQ92" s="31" t="str">
        <f t="shared" si="310"/>
        <v>BypassOpenStudio_ab,0,</v>
      </c>
      <c r="BR92" s="31" t="str">
        <f t="shared" si="311"/>
        <v>BypassOpenStudio_zp,0,</v>
      </c>
      <c r="BS92" s="31" t="str">
        <f t="shared" si="312"/>
        <v>BypassOpenStudio_zb,0,</v>
      </c>
      <c r="BT92" s="31" t="str">
        <f t="shared" si="313"/>
        <v>BypassOpenStudio_ap,0,</v>
      </c>
      <c r="BU92" s="31" t="str">
        <f t="shared" si="314"/>
        <v>BypassOpenStudio_ab,0,</v>
      </c>
    </row>
    <row r="93" spans="1:73" hidden="1" outlineLevel="1" x14ac:dyDescent="0.25">
      <c r="A93" s="39">
        <f t="shared" si="391"/>
        <v>0</v>
      </c>
      <c r="B93" s="27" t="str">
        <f t="shared" si="315"/>
        <v>RulesetImplementation2016Tests\x\x.cibd16</v>
      </c>
      <c r="C93" s="27" t="str">
        <f t="shared" si="316"/>
        <v>BatchOut_171026_r5178_FinalRel-v3-SSTSG_RIc\x.cibd16</v>
      </c>
      <c r="D93" s="27" t="str">
        <f t="shared" si="317"/>
        <v>BatchOut_171026_r5178_FinalRel-v3-SSTSG_RIc\XML\</v>
      </c>
      <c r="E93" s="9" t="str">
        <f t="shared" si="392"/>
        <v>x</v>
      </c>
      <c r="F93" s="22"/>
      <c r="G93" s="29"/>
      <c r="H93" s="23"/>
      <c r="I93" s="9" t="s">
        <v>11</v>
      </c>
      <c r="J93"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3" s="15" t="s">
        <v>1</v>
      </c>
      <c r="L93" s="36">
        <f t="shared" si="331"/>
        <v>0</v>
      </c>
      <c r="M93" s="91" t="str">
        <f t="shared" si="319"/>
        <v>x</v>
      </c>
      <c r="N93" s="90" t="s">
        <v>149</v>
      </c>
      <c r="O93" s="57" t="str">
        <f t="shared" si="387"/>
        <v>x</v>
      </c>
      <c r="P93" s="63">
        <f t="shared" si="332"/>
        <v>1</v>
      </c>
      <c r="Q93" s="65">
        <f t="shared" si="333"/>
        <v>1</v>
      </c>
      <c r="R93" s="65">
        <f t="shared" si="334"/>
        <v>0</v>
      </c>
      <c r="S93" s="65">
        <f t="shared" si="335"/>
        <v>1</v>
      </c>
      <c r="T93" s="65">
        <f t="shared" si="336"/>
        <v>0</v>
      </c>
      <c r="U93" s="65">
        <f t="shared" si="337"/>
        <v>8</v>
      </c>
      <c r="V93" s="65">
        <f t="shared" si="337"/>
        <v>8</v>
      </c>
      <c r="W93" s="65">
        <f t="shared" si="338"/>
        <v>1</v>
      </c>
      <c r="X93" s="65">
        <f t="shared" si="338"/>
        <v>0</v>
      </c>
      <c r="Y93" s="65">
        <f t="shared" si="338"/>
        <v>0</v>
      </c>
      <c r="Z93" s="65">
        <f t="shared" si="339"/>
        <v>0</v>
      </c>
      <c r="AA93" s="65">
        <f t="shared" si="340"/>
        <v>0</v>
      </c>
      <c r="AB93" s="65">
        <f t="shared" si="340"/>
        <v>1</v>
      </c>
      <c r="AC93" s="65">
        <f t="shared" si="325"/>
        <v>0</v>
      </c>
      <c r="AD93" s="61">
        <f t="shared" si="325"/>
        <v>1</v>
      </c>
      <c r="AE93" s="61">
        <f t="shared" ref="AE93:AF93" si="417">AE92</f>
        <v>0</v>
      </c>
      <c r="AF93" s="61">
        <f t="shared" si="417"/>
        <v>0</v>
      </c>
      <c r="AG93" s="61">
        <f t="shared" ref="AG93:AH93" si="418">AG92</f>
        <v>0</v>
      </c>
      <c r="AH93" s="61">
        <f t="shared" si="418"/>
        <v>0</v>
      </c>
      <c r="AI93" s="61">
        <f t="shared" ref="AI93" si="419">AI92</f>
        <v>0</v>
      </c>
      <c r="AJ93" s="63">
        <f t="shared" si="344"/>
        <v>0</v>
      </c>
      <c r="AK93" s="64">
        <f t="shared" si="345"/>
        <v>0</v>
      </c>
      <c r="AL93" s="64">
        <f t="shared" si="346"/>
        <v>0</v>
      </c>
      <c r="AM93" s="64">
        <f t="shared" si="347"/>
        <v>0</v>
      </c>
      <c r="AN93" s="66">
        <f t="shared" si="348"/>
        <v>0</v>
      </c>
      <c r="AO93" s="63">
        <f t="shared" si="349"/>
        <v>0</v>
      </c>
      <c r="AP93" s="64">
        <f t="shared" si="350"/>
        <v>0</v>
      </c>
      <c r="AQ93" s="65">
        <f t="shared" si="350"/>
        <v>0</v>
      </c>
      <c r="AR93" s="66">
        <f t="shared" si="350"/>
        <v>0</v>
      </c>
      <c r="AS93" s="31" t="str">
        <f t="shared" si="396"/>
        <v>SimulationStorage,1,</v>
      </c>
      <c r="AT93" s="31" t="str">
        <f t="shared" si="397"/>
        <v>AnalysisStorage,1,</v>
      </c>
      <c r="AU93" s="31" t="str">
        <f t="shared" si="398"/>
        <v>LogRuleEvaluation,0,</v>
      </c>
      <c r="AV93" s="31" t="str">
        <f t="shared" si="399"/>
        <v>ParallelSimulations,1,</v>
      </c>
      <c r="AW93" s="31" t="str">
        <f t="shared" si="400"/>
        <v>DurationStats,0,</v>
      </c>
      <c r="AX93" s="31" t="str">
        <f t="shared" si="401"/>
        <v>AnalysisThruStep,8,</v>
      </c>
      <c r="AY93" s="31" t="str">
        <f t="shared" si="402"/>
        <v>DontAbortOnErrorsThruStep,8,</v>
      </c>
      <c r="AZ93" s="31" t="str">
        <f t="shared" si="403"/>
        <v>BypassValidFileChecks,1,</v>
      </c>
      <c r="BA93" s="31" t="str">
        <f t="shared" si="404"/>
        <v>BypassInputChecks,0,</v>
      </c>
      <c r="BB93" s="31" t="str">
        <f t="shared" si="405"/>
        <v>BypassUMLHChecks,0,</v>
      </c>
      <c r="BC93" s="31" t="str">
        <f t="shared" si="406"/>
        <v>BypassCheckSimRules,0,</v>
      </c>
      <c r="BD93" s="31" t="str">
        <f t="shared" si="407"/>
        <v>BypassCheckCodeRules,0,</v>
      </c>
      <c r="BE93" s="31" t="str">
        <f t="shared" si="299"/>
        <v>StoreResultsToModelInput,1,</v>
      </c>
      <c r="BF93" s="31" t="str">
        <f t="shared" si="300"/>
        <v>StoreBEMDetails,0,</v>
      </c>
      <c r="BG93" s="31" t="str">
        <f t="shared" si="301"/>
        <v>ModelRpt_ALL,1,</v>
      </c>
      <c r="BH93" s="31" t="str">
        <f t="shared" si="302"/>
        <v>ExportHourlyResults_All,0,</v>
      </c>
      <c r="BI93" s="31" t="str">
        <f t="shared" si="303"/>
        <v>ComplianceReportPDF,0,</v>
      </c>
      <c r="BJ93" s="31" t="str">
        <f t="shared" si="304"/>
        <v>ComplianceReportXML,0,</v>
      </c>
      <c r="BK93" s="31" t="str">
        <f t="shared" si="305"/>
        <v>QuickAnalysis,0,</v>
      </c>
      <c r="BL93" s="31" t="str">
        <f t="shared" si="305"/>
        <v>PromptUserUMLHWarning,0,</v>
      </c>
      <c r="BM93" s="31" t="str">
        <f t="shared" si="306"/>
        <v>BypassOpenStudio_all,0,</v>
      </c>
      <c r="BN93" s="31" t="str">
        <f t="shared" si="307"/>
        <v>BypassOpenStudio_zp,0,</v>
      </c>
      <c r="BO93" s="31" t="str">
        <f t="shared" si="308"/>
        <v>BypassOpenStudio_zb,0,</v>
      </c>
      <c r="BP93" s="31" t="str">
        <f t="shared" si="309"/>
        <v>BypassOpenStudio_ap,0,</v>
      </c>
      <c r="BQ93" s="31" t="str">
        <f t="shared" si="310"/>
        <v>BypassOpenStudio_ab,0,</v>
      </c>
      <c r="BR93" s="31" t="str">
        <f t="shared" si="311"/>
        <v>BypassOpenStudio_zp,0,</v>
      </c>
      <c r="BS93" s="31" t="str">
        <f t="shared" si="312"/>
        <v>BypassOpenStudio_zb,0,</v>
      </c>
      <c r="BT93" s="31" t="str">
        <f t="shared" si="313"/>
        <v>BypassOpenStudio_ap,0,</v>
      </c>
      <c r="BU93" s="31" t="str">
        <f t="shared" si="314"/>
        <v>BypassOpenStudio_ab,0,</v>
      </c>
    </row>
    <row r="94" spans="1:73" hidden="1" outlineLevel="1" x14ac:dyDescent="0.25">
      <c r="A94" s="39">
        <f t="shared" si="391"/>
        <v>0</v>
      </c>
      <c r="B94" s="27" t="str">
        <f t="shared" si="315"/>
        <v>RulesetImplementation2016Tests\x\x.cibd16</v>
      </c>
      <c r="C94" s="27" t="str">
        <f t="shared" si="316"/>
        <v>BatchOut_171026_r5178_FinalRel-v3-SSTSG_RIc\x.cibd16</v>
      </c>
      <c r="D94" s="27" t="str">
        <f t="shared" si="317"/>
        <v>BatchOut_171026_r5178_FinalRel-v3-SSTSG_RIc\XML\</v>
      </c>
      <c r="E94" s="9" t="str">
        <f t="shared" si="392"/>
        <v>x</v>
      </c>
      <c r="F94" s="22"/>
      <c r="G94" s="29"/>
      <c r="H94" s="23"/>
      <c r="I94" s="9" t="s">
        <v>11</v>
      </c>
      <c r="J9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4" s="15" t="s">
        <v>1</v>
      </c>
      <c r="L94" s="36">
        <f t="shared" si="331"/>
        <v>0</v>
      </c>
      <c r="M94" s="91" t="str">
        <f t="shared" si="319"/>
        <v>x</v>
      </c>
      <c r="N94" s="90" t="s">
        <v>149</v>
      </c>
      <c r="O94" s="57" t="str">
        <f t="shared" si="387"/>
        <v>x</v>
      </c>
      <c r="P94" s="63">
        <f t="shared" si="332"/>
        <v>1</v>
      </c>
      <c r="Q94" s="65">
        <f t="shared" si="333"/>
        <v>1</v>
      </c>
      <c r="R94" s="65">
        <f t="shared" si="334"/>
        <v>0</v>
      </c>
      <c r="S94" s="65">
        <f t="shared" si="335"/>
        <v>1</v>
      </c>
      <c r="T94" s="65">
        <f t="shared" si="336"/>
        <v>0</v>
      </c>
      <c r="U94" s="65">
        <f t="shared" si="337"/>
        <v>8</v>
      </c>
      <c r="V94" s="65">
        <f t="shared" si="337"/>
        <v>8</v>
      </c>
      <c r="W94" s="65">
        <f t="shared" si="338"/>
        <v>1</v>
      </c>
      <c r="X94" s="65">
        <f t="shared" si="338"/>
        <v>0</v>
      </c>
      <c r="Y94" s="65">
        <f t="shared" si="338"/>
        <v>0</v>
      </c>
      <c r="Z94" s="65">
        <f t="shared" si="339"/>
        <v>0</v>
      </c>
      <c r="AA94" s="65">
        <f t="shared" si="340"/>
        <v>0</v>
      </c>
      <c r="AB94" s="65">
        <f t="shared" si="340"/>
        <v>1</v>
      </c>
      <c r="AC94" s="65">
        <f t="shared" si="325"/>
        <v>0</v>
      </c>
      <c r="AD94" s="61">
        <f t="shared" si="325"/>
        <v>1</v>
      </c>
      <c r="AE94" s="61">
        <f t="shared" ref="AE94:AF94" si="420">AE93</f>
        <v>0</v>
      </c>
      <c r="AF94" s="61">
        <f t="shared" si="420"/>
        <v>0</v>
      </c>
      <c r="AG94" s="61">
        <f t="shared" ref="AG94:AH94" si="421">AG93</f>
        <v>0</v>
      </c>
      <c r="AH94" s="61">
        <f t="shared" si="421"/>
        <v>0</v>
      </c>
      <c r="AI94" s="61">
        <f t="shared" ref="AI94" si="422">AI93</f>
        <v>0</v>
      </c>
      <c r="AJ94" s="63">
        <f t="shared" si="344"/>
        <v>0</v>
      </c>
      <c r="AK94" s="64">
        <f t="shared" si="345"/>
        <v>0</v>
      </c>
      <c r="AL94" s="64">
        <f t="shared" si="346"/>
        <v>0</v>
      </c>
      <c r="AM94" s="64">
        <f t="shared" si="347"/>
        <v>0</v>
      </c>
      <c r="AN94" s="66">
        <f t="shared" si="348"/>
        <v>0</v>
      </c>
      <c r="AO94" s="63">
        <f t="shared" si="349"/>
        <v>0</v>
      </c>
      <c r="AP94" s="64">
        <f t="shared" si="350"/>
        <v>0</v>
      </c>
      <c r="AQ94" s="65">
        <f t="shared" si="350"/>
        <v>0</v>
      </c>
      <c r="AR94" s="66">
        <f t="shared" si="350"/>
        <v>0</v>
      </c>
      <c r="AS94" s="31" t="str">
        <f t="shared" si="396"/>
        <v>SimulationStorage,1,</v>
      </c>
      <c r="AT94" s="31" t="str">
        <f t="shared" si="397"/>
        <v>AnalysisStorage,1,</v>
      </c>
      <c r="AU94" s="31" t="str">
        <f t="shared" si="398"/>
        <v>LogRuleEvaluation,0,</v>
      </c>
      <c r="AV94" s="31" t="str">
        <f t="shared" si="399"/>
        <v>ParallelSimulations,1,</v>
      </c>
      <c r="AW94" s="31" t="str">
        <f t="shared" si="400"/>
        <v>DurationStats,0,</v>
      </c>
      <c r="AX94" s="31" t="str">
        <f t="shared" si="401"/>
        <v>AnalysisThruStep,8,</v>
      </c>
      <c r="AY94" s="31" t="str">
        <f t="shared" si="402"/>
        <v>DontAbortOnErrorsThruStep,8,</v>
      </c>
      <c r="AZ94" s="31" t="str">
        <f t="shared" si="403"/>
        <v>BypassValidFileChecks,1,</v>
      </c>
      <c r="BA94" s="31" t="str">
        <f t="shared" si="404"/>
        <v>BypassInputChecks,0,</v>
      </c>
      <c r="BB94" s="31" t="str">
        <f t="shared" si="405"/>
        <v>BypassUMLHChecks,0,</v>
      </c>
      <c r="BC94" s="31" t="str">
        <f t="shared" si="406"/>
        <v>BypassCheckSimRules,0,</v>
      </c>
      <c r="BD94" s="31" t="str">
        <f t="shared" si="407"/>
        <v>BypassCheckCodeRules,0,</v>
      </c>
      <c r="BE94" s="31" t="str">
        <f t="shared" si="299"/>
        <v>StoreResultsToModelInput,1,</v>
      </c>
      <c r="BF94" s="31" t="str">
        <f t="shared" si="300"/>
        <v>StoreBEMDetails,0,</v>
      </c>
      <c r="BG94" s="31" t="str">
        <f t="shared" si="301"/>
        <v>ModelRpt_ALL,1,</v>
      </c>
      <c r="BH94" s="31" t="str">
        <f t="shared" si="302"/>
        <v>ExportHourlyResults_All,0,</v>
      </c>
      <c r="BI94" s="31" t="str">
        <f t="shared" si="303"/>
        <v>ComplianceReportPDF,0,</v>
      </c>
      <c r="BJ94" s="31" t="str">
        <f t="shared" si="304"/>
        <v>ComplianceReportXML,0,</v>
      </c>
      <c r="BK94" s="31" t="str">
        <f t="shared" si="305"/>
        <v>QuickAnalysis,0,</v>
      </c>
      <c r="BL94" s="31" t="str">
        <f t="shared" si="305"/>
        <v>PromptUserUMLHWarning,0,</v>
      </c>
      <c r="BM94" s="31" t="str">
        <f t="shared" si="306"/>
        <v>BypassOpenStudio_all,0,</v>
      </c>
      <c r="BN94" s="31" t="str">
        <f t="shared" si="307"/>
        <v>BypassOpenStudio_zp,0,</v>
      </c>
      <c r="BO94" s="31" t="str">
        <f t="shared" si="308"/>
        <v>BypassOpenStudio_zb,0,</v>
      </c>
      <c r="BP94" s="31" t="str">
        <f t="shared" si="309"/>
        <v>BypassOpenStudio_ap,0,</v>
      </c>
      <c r="BQ94" s="31" t="str">
        <f t="shared" si="310"/>
        <v>BypassOpenStudio_ab,0,</v>
      </c>
      <c r="BR94" s="31" t="str">
        <f t="shared" si="311"/>
        <v>BypassOpenStudio_zp,0,</v>
      </c>
      <c r="BS94" s="31" t="str">
        <f t="shared" si="312"/>
        <v>BypassOpenStudio_zb,0,</v>
      </c>
      <c r="BT94" s="31" t="str">
        <f t="shared" si="313"/>
        <v>BypassOpenStudio_ap,0,</v>
      </c>
      <c r="BU94" s="31" t="str">
        <f t="shared" si="314"/>
        <v>BypassOpenStudio_ab,0,</v>
      </c>
    </row>
    <row r="95" spans="1:73" hidden="1" outlineLevel="1" x14ac:dyDescent="0.25">
      <c r="A95" s="39">
        <f t="shared" si="391"/>
        <v>0</v>
      </c>
      <c r="B95" s="27" t="str">
        <f t="shared" si="315"/>
        <v>RulesetImplementation2016Tests\x\x.cibd16</v>
      </c>
      <c r="C95" s="27" t="str">
        <f t="shared" si="316"/>
        <v>BatchOut_171026_r5178_FinalRel-v3-SSTSG_RIc\x.cibd16</v>
      </c>
      <c r="D95" s="27" t="str">
        <f t="shared" si="317"/>
        <v>BatchOut_171026_r5178_FinalRel-v3-SSTSG_RIc\XML\</v>
      </c>
      <c r="E95" s="9" t="str">
        <f t="shared" si="392"/>
        <v>x</v>
      </c>
      <c r="F95" s="22"/>
      <c r="G95" s="29"/>
      <c r="H95" s="23"/>
      <c r="I95" s="9" t="s">
        <v>11</v>
      </c>
      <c r="J9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5" s="15" t="s">
        <v>1</v>
      </c>
      <c r="L95" s="36">
        <f t="shared" si="331"/>
        <v>0</v>
      </c>
      <c r="M95" s="91" t="str">
        <f t="shared" si="319"/>
        <v>x</v>
      </c>
      <c r="N95" s="90" t="s">
        <v>149</v>
      </c>
      <c r="O95" s="57" t="str">
        <f t="shared" si="387"/>
        <v>x</v>
      </c>
      <c r="P95" s="63">
        <f t="shared" si="332"/>
        <v>1</v>
      </c>
      <c r="Q95" s="65">
        <f t="shared" si="333"/>
        <v>1</v>
      </c>
      <c r="R95" s="65">
        <f t="shared" si="334"/>
        <v>0</v>
      </c>
      <c r="S95" s="65">
        <f t="shared" si="335"/>
        <v>1</v>
      </c>
      <c r="T95" s="65">
        <f t="shared" si="336"/>
        <v>0</v>
      </c>
      <c r="U95" s="65">
        <f t="shared" si="337"/>
        <v>8</v>
      </c>
      <c r="V95" s="65">
        <f t="shared" si="337"/>
        <v>8</v>
      </c>
      <c r="W95" s="65">
        <f t="shared" si="338"/>
        <v>1</v>
      </c>
      <c r="X95" s="65">
        <f t="shared" si="338"/>
        <v>0</v>
      </c>
      <c r="Y95" s="65">
        <f t="shared" si="338"/>
        <v>0</v>
      </c>
      <c r="Z95" s="65">
        <f t="shared" si="339"/>
        <v>0</v>
      </c>
      <c r="AA95" s="65">
        <f t="shared" si="340"/>
        <v>0</v>
      </c>
      <c r="AB95" s="65">
        <f t="shared" si="340"/>
        <v>1</v>
      </c>
      <c r="AC95" s="65">
        <f t="shared" si="325"/>
        <v>0</v>
      </c>
      <c r="AD95" s="61">
        <f t="shared" si="325"/>
        <v>1</v>
      </c>
      <c r="AE95" s="61">
        <f t="shared" ref="AE95:AF95" si="423">AE94</f>
        <v>0</v>
      </c>
      <c r="AF95" s="61">
        <f t="shared" si="423"/>
        <v>0</v>
      </c>
      <c r="AG95" s="61">
        <f t="shared" ref="AG95:AH95" si="424">AG94</f>
        <v>0</v>
      </c>
      <c r="AH95" s="61">
        <f t="shared" si="424"/>
        <v>0</v>
      </c>
      <c r="AI95" s="61">
        <f t="shared" ref="AI95" si="425">AI94</f>
        <v>0</v>
      </c>
      <c r="AJ95" s="63">
        <f t="shared" si="344"/>
        <v>0</v>
      </c>
      <c r="AK95" s="64">
        <f t="shared" si="345"/>
        <v>0</v>
      </c>
      <c r="AL95" s="64">
        <f t="shared" si="346"/>
        <v>0</v>
      </c>
      <c r="AM95" s="64">
        <f t="shared" si="347"/>
        <v>0</v>
      </c>
      <c r="AN95" s="66">
        <f t="shared" si="348"/>
        <v>0</v>
      </c>
      <c r="AO95" s="63">
        <f t="shared" si="349"/>
        <v>0</v>
      </c>
      <c r="AP95" s="64">
        <f t="shared" si="350"/>
        <v>0</v>
      </c>
      <c r="AQ95" s="65">
        <f t="shared" si="350"/>
        <v>0</v>
      </c>
      <c r="AR95" s="66">
        <f t="shared" si="350"/>
        <v>0</v>
      </c>
      <c r="AS95" s="31" t="str">
        <f t="shared" si="396"/>
        <v>SimulationStorage,1,</v>
      </c>
      <c r="AT95" s="31" t="str">
        <f t="shared" si="397"/>
        <v>AnalysisStorage,1,</v>
      </c>
      <c r="AU95" s="31" t="str">
        <f t="shared" si="398"/>
        <v>LogRuleEvaluation,0,</v>
      </c>
      <c r="AV95" s="31" t="str">
        <f t="shared" si="399"/>
        <v>ParallelSimulations,1,</v>
      </c>
      <c r="AW95" s="31" t="str">
        <f t="shared" si="400"/>
        <v>DurationStats,0,</v>
      </c>
      <c r="AX95" s="31" t="str">
        <f t="shared" si="401"/>
        <v>AnalysisThruStep,8,</v>
      </c>
      <c r="AY95" s="31" t="str">
        <f t="shared" si="402"/>
        <v>DontAbortOnErrorsThruStep,8,</v>
      </c>
      <c r="AZ95" s="31" t="str">
        <f t="shared" si="403"/>
        <v>BypassValidFileChecks,1,</v>
      </c>
      <c r="BA95" s="31" t="str">
        <f t="shared" si="404"/>
        <v>BypassInputChecks,0,</v>
      </c>
      <c r="BB95" s="31" t="str">
        <f t="shared" si="405"/>
        <v>BypassUMLHChecks,0,</v>
      </c>
      <c r="BC95" s="31" t="str">
        <f t="shared" si="406"/>
        <v>BypassCheckSimRules,0,</v>
      </c>
      <c r="BD95" s="31" t="str">
        <f t="shared" si="407"/>
        <v>BypassCheckCodeRules,0,</v>
      </c>
      <c r="BE95" s="31" t="str">
        <f t="shared" si="299"/>
        <v>StoreResultsToModelInput,1,</v>
      </c>
      <c r="BF95" s="31" t="str">
        <f t="shared" si="300"/>
        <v>StoreBEMDetails,0,</v>
      </c>
      <c r="BG95" s="31" t="str">
        <f t="shared" si="301"/>
        <v>ModelRpt_ALL,1,</v>
      </c>
      <c r="BH95" s="31" t="str">
        <f t="shared" si="302"/>
        <v>ExportHourlyResults_All,0,</v>
      </c>
      <c r="BI95" s="31" t="str">
        <f t="shared" si="303"/>
        <v>ComplianceReportPDF,0,</v>
      </c>
      <c r="BJ95" s="31" t="str">
        <f t="shared" si="304"/>
        <v>ComplianceReportXML,0,</v>
      </c>
      <c r="BK95" s="31" t="str">
        <f t="shared" si="305"/>
        <v>QuickAnalysis,0,</v>
      </c>
      <c r="BL95" s="31" t="str">
        <f t="shared" si="305"/>
        <v>PromptUserUMLHWarning,0,</v>
      </c>
      <c r="BM95" s="31" t="str">
        <f t="shared" si="306"/>
        <v>BypassOpenStudio_all,0,</v>
      </c>
      <c r="BN95" s="31" t="str">
        <f t="shared" si="307"/>
        <v>BypassOpenStudio_zp,0,</v>
      </c>
      <c r="BO95" s="31" t="str">
        <f t="shared" si="308"/>
        <v>BypassOpenStudio_zb,0,</v>
      </c>
      <c r="BP95" s="31" t="str">
        <f t="shared" si="309"/>
        <v>BypassOpenStudio_ap,0,</v>
      </c>
      <c r="BQ95" s="31" t="str">
        <f t="shared" si="310"/>
        <v>BypassOpenStudio_ab,0,</v>
      </c>
      <c r="BR95" s="31" t="str">
        <f t="shared" si="311"/>
        <v>BypassOpenStudio_zp,0,</v>
      </c>
      <c r="BS95" s="31" t="str">
        <f t="shared" si="312"/>
        <v>BypassOpenStudio_zb,0,</v>
      </c>
      <c r="BT95" s="31" t="str">
        <f t="shared" si="313"/>
        <v>BypassOpenStudio_ap,0,</v>
      </c>
      <c r="BU95" s="31" t="str">
        <f t="shared" si="314"/>
        <v>BypassOpenStudio_ab,0,</v>
      </c>
    </row>
    <row r="96" spans="1:73" hidden="1" outlineLevel="1" x14ac:dyDescent="0.25">
      <c r="A96" s="39">
        <f t="shared" si="391"/>
        <v>0</v>
      </c>
      <c r="B96" s="27" t="str">
        <f t="shared" si="315"/>
        <v>RulesetImplementation2016Tests\x\x.cibd16</v>
      </c>
      <c r="C96" s="27" t="str">
        <f t="shared" si="316"/>
        <v>BatchOut_171026_r5178_FinalRel-v3-SSTSG_RIc\x.cibd16</v>
      </c>
      <c r="D96" s="27" t="str">
        <f t="shared" si="317"/>
        <v>BatchOut_171026_r5178_FinalRel-v3-SSTSG_RIc\XML\</v>
      </c>
      <c r="E96" s="9" t="str">
        <f t="shared" si="392"/>
        <v>x</v>
      </c>
      <c r="F96" s="22"/>
      <c r="G96" s="29"/>
      <c r="H96" s="23"/>
      <c r="I96" s="9" t="s">
        <v>11</v>
      </c>
      <c r="J96"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6" s="15" t="s">
        <v>1</v>
      </c>
      <c r="L96" s="36">
        <f t="shared" si="331"/>
        <v>0</v>
      </c>
      <c r="M96" s="91" t="str">
        <f t="shared" si="319"/>
        <v>x</v>
      </c>
      <c r="N96" s="90" t="s">
        <v>149</v>
      </c>
      <c r="O96" s="57" t="str">
        <f t="shared" si="387"/>
        <v>x</v>
      </c>
      <c r="P96" s="63">
        <f t="shared" si="332"/>
        <v>1</v>
      </c>
      <c r="Q96" s="65">
        <f t="shared" si="333"/>
        <v>1</v>
      </c>
      <c r="R96" s="65">
        <f t="shared" si="334"/>
        <v>0</v>
      </c>
      <c r="S96" s="65">
        <f t="shared" si="335"/>
        <v>1</v>
      </c>
      <c r="T96" s="65">
        <f t="shared" si="336"/>
        <v>0</v>
      </c>
      <c r="U96" s="65">
        <f t="shared" si="337"/>
        <v>8</v>
      </c>
      <c r="V96" s="65">
        <f t="shared" si="337"/>
        <v>8</v>
      </c>
      <c r="W96" s="65">
        <f t="shared" si="338"/>
        <v>1</v>
      </c>
      <c r="X96" s="65">
        <f t="shared" si="338"/>
        <v>0</v>
      </c>
      <c r="Y96" s="65">
        <f t="shared" si="338"/>
        <v>0</v>
      </c>
      <c r="Z96" s="65">
        <f t="shared" si="339"/>
        <v>0</v>
      </c>
      <c r="AA96" s="65">
        <f t="shared" si="340"/>
        <v>0</v>
      </c>
      <c r="AB96" s="65">
        <f t="shared" si="340"/>
        <v>1</v>
      </c>
      <c r="AC96" s="65">
        <f t="shared" si="325"/>
        <v>0</v>
      </c>
      <c r="AD96" s="61">
        <f t="shared" si="325"/>
        <v>1</v>
      </c>
      <c r="AE96" s="61">
        <f t="shared" ref="AE96:AF96" si="426">AE95</f>
        <v>0</v>
      </c>
      <c r="AF96" s="61">
        <f t="shared" si="426"/>
        <v>0</v>
      </c>
      <c r="AG96" s="61">
        <f t="shared" ref="AG96:AH96" si="427">AG95</f>
        <v>0</v>
      </c>
      <c r="AH96" s="61">
        <f t="shared" si="427"/>
        <v>0</v>
      </c>
      <c r="AI96" s="61">
        <f t="shared" ref="AI96" si="428">AI95</f>
        <v>0</v>
      </c>
      <c r="AJ96" s="63">
        <f t="shared" si="344"/>
        <v>0</v>
      </c>
      <c r="AK96" s="64">
        <f t="shared" si="345"/>
        <v>0</v>
      </c>
      <c r="AL96" s="64">
        <f t="shared" si="346"/>
        <v>0</v>
      </c>
      <c r="AM96" s="64">
        <f t="shared" si="347"/>
        <v>0</v>
      </c>
      <c r="AN96" s="66">
        <f t="shared" si="348"/>
        <v>0</v>
      </c>
      <c r="AO96" s="63">
        <f t="shared" si="349"/>
        <v>0</v>
      </c>
      <c r="AP96" s="64">
        <f t="shared" si="350"/>
        <v>0</v>
      </c>
      <c r="AQ96" s="65">
        <f t="shared" si="350"/>
        <v>0</v>
      </c>
      <c r="AR96" s="66">
        <f t="shared" si="350"/>
        <v>0</v>
      </c>
      <c r="AS96" s="31" t="str">
        <f t="shared" si="396"/>
        <v>SimulationStorage,1,</v>
      </c>
      <c r="AT96" s="31" t="str">
        <f t="shared" si="397"/>
        <v>AnalysisStorage,1,</v>
      </c>
      <c r="AU96" s="31" t="str">
        <f t="shared" si="398"/>
        <v>LogRuleEvaluation,0,</v>
      </c>
      <c r="AV96" s="31" t="str">
        <f t="shared" si="399"/>
        <v>ParallelSimulations,1,</v>
      </c>
      <c r="AW96" s="31" t="str">
        <f t="shared" si="400"/>
        <v>DurationStats,0,</v>
      </c>
      <c r="AX96" s="31" t="str">
        <f t="shared" si="401"/>
        <v>AnalysisThruStep,8,</v>
      </c>
      <c r="AY96" s="31" t="str">
        <f t="shared" si="402"/>
        <v>DontAbortOnErrorsThruStep,8,</v>
      </c>
      <c r="AZ96" s="31" t="str">
        <f t="shared" si="403"/>
        <v>BypassValidFileChecks,1,</v>
      </c>
      <c r="BA96" s="31" t="str">
        <f t="shared" si="404"/>
        <v>BypassInputChecks,0,</v>
      </c>
      <c r="BB96" s="31" t="str">
        <f t="shared" si="405"/>
        <v>BypassUMLHChecks,0,</v>
      </c>
      <c r="BC96" s="31" t="str">
        <f t="shared" si="406"/>
        <v>BypassCheckSimRules,0,</v>
      </c>
      <c r="BD96" s="31" t="str">
        <f t="shared" si="407"/>
        <v>BypassCheckCodeRules,0,</v>
      </c>
      <c r="BE96" s="31" t="str">
        <f t="shared" si="299"/>
        <v>StoreResultsToModelInput,1,</v>
      </c>
      <c r="BF96" s="31" t="str">
        <f t="shared" si="300"/>
        <v>StoreBEMDetails,0,</v>
      </c>
      <c r="BG96" s="31" t="str">
        <f t="shared" si="301"/>
        <v>ModelRpt_ALL,1,</v>
      </c>
      <c r="BH96" s="31" t="str">
        <f t="shared" si="302"/>
        <v>ExportHourlyResults_All,0,</v>
      </c>
      <c r="BI96" s="31" t="str">
        <f t="shared" si="303"/>
        <v>ComplianceReportPDF,0,</v>
      </c>
      <c r="BJ96" s="31" t="str">
        <f t="shared" si="304"/>
        <v>ComplianceReportXML,0,</v>
      </c>
      <c r="BK96" s="31" t="str">
        <f t="shared" si="305"/>
        <v>QuickAnalysis,0,</v>
      </c>
      <c r="BL96" s="31" t="str">
        <f t="shared" si="305"/>
        <v>PromptUserUMLHWarning,0,</v>
      </c>
      <c r="BM96" s="31" t="str">
        <f t="shared" si="306"/>
        <v>BypassOpenStudio_all,0,</v>
      </c>
      <c r="BN96" s="31" t="str">
        <f t="shared" si="307"/>
        <v>BypassOpenStudio_zp,0,</v>
      </c>
      <c r="BO96" s="31" t="str">
        <f t="shared" si="308"/>
        <v>BypassOpenStudio_zb,0,</v>
      </c>
      <c r="BP96" s="31" t="str">
        <f t="shared" si="309"/>
        <v>BypassOpenStudio_ap,0,</v>
      </c>
      <c r="BQ96" s="31" t="str">
        <f t="shared" si="310"/>
        <v>BypassOpenStudio_ab,0,</v>
      </c>
      <c r="BR96" s="31" t="str">
        <f t="shared" si="311"/>
        <v>BypassOpenStudio_zp,0,</v>
      </c>
      <c r="BS96" s="31" t="str">
        <f t="shared" si="312"/>
        <v>BypassOpenStudio_zb,0,</v>
      </c>
      <c r="BT96" s="31" t="str">
        <f t="shared" si="313"/>
        <v>BypassOpenStudio_ap,0,</v>
      </c>
      <c r="BU96" s="31" t="str">
        <f t="shared" si="314"/>
        <v>BypassOpenStudio_ab,0,</v>
      </c>
    </row>
    <row r="97" spans="1:73" hidden="1" outlineLevel="1" x14ac:dyDescent="0.25">
      <c r="A97" s="39">
        <f t="shared" si="391"/>
        <v>0</v>
      </c>
      <c r="B97" s="27" t="str">
        <f t="shared" si="315"/>
        <v>RulesetImplementation2016Tests\x\x.cibd16</v>
      </c>
      <c r="C97" s="27" t="str">
        <f t="shared" si="316"/>
        <v>BatchOut_171026_r5178_FinalRel-v3-SSTSG_RIc\x.cibd16</v>
      </c>
      <c r="D97" s="27" t="str">
        <f t="shared" si="317"/>
        <v>BatchOut_171026_r5178_FinalRel-v3-SSTSG_RIc\XML\</v>
      </c>
      <c r="E97" s="9" t="str">
        <f t="shared" si="392"/>
        <v>x</v>
      </c>
      <c r="F97" s="22"/>
      <c r="G97" s="29"/>
      <c r="H97" s="23"/>
      <c r="I97" s="9" t="s">
        <v>11</v>
      </c>
      <c r="J97"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7" s="15" t="s">
        <v>1</v>
      </c>
      <c r="L97" s="36">
        <f t="shared" si="331"/>
        <v>0</v>
      </c>
      <c r="M97" s="91" t="str">
        <f t="shared" si="319"/>
        <v>x</v>
      </c>
      <c r="N97" s="90" t="s">
        <v>149</v>
      </c>
      <c r="O97" s="57" t="str">
        <f t="shared" si="387"/>
        <v>x</v>
      </c>
      <c r="P97" s="63">
        <f t="shared" si="332"/>
        <v>1</v>
      </c>
      <c r="Q97" s="65">
        <f t="shared" si="333"/>
        <v>1</v>
      </c>
      <c r="R97" s="65">
        <f t="shared" si="334"/>
        <v>0</v>
      </c>
      <c r="S97" s="65">
        <f t="shared" si="335"/>
        <v>1</v>
      </c>
      <c r="T97" s="65">
        <f t="shared" si="336"/>
        <v>0</v>
      </c>
      <c r="U97" s="65">
        <f t="shared" si="337"/>
        <v>8</v>
      </c>
      <c r="V97" s="65">
        <f t="shared" si="337"/>
        <v>8</v>
      </c>
      <c r="W97" s="65">
        <f t="shared" si="338"/>
        <v>1</v>
      </c>
      <c r="X97" s="65">
        <f t="shared" si="338"/>
        <v>0</v>
      </c>
      <c r="Y97" s="65">
        <f t="shared" si="338"/>
        <v>0</v>
      </c>
      <c r="Z97" s="65">
        <f t="shared" si="339"/>
        <v>0</v>
      </c>
      <c r="AA97" s="65">
        <f t="shared" si="340"/>
        <v>0</v>
      </c>
      <c r="AB97" s="65">
        <f t="shared" si="340"/>
        <v>1</v>
      </c>
      <c r="AC97" s="65">
        <f t="shared" si="325"/>
        <v>0</v>
      </c>
      <c r="AD97" s="61">
        <f t="shared" si="325"/>
        <v>1</v>
      </c>
      <c r="AE97" s="61">
        <f t="shared" ref="AE97:AF97" si="429">AE96</f>
        <v>0</v>
      </c>
      <c r="AF97" s="61">
        <f t="shared" si="429"/>
        <v>0</v>
      </c>
      <c r="AG97" s="61">
        <f t="shared" ref="AG97:AH97" si="430">AG96</f>
        <v>0</v>
      </c>
      <c r="AH97" s="61">
        <f t="shared" si="430"/>
        <v>0</v>
      </c>
      <c r="AI97" s="61">
        <f t="shared" ref="AI97" si="431">AI96</f>
        <v>0</v>
      </c>
      <c r="AJ97" s="63">
        <f t="shared" si="344"/>
        <v>0</v>
      </c>
      <c r="AK97" s="64">
        <f t="shared" si="345"/>
        <v>0</v>
      </c>
      <c r="AL97" s="64">
        <f t="shared" si="346"/>
        <v>0</v>
      </c>
      <c r="AM97" s="64">
        <f t="shared" si="347"/>
        <v>0</v>
      </c>
      <c r="AN97" s="66">
        <f t="shared" si="348"/>
        <v>0</v>
      </c>
      <c r="AO97" s="63">
        <f t="shared" si="349"/>
        <v>0</v>
      </c>
      <c r="AP97" s="64">
        <f t="shared" si="350"/>
        <v>0</v>
      </c>
      <c r="AQ97" s="65">
        <f t="shared" si="350"/>
        <v>0</v>
      </c>
      <c r="AR97" s="66">
        <f t="shared" si="350"/>
        <v>0</v>
      </c>
      <c r="AS97" s="31" t="str">
        <f t="shared" si="287"/>
        <v>SimulationStorage,1,</v>
      </c>
      <c r="AT97" s="31" t="str">
        <f t="shared" si="288"/>
        <v>AnalysisStorage,1,</v>
      </c>
      <c r="AU97" s="31" t="str">
        <f t="shared" si="289"/>
        <v>LogRuleEvaluation,0,</v>
      </c>
      <c r="AV97" s="31" t="str">
        <f t="shared" si="290"/>
        <v>ParallelSimulations,1,</v>
      </c>
      <c r="AW97" s="31" t="str">
        <f t="shared" si="291"/>
        <v>DurationStats,0,</v>
      </c>
      <c r="AX97" s="31" t="str">
        <f t="shared" si="292"/>
        <v>AnalysisThruStep,8,</v>
      </c>
      <c r="AY97" s="31" t="str">
        <f t="shared" si="293"/>
        <v>DontAbortOnErrorsThruStep,8,</v>
      </c>
      <c r="AZ97" s="31" t="str">
        <f t="shared" si="294"/>
        <v>BypassValidFileChecks,1,</v>
      </c>
      <c r="BA97" s="31" t="str">
        <f t="shared" si="295"/>
        <v>BypassInputChecks,0,</v>
      </c>
      <c r="BB97" s="31" t="str">
        <f t="shared" si="296"/>
        <v>BypassUMLHChecks,0,</v>
      </c>
      <c r="BC97" s="31" t="str">
        <f t="shared" si="297"/>
        <v>BypassCheckSimRules,0,</v>
      </c>
      <c r="BD97" s="31" t="str">
        <f t="shared" si="298"/>
        <v>BypassCheckCodeRules,0,</v>
      </c>
      <c r="BE97" s="31" t="str">
        <f t="shared" si="299"/>
        <v>StoreResultsToModelInput,1,</v>
      </c>
      <c r="BF97" s="31" t="str">
        <f t="shared" si="300"/>
        <v>StoreBEMDetails,0,</v>
      </c>
      <c r="BG97" s="31" t="str">
        <f t="shared" si="301"/>
        <v>ModelRpt_ALL,1,</v>
      </c>
      <c r="BH97" s="31" t="str">
        <f t="shared" si="302"/>
        <v>ExportHourlyResults_All,0,</v>
      </c>
      <c r="BI97" s="31" t="str">
        <f t="shared" si="303"/>
        <v>ComplianceReportPDF,0,</v>
      </c>
      <c r="BJ97" s="31" t="str">
        <f t="shared" si="304"/>
        <v>ComplianceReportXML,0,</v>
      </c>
      <c r="BK97" s="31" t="str">
        <f t="shared" si="305"/>
        <v>QuickAnalysis,0,</v>
      </c>
      <c r="BL97" s="31" t="str">
        <f t="shared" si="305"/>
        <v>PromptUserUMLHWarning,0,</v>
      </c>
      <c r="BM97" s="31" t="str">
        <f t="shared" si="306"/>
        <v>BypassOpenStudio_all,0,</v>
      </c>
      <c r="BN97" s="31" t="str">
        <f t="shared" si="307"/>
        <v>BypassOpenStudio_zp,0,</v>
      </c>
      <c r="BO97" s="31" t="str">
        <f t="shared" si="308"/>
        <v>BypassOpenStudio_zb,0,</v>
      </c>
      <c r="BP97" s="31" t="str">
        <f t="shared" si="309"/>
        <v>BypassOpenStudio_ap,0,</v>
      </c>
      <c r="BQ97" s="31" t="str">
        <f t="shared" si="310"/>
        <v>BypassOpenStudio_ab,0,</v>
      </c>
      <c r="BR97" s="31" t="str">
        <f t="shared" si="311"/>
        <v>BypassOpenStudio_zp,0,</v>
      </c>
      <c r="BS97" s="31" t="str">
        <f t="shared" si="312"/>
        <v>BypassOpenStudio_zb,0,</v>
      </c>
      <c r="BT97" s="31" t="str">
        <f t="shared" si="313"/>
        <v>BypassOpenStudio_ap,0,</v>
      </c>
      <c r="BU97" s="31" t="str">
        <f t="shared" si="314"/>
        <v>BypassOpenStudio_ab,0,</v>
      </c>
    </row>
    <row r="98" spans="1:73" hidden="1" outlineLevel="1" x14ac:dyDescent="0.25">
      <c r="A98" s="39">
        <f t="shared" si="391"/>
        <v>0</v>
      </c>
      <c r="B98" s="27" t="str">
        <f t="shared" si="315"/>
        <v>RulesetImplementation2016Tests\x\x.cibd16</v>
      </c>
      <c r="C98" s="27" t="str">
        <f t="shared" si="316"/>
        <v>BatchOut_171026_r5178_FinalRel-v3-SSTSG_RIc\x.cibd16</v>
      </c>
      <c r="D98" s="27" t="str">
        <f t="shared" si="317"/>
        <v>BatchOut_171026_r5178_FinalRel-v3-SSTSG_RIc\XML\</v>
      </c>
      <c r="E98" s="9" t="str">
        <f t="shared" si="392"/>
        <v>x</v>
      </c>
      <c r="F98" s="22"/>
      <c r="G98" s="29"/>
      <c r="H98" s="23"/>
      <c r="I98" s="9" t="s">
        <v>11</v>
      </c>
      <c r="J98"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8" s="15" t="s">
        <v>1</v>
      </c>
      <c r="L98" s="36">
        <f t="shared" si="331"/>
        <v>0</v>
      </c>
      <c r="M98" s="91" t="str">
        <f t="shared" si="319"/>
        <v>x</v>
      </c>
      <c r="N98" s="90" t="s">
        <v>149</v>
      </c>
      <c r="O98" s="57" t="str">
        <f t="shared" si="387"/>
        <v>x</v>
      </c>
      <c r="P98" s="63">
        <f t="shared" si="332"/>
        <v>1</v>
      </c>
      <c r="Q98" s="65">
        <f t="shared" si="333"/>
        <v>1</v>
      </c>
      <c r="R98" s="65">
        <f t="shared" si="334"/>
        <v>0</v>
      </c>
      <c r="S98" s="65">
        <f t="shared" si="335"/>
        <v>1</v>
      </c>
      <c r="T98" s="65">
        <f t="shared" si="336"/>
        <v>0</v>
      </c>
      <c r="U98" s="65">
        <f t="shared" si="337"/>
        <v>8</v>
      </c>
      <c r="V98" s="65">
        <f t="shared" si="337"/>
        <v>8</v>
      </c>
      <c r="W98" s="65">
        <f t="shared" si="338"/>
        <v>1</v>
      </c>
      <c r="X98" s="65">
        <f t="shared" si="338"/>
        <v>0</v>
      </c>
      <c r="Y98" s="65">
        <f t="shared" si="338"/>
        <v>0</v>
      </c>
      <c r="Z98" s="65">
        <f t="shared" si="339"/>
        <v>0</v>
      </c>
      <c r="AA98" s="65">
        <f t="shared" si="340"/>
        <v>0</v>
      </c>
      <c r="AB98" s="65">
        <f t="shared" si="340"/>
        <v>1</v>
      </c>
      <c r="AC98" s="65">
        <f t="shared" si="325"/>
        <v>0</v>
      </c>
      <c r="AD98" s="61">
        <f t="shared" si="325"/>
        <v>1</v>
      </c>
      <c r="AE98" s="61">
        <f t="shared" ref="AE98:AF98" si="432">AE97</f>
        <v>0</v>
      </c>
      <c r="AF98" s="61">
        <f t="shared" si="432"/>
        <v>0</v>
      </c>
      <c r="AG98" s="61">
        <f t="shared" ref="AG98:AH98" si="433">AG97</f>
        <v>0</v>
      </c>
      <c r="AH98" s="61">
        <f t="shared" si="433"/>
        <v>0</v>
      </c>
      <c r="AI98" s="61">
        <f t="shared" ref="AI98" si="434">AI97</f>
        <v>0</v>
      </c>
      <c r="AJ98" s="63">
        <f t="shared" si="344"/>
        <v>0</v>
      </c>
      <c r="AK98" s="64">
        <f t="shared" si="345"/>
        <v>0</v>
      </c>
      <c r="AL98" s="64">
        <f t="shared" si="346"/>
        <v>0</v>
      </c>
      <c r="AM98" s="64">
        <f t="shared" si="347"/>
        <v>0</v>
      </c>
      <c r="AN98" s="66">
        <f t="shared" si="348"/>
        <v>0</v>
      </c>
      <c r="AO98" s="63">
        <f t="shared" si="349"/>
        <v>0</v>
      </c>
      <c r="AP98" s="64">
        <f t="shared" si="350"/>
        <v>0</v>
      </c>
      <c r="AQ98" s="65">
        <f t="shared" si="350"/>
        <v>0</v>
      </c>
      <c r="AR98" s="66">
        <f t="shared" si="350"/>
        <v>0</v>
      </c>
      <c r="AS98" s="31" t="str">
        <f t="shared" si="287"/>
        <v>SimulationStorage,1,</v>
      </c>
      <c r="AT98" s="31" t="str">
        <f t="shared" si="288"/>
        <v>AnalysisStorage,1,</v>
      </c>
      <c r="AU98" s="31" t="str">
        <f t="shared" si="289"/>
        <v>LogRuleEvaluation,0,</v>
      </c>
      <c r="AV98" s="31" t="str">
        <f t="shared" si="290"/>
        <v>ParallelSimulations,1,</v>
      </c>
      <c r="AW98" s="31" t="str">
        <f t="shared" si="291"/>
        <v>DurationStats,0,</v>
      </c>
      <c r="AX98" s="31" t="str">
        <f t="shared" si="292"/>
        <v>AnalysisThruStep,8,</v>
      </c>
      <c r="AY98" s="31" t="str">
        <f t="shared" si="293"/>
        <v>DontAbortOnErrorsThruStep,8,</v>
      </c>
      <c r="AZ98" s="31" t="str">
        <f t="shared" si="294"/>
        <v>BypassValidFileChecks,1,</v>
      </c>
      <c r="BA98" s="31" t="str">
        <f t="shared" si="295"/>
        <v>BypassInputChecks,0,</v>
      </c>
      <c r="BB98" s="31" t="str">
        <f t="shared" si="296"/>
        <v>BypassUMLHChecks,0,</v>
      </c>
      <c r="BC98" s="31" t="str">
        <f t="shared" si="297"/>
        <v>BypassCheckSimRules,0,</v>
      </c>
      <c r="BD98" s="31" t="str">
        <f t="shared" si="298"/>
        <v>BypassCheckCodeRules,0,</v>
      </c>
      <c r="BE98" s="31" t="str">
        <f t="shared" si="299"/>
        <v>StoreResultsToModelInput,1,</v>
      </c>
      <c r="BF98" s="31" t="str">
        <f t="shared" si="300"/>
        <v>StoreBEMDetails,0,</v>
      </c>
      <c r="BG98" s="31" t="str">
        <f t="shared" si="301"/>
        <v>ModelRpt_ALL,1,</v>
      </c>
      <c r="BH98" s="31" t="str">
        <f t="shared" si="302"/>
        <v>ExportHourlyResults_All,0,</v>
      </c>
      <c r="BI98" s="31" t="str">
        <f t="shared" si="303"/>
        <v>ComplianceReportPDF,0,</v>
      </c>
      <c r="BJ98" s="31" t="str">
        <f t="shared" si="304"/>
        <v>ComplianceReportXML,0,</v>
      </c>
      <c r="BK98" s="31" t="str">
        <f t="shared" si="305"/>
        <v>QuickAnalysis,0,</v>
      </c>
      <c r="BL98" s="31" t="str">
        <f t="shared" si="305"/>
        <v>PromptUserUMLHWarning,0,</v>
      </c>
      <c r="BM98" s="31" t="str">
        <f t="shared" si="306"/>
        <v>BypassOpenStudio_all,0,</v>
      </c>
      <c r="BN98" s="31" t="str">
        <f t="shared" si="307"/>
        <v>BypassOpenStudio_zp,0,</v>
      </c>
      <c r="BO98" s="31" t="str">
        <f t="shared" si="308"/>
        <v>BypassOpenStudio_zb,0,</v>
      </c>
      <c r="BP98" s="31" t="str">
        <f t="shared" si="309"/>
        <v>BypassOpenStudio_ap,0,</v>
      </c>
      <c r="BQ98" s="31" t="str">
        <f t="shared" si="310"/>
        <v>BypassOpenStudio_ab,0,</v>
      </c>
      <c r="BR98" s="31" t="str">
        <f t="shared" si="311"/>
        <v>BypassOpenStudio_zp,0,</v>
      </c>
      <c r="BS98" s="31" t="str">
        <f t="shared" si="312"/>
        <v>BypassOpenStudio_zb,0,</v>
      </c>
      <c r="BT98" s="31" t="str">
        <f t="shared" si="313"/>
        <v>BypassOpenStudio_ap,0,</v>
      </c>
      <c r="BU98" s="31" t="str">
        <f t="shared" si="314"/>
        <v>BypassOpenStudio_ab,0,</v>
      </c>
    </row>
    <row r="99" spans="1:73" hidden="1" outlineLevel="1" x14ac:dyDescent="0.25">
      <c r="A99" s="39">
        <f t="shared" si="391"/>
        <v>0</v>
      </c>
      <c r="B99" s="27" t="str">
        <f t="shared" si="315"/>
        <v>RulesetImplementation2016Tests\x\x.cibd16</v>
      </c>
      <c r="C99" s="27" t="str">
        <f t="shared" si="316"/>
        <v>BatchOut_171026_r5178_FinalRel-v3-SSTSG_RIc\x.cibd16</v>
      </c>
      <c r="D99" s="27" t="str">
        <f t="shared" si="317"/>
        <v>BatchOut_171026_r5178_FinalRel-v3-SSTSG_RIc\XML\</v>
      </c>
      <c r="E99" s="9" t="str">
        <f t="shared" si="392"/>
        <v>x</v>
      </c>
      <c r="F99" s="22"/>
      <c r="G99" s="29"/>
      <c r="H99" s="23"/>
      <c r="I99" s="9" t="s">
        <v>11</v>
      </c>
      <c r="J99"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9" s="15" t="s">
        <v>1</v>
      </c>
      <c r="L99" s="36">
        <f t="shared" si="331"/>
        <v>0</v>
      </c>
      <c r="M99" s="91" t="str">
        <f t="shared" si="319"/>
        <v>x</v>
      </c>
      <c r="N99" s="90" t="s">
        <v>149</v>
      </c>
      <c r="O99" s="57" t="str">
        <f t="shared" si="387"/>
        <v>x</v>
      </c>
      <c r="P99" s="63">
        <f t="shared" si="332"/>
        <v>1</v>
      </c>
      <c r="Q99" s="65">
        <f t="shared" si="333"/>
        <v>1</v>
      </c>
      <c r="R99" s="65">
        <f t="shared" si="334"/>
        <v>0</v>
      </c>
      <c r="S99" s="65">
        <f t="shared" si="335"/>
        <v>1</v>
      </c>
      <c r="T99" s="65">
        <f t="shared" si="336"/>
        <v>0</v>
      </c>
      <c r="U99" s="65">
        <f t="shared" si="337"/>
        <v>8</v>
      </c>
      <c r="V99" s="65">
        <f t="shared" si="337"/>
        <v>8</v>
      </c>
      <c r="W99" s="65">
        <f t="shared" si="338"/>
        <v>1</v>
      </c>
      <c r="X99" s="65">
        <f t="shared" si="338"/>
        <v>0</v>
      </c>
      <c r="Y99" s="65">
        <f t="shared" si="338"/>
        <v>0</v>
      </c>
      <c r="Z99" s="65">
        <f t="shared" si="339"/>
        <v>0</v>
      </c>
      <c r="AA99" s="65">
        <f t="shared" si="340"/>
        <v>0</v>
      </c>
      <c r="AB99" s="65">
        <f t="shared" si="340"/>
        <v>1</v>
      </c>
      <c r="AC99" s="65">
        <f t="shared" si="325"/>
        <v>0</v>
      </c>
      <c r="AD99" s="61">
        <f t="shared" si="325"/>
        <v>1</v>
      </c>
      <c r="AE99" s="61">
        <f t="shared" ref="AE99:AF99" si="435">AE98</f>
        <v>0</v>
      </c>
      <c r="AF99" s="61">
        <f t="shared" si="435"/>
        <v>0</v>
      </c>
      <c r="AG99" s="61">
        <f t="shared" ref="AG99:AH99" si="436">AG98</f>
        <v>0</v>
      </c>
      <c r="AH99" s="61">
        <f t="shared" si="436"/>
        <v>0</v>
      </c>
      <c r="AI99" s="61">
        <f t="shared" ref="AI99" si="437">AI98</f>
        <v>0</v>
      </c>
      <c r="AJ99" s="63">
        <f t="shared" si="344"/>
        <v>0</v>
      </c>
      <c r="AK99" s="64">
        <f t="shared" si="345"/>
        <v>0</v>
      </c>
      <c r="AL99" s="64">
        <f t="shared" si="346"/>
        <v>0</v>
      </c>
      <c r="AM99" s="64">
        <f t="shared" si="347"/>
        <v>0</v>
      </c>
      <c r="AN99" s="66">
        <f t="shared" si="348"/>
        <v>0</v>
      </c>
      <c r="AO99" s="63">
        <f t="shared" si="349"/>
        <v>0</v>
      </c>
      <c r="AP99" s="64">
        <f t="shared" si="350"/>
        <v>0</v>
      </c>
      <c r="AQ99" s="65">
        <f t="shared" si="350"/>
        <v>0</v>
      </c>
      <c r="AR99" s="66">
        <f t="shared" si="350"/>
        <v>0</v>
      </c>
      <c r="AS99" s="31" t="str">
        <f t="shared" si="287"/>
        <v>SimulationStorage,1,</v>
      </c>
      <c r="AT99" s="31" t="str">
        <f t="shared" si="288"/>
        <v>AnalysisStorage,1,</v>
      </c>
      <c r="AU99" s="31" t="str">
        <f t="shared" si="289"/>
        <v>LogRuleEvaluation,0,</v>
      </c>
      <c r="AV99" s="31" t="str">
        <f t="shared" si="290"/>
        <v>ParallelSimulations,1,</v>
      </c>
      <c r="AW99" s="31" t="str">
        <f t="shared" si="291"/>
        <v>DurationStats,0,</v>
      </c>
      <c r="AX99" s="31" t="str">
        <f t="shared" si="292"/>
        <v>AnalysisThruStep,8,</v>
      </c>
      <c r="AY99" s="31" t="str">
        <f t="shared" si="293"/>
        <v>DontAbortOnErrorsThruStep,8,</v>
      </c>
      <c r="AZ99" s="31" t="str">
        <f t="shared" si="294"/>
        <v>BypassValidFileChecks,1,</v>
      </c>
      <c r="BA99" s="31" t="str">
        <f t="shared" si="295"/>
        <v>BypassInputChecks,0,</v>
      </c>
      <c r="BB99" s="31" t="str">
        <f t="shared" si="296"/>
        <v>BypassUMLHChecks,0,</v>
      </c>
      <c r="BC99" s="31" t="str">
        <f t="shared" si="297"/>
        <v>BypassCheckSimRules,0,</v>
      </c>
      <c r="BD99" s="31" t="str">
        <f t="shared" si="298"/>
        <v>BypassCheckCodeRules,0,</v>
      </c>
      <c r="BE99" s="31" t="str">
        <f t="shared" si="299"/>
        <v>StoreResultsToModelInput,1,</v>
      </c>
      <c r="BF99" s="31" t="str">
        <f t="shared" si="300"/>
        <v>StoreBEMDetails,0,</v>
      </c>
      <c r="BG99" s="31" t="str">
        <f t="shared" si="301"/>
        <v>ModelRpt_ALL,1,</v>
      </c>
      <c r="BH99" s="31" t="str">
        <f t="shared" si="302"/>
        <v>ExportHourlyResults_All,0,</v>
      </c>
      <c r="BI99" s="31" t="str">
        <f t="shared" si="303"/>
        <v>ComplianceReportPDF,0,</v>
      </c>
      <c r="BJ99" s="31" t="str">
        <f t="shared" si="304"/>
        <v>ComplianceReportXML,0,</v>
      </c>
      <c r="BK99" s="31" t="str">
        <f t="shared" si="305"/>
        <v>QuickAnalysis,0,</v>
      </c>
      <c r="BL99" s="31" t="str">
        <f t="shared" si="305"/>
        <v>PromptUserUMLHWarning,0,</v>
      </c>
      <c r="BM99" s="31" t="str">
        <f t="shared" si="306"/>
        <v>BypassOpenStudio_all,0,</v>
      </c>
      <c r="BN99" s="31" t="str">
        <f t="shared" si="307"/>
        <v>BypassOpenStudio_zp,0,</v>
      </c>
      <c r="BO99" s="31" t="str">
        <f t="shared" si="308"/>
        <v>BypassOpenStudio_zb,0,</v>
      </c>
      <c r="BP99" s="31" t="str">
        <f t="shared" si="309"/>
        <v>BypassOpenStudio_ap,0,</v>
      </c>
      <c r="BQ99" s="31" t="str">
        <f t="shared" si="310"/>
        <v>BypassOpenStudio_ab,0,</v>
      </c>
      <c r="BR99" s="31" t="str">
        <f t="shared" si="311"/>
        <v>BypassOpenStudio_zp,0,</v>
      </c>
      <c r="BS99" s="31" t="str">
        <f t="shared" si="312"/>
        <v>BypassOpenStudio_zb,0,</v>
      </c>
      <c r="BT99" s="31" t="str">
        <f t="shared" si="313"/>
        <v>BypassOpenStudio_ap,0,</v>
      </c>
      <c r="BU99" s="31" t="str">
        <f t="shared" si="314"/>
        <v>BypassOpenStudio_ab,0,</v>
      </c>
    </row>
    <row r="100" spans="1:73" hidden="1" outlineLevel="1" x14ac:dyDescent="0.25">
      <c r="A100" s="39">
        <f t="shared" si="391"/>
        <v>0</v>
      </c>
      <c r="B100" s="27" t="str">
        <f>M$69&amp;N99&amp;"\"&amp;N100&amp;".cibd16"</f>
        <v>RulesetImplementation2016Tests\x\x.cibd16</v>
      </c>
      <c r="C100" s="27" t="str">
        <f t="shared" si="316"/>
        <v>BatchOut_171026_r5178_FinalRel-v3-SSTSG_RIc\x.cibd16</v>
      </c>
      <c r="D100" s="27" t="str">
        <f t="shared" si="317"/>
        <v>BatchOut_171026_r5178_FinalRel-v3-SSTSG_RIc\XML\</v>
      </c>
      <c r="E100" s="9" t="str">
        <f t="shared" si="392"/>
        <v>x</v>
      </c>
      <c r="F100" s="22"/>
      <c r="G100" s="29"/>
      <c r="H100" s="23"/>
      <c r="I100" s="9" t="s">
        <v>11</v>
      </c>
      <c r="J100"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0" s="15" t="s">
        <v>1</v>
      </c>
      <c r="L100" s="36">
        <f>L99</f>
        <v>0</v>
      </c>
      <c r="M100" s="91" t="str">
        <f t="shared" si="319"/>
        <v>x</v>
      </c>
      <c r="N100" s="90" t="s">
        <v>149</v>
      </c>
      <c r="O100" s="57" t="str">
        <f t="shared" si="387"/>
        <v>x</v>
      </c>
      <c r="P100" s="63">
        <f t="shared" si="332"/>
        <v>1</v>
      </c>
      <c r="Q100" s="65">
        <f t="shared" si="333"/>
        <v>1</v>
      </c>
      <c r="R100" s="65">
        <f t="shared" si="334"/>
        <v>0</v>
      </c>
      <c r="S100" s="65">
        <f t="shared" si="335"/>
        <v>1</v>
      </c>
      <c r="T100" s="65">
        <f t="shared" si="336"/>
        <v>0</v>
      </c>
      <c r="U100" s="65">
        <f t="shared" si="337"/>
        <v>8</v>
      </c>
      <c r="V100" s="65">
        <f t="shared" si="337"/>
        <v>8</v>
      </c>
      <c r="W100" s="65">
        <f t="shared" si="338"/>
        <v>1</v>
      </c>
      <c r="X100" s="65">
        <f t="shared" si="338"/>
        <v>0</v>
      </c>
      <c r="Y100" s="65">
        <f t="shared" si="338"/>
        <v>0</v>
      </c>
      <c r="Z100" s="65">
        <f t="shared" si="339"/>
        <v>0</v>
      </c>
      <c r="AA100" s="65">
        <f t="shared" si="340"/>
        <v>0</v>
      </c>
      <c r="AB100" s="65">
        <f t="shared" si="340"/>
        <v>1</v>
      </c>
      <c r="AC100" s="65">
        <f t="shared" si="325"/>
        <v>0</v>
      </c>
      <c r="AD100" s="61">
        <f t="shared" si="325"/>
        <v>1</v>
      </c>
      <c r="AE100" s="61">
        <f t="shared" ref="AE100:AF100" si="438">AE99</f>
        <v>0</v>
      </c>
      <c r="AF100" s="61">
        <f t="shared" si="438"/>
        <v>0</v>
      </c>
      <c r="AG100" s="61">
        <f t="shared" ref="AG100:AH100" si="439">AG99</f>
        <v>0</v>
      </c>
      <c r="AH100" s="61">
        <f t="shared" si="439"/>
        <v>0</v>
      </c>
      <c r="AI100" s="61">
        <f t="shared" ref="AI100" si="440">AI99</f>
        <v>0</v>
      </c>
      <c r="AJ100" s="63">
        <f t="shared" si="344"/>
        <v>0</v>
      </c>
      <c r="AK100" s="64">
        <f t="shared" si="345"/>
        <v>0</v>
      </c>
      <c r="AL100" s="64">
        <f t="shared" si="346"/>
        <v>0</v>
      </c>
      <c r="AM100" s="64">
        <f t="shared" si="347"/>
        <v>0</v>
      </c>
      <c r="AN100" s="66">
        <f t="shared" si="348"/>
        <v>0</v>
      </c>
      <c r="AO100" s="63">
        <f t="shared" si="349"/>
        <v>0</v>
      </c>
      <c r="AP100" s="64">
        <f t="shared" si="350"/>
        <v>0</v>
      </c>
      <c r="AQ100" s="65">
        <f t="shared" si="350"/>
        <v>0</v>
      </c>
      <c r="AR100" s="66">
        <f t="shared" si="350"/>
        <v>0</v>
      </c>
      <c r="AS100" s="31" t="str">
        <f t="shared" si="287"/>
        <v>SimulationStorage,1,</v>
      </c>
      <c r="AT100" s="31" t="str">
        <f t="shared" si="288"/>
        <v>AnalysisStorage,1,</v>
      </c>
      <c r="AU100" s="31" t="str">
        <f t="shared" si="289"/>
        <v>LogRuleEvaluation,0,</v>
      </c>
      <c r="AV100" s="31" t="str">
        <f t="shared" si="290"/>
        <v>ParallelSimulations,1,</v>
      </c>
      <c r="AW100" s="31" t="str">
        <f t="shared" si="291"/>
        <v>DurationStats,0,</v>
      </c>
      <c r="AX100" s="31" t="str">
        <f t="shared" si="292"/>
        <v>AnalysisThruStep,8,</v>
      </c>
      <c r="AY100" s="31" t="str">
        <f t="shared" si="293"/>
        <v>DontAbortOnErrorsThruStep,8,</v>
      </c>
      <c r="AZ100" s="31" t="str">
        <f t="shared" si="294"/>
        <v>BypassValidFileChecks,1,</v>
      </c>
      <c r="BA100" s="31" t="str">
        <f t="shared" si="295"/>
        <v>BypassInputChecks,0,</v>
      </c>
      <c r="BB100" s="31" t="str">
        <f t="shared" si="296"/>
        <v>BypassUMLHChecks,0,</v>
      </c>
      <c r="BC100" s="31" t="str">
        <f t="shared" si="297"/>
        <v>BypassCheckSimRules,0,</v>
      </c>
      <c r="BD100" s="31" t="str">
        <f t="shared" si="298"/>
        <v>BypassCheckCodeRules,0,</v>
      </c>
      <c r="BE100" s="31" t="str">
        <f t="shared" si="299"/>
        <v>StoreResultsToModelInput,1,</v>
      </c>
      <c r="BF100" s="31" t="str">
        <f t="shared" si="300"/>
        <v>StoreBEMDetails,0,</v>
      </c>
      <c r="BG100" s="31" t="str">
        <f t="shared" si="301"/>
        <v>ModelRpt_ALL,1,</v>
      </c>
      <c r="BH100" s="31" t="str">
        <f t="shared" si="302"/>
        <v>ExportHourlyResults_All,0,</v>
      </c>
      <c r="BI100" s="31" t="str">
        <f t="shared" si="303"/>
        <v>ComplianceReportPDF,0,</v>
      </c>
      <c r="BJ100" s="31" t="str">
        <f t="shared" si="304"/>
        <v>ComplianceReportXML,0,</v>
      </c>
      <c r="BK100" s="31" t="str">
        <f t="shared" si="305"/>
        <v>QuickAnalysis,0,</v>
      </c>
      <c r="BL100" s="31" t="str">
        <f t="shared" si="305"/>
        <v>PromptUserUMLHWarning,0,</v>
      </c>
      <c r="BM100" s="31" t="str">
        <f t="shared" si="306"/>
        <v>BypassOpenStudio_all,0,</v>
      </c>
      <c r="BN100" s="31" t="str">
        <f t="shared" si="307"/>
        <v>BypassOpenStudio_zp,0,</v>
      </c>
      <c r="BO100" s="31" t="str">
        <f t="shared" si="308"/>
        <v>BypassOpenStudio_zb,0,</v>
      </c>
      <c r="BP100" s="31" t="str">
        <f t="shared" si="309"/>
        <v>BypassOpenStudio_ap,0,</v>
      </c>
      <c r="BQ100" s="31" t="str">
        <f t="shared" si="310"/>
        <v>BypassOpenStudio_ab,0,</v>
      </c>
      <c r="BR100" s="31" t="str">
        <f t="shared" si="311"/>
        <v>BypassOpenStudio_zp,0,</v>
      </c>
      <c r="BS100" s="31" t="str">
        <f t="shared" si="312"/>
        <v>BypassOpenStudio_zb,0,</v>
      </c>
      <c r="BT100" s="31" t="str">
        <f t="shared" si="313"/>
        <v>BypassOpenStudio_ap,0,</v>
      </c>
      <c r="BU100" s="31" t="str">
        <f t="shared" si="314"/>
        <v>BypassOpenStudio_ab,0,</v>
      </c>
    </row>
    <row r="101" spans="1:73" hidden="1" outlineLevel="1" x14ac:dyDescent="0.25">
      <c r="A101" s="39">
        <f t="shared" si="391"/>
        <v>0</v>
      </c>
      <c r="B101" s="27" t="str">
        <f t="shared" si="315"/>
        <v>RulesetImplementation2016Tests\x\x.cibd16</v>
      </c>
      <c r="C101" s="27" t="str">
        <f t="shared" si="316"/>
        <v>BatchOut_171026_r5178_FinalRel-v3-SSTSG_RIc\x.cibd16</v>
      </c>
      <c r="D101" s="27" t="str">
        <f t="shared" si="317"/>
        <v>BatchOut_171026_r5178_FinalRel-v3-SSTSG_RIc\XML\</v>
      </c>
      <c r="E101" s="9" t="str">
        <f t="shared" si="392"/>
        <v>x</v>
      </c>
      <c r="F101" s="22"/>
      <c r="G101" s="29"/>
      <c r="H101" s="23"/>
      <c r="I101" s="9" t="s">
        <v>11</v>
      </c>
      <c r="J101"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1" s="15" t="s">
        <v>1</v>
      </c>
      <c r="L101" s="92">
        <f t="shared" si="331"/>
        <v>0</v>
      </c>
      <c r="M101" s="91" t="str">
        <f t="shared" si="319"/>
        <v>x</v>
      </c>
      <c r="N101" s="90" t="s">
        <v>149</v>
      </c>
      <c r="O101" s="93" t="str">
        <f t="shared" ref="O101:O108" si="441">N101</f>
        <v>x</v>
      </c>
      <c r="P101" s="63">
        <f t="shared" si="332"/>
        <v>1</v>
      </c>
      <c r="Q101" s="65">
        <f t="shared" si="333"/>
        <v>1</v>
      </c>
      <c r="R101" s="65">
        <f t="shared" si="334"/>
        <v>0</v>
      </c>
      <c r="S101" s="65">
        <f t="shared" si="335"/>
        <v>1</v>
      </c>
      <c r="T101" s="65">
        <f t="shared" si="336"/>
        <v>0</v>
      </c>
      <c r="U101" s="65">
        <f t="shared" si="337"/>
        <v>8</v>
      </c>
      <c r="V101" s="65">
        <f t="shared" si="337"/>
        <v>8</v>
      </c>
      <c r="W101" s="65">
        <f t="shared" si="338"/>
        <v>1</v>
      </c>
      <c r="X101" s="65">
        <f t="shared" si="338"/>
        <v>0</v>
      </c>
      <c r="Y101" s="65">
        <f t="shared" si="338"/>
        <v>0</v>
      </c>
      <c r="Z101" s="65">
        <f t="shared" si="339"/>
        <v>0</v>
      </c>
      <c r="AA101" s="65">
        <f t="shared" si="340"/>
        <v>0</v>
      </c>
      <c r="AB101" s="65">
        <f t="shared" si="340"/>
        <v>1</v>
      </c>
      <c r="AC101" s="65">
        <f t="shared" si="325"/>
        <v>0</v>
      </c>
      <c r="AD101" s="61">
        <f t="shared" si="325"/>
        <v>1</v>
      </c>
      <c r="AE101" s="61">
        <f t="shared" ref="AE101:AF101" si="442">AE100</f>
        <v>0</v>
      </c>
      <c r="AF101" s="61">
        <f t="shared" si="442"/>
        <v>0</v>
      </c>
      <c r="AG101" s="61">
        <f t="shared" ref="AG101:AH101" si="443">AG100</f>
        <v>0</v>
      </c>
      <c r="AH101" s="61">
        <f t="shared" si="443"/>
        <v>0</v>
      </c>
      <c r="AI101" s="61">
        <f t="shared" ref="AI101" si="444">AI100</f>
        <v>0</v>
      </c>
      <c r="AJ101" s="63">
        <f t="shared" si="344"/>
        <v>0</v>
      </c>
      <c r="AK101" s="64">
        <f t="shared" si="345"/>
        <v>0</v>
      </c>
      <c r="AL101" s="64">
        <f t="shared" si="346"/>
        <v>0</v>
      </c>
      <c r="AM101" s="64">
        <f t="shared" si="347"/>
        <v>0</v>
      </c>
      <c r="AN101" s="66">
        <f t="shared" si="348"/>
        <v>0</v>
      </c>
      <c r="AO101" s="63">
        <f t="shared" si="349"/>
        <v>0</v>
      </c>
      <c r="AP101" s="64">
        <f t="shared" si="350"/>
        <v>0</v>
      </c>
      <c r="AQ101" s="65">
        <f t="shared" si="350"/>
        <v>0</v>
      </c>
      <c r="AR101" s="66">
        <f t="shared" si="350"/>
        <v>0</v>
      </c>
      <c r="AS101" s="31" t="str">
        <f t="shared" si="287"/>
        <v>SimulationStorage,1,</v>
      </c>
      <c r="AT101" s="31" t="str">
        <f t="shared" si="288"/>
        <v>AnalysisStorage,1,</v>
      </c>
      <c r="AU101" s="31" t="str">
        <f t="shared" si="289"/>
        <v>LogRuleEvaluation,0,</v>
      </c>
      <c r="AV101" s="31" t="str">
        <f t="shared" si="290"/>
        <v>ParallelSimulations,1,</v>
      </c>
      <c r="AW101" s="31" t="str">
        <f t="shared" si="291"/>
        <v>DurationStats,0,</v>
      </c>
      <c r="AX101" s="31" t="str">
        <f t="shared" si="292"/>
        <v>AnalysisThruStep,8,</v>
      </c>
      <c r="AY101" s="31" t="str">
        <f t="shared" si="293"/>
        <v>DontAbortOnErrorsThruStep,8,</v>
      </c>
      <c r="AZ101" s="31" t="str">
        <f t="shared" si="294"/>
        <v>BypassValidFileChecks,1,</v>
      </c>
      <c r="BA101" s="31" t="str">
        <f t="shared" si="295"/>
        <v>BypassInputChecks,0,</v>
      </c>
      <c r="BB101" s="31" t="str">
        <f t="shared" si="296"/>
        <v>BypassUMLHChecks,0,</v>
      </c>
      <c r="BC101" s="31" t="str">
        <f t="shared" si="297"/>
        <v>BypassCheckSimRules,0,</v>
      </c>
      <c r="BD101" s="31" t="str">
        <f t="shared" si="298"/>
        <v>BypassCheckCodeRules,0,</v>
      </c>
      <c r="BE101" s="31" t="str">
        <f t="shared" si="299"/>
        <v>StoreResultsToModelInput,1,</v>
      </c>
      <c r="BF101" s="31" t="str">
        <f t="shared" si="300"/>
        <v>StoreBEMDetails,0,</v>
      </c>
      <c r="BG101" s="31" t="str">
        <f t="shared" si="301"/>
        <v>ModelRpt_ALL,1,</v>
      </c>
      <c r="BH101" s="31" t="str">
        <f t="shared" si="302"/>
        <v>ExportHourlyResults_All,0,</v>
      </c>
      <c r="BI101" s="31" t="str">
        <f t="shared" si="303"/>
        <v>ComplianceReportPDF,0,</v>
      </c>
      <c r="BJ101" s="31" t="str">
        <f t="shared" si="304"/>
        <v>ComplianceReportXML,0,</v>
      </c>
      <c r="BK101" s="31" t="str">
        <f t="shared" si="305"/>
        <v>QuickAnalysis,0,</v>
      </c>
      <c r="BL101" s="31" t="str">
        <f t="shared" si="305"/>
        <v>PromptUserUMLHWarning,0,</v>
      </c>
      <c r="BM101" s="31" t="str">
        <f t="shared" si="306"/>
        <v>BypassOpenStudio_all,0,</v>
      </c>
      <c r="BN101" s="31" t="str">
        <f t="shared" si="307"/>
        <v>BypassOpenStudio_zp,0,</v>
      </c>
      <c r="BO101" s="31" t="str">
        <f t="shared" si="308"/>
        <v>BypassOpenStudio_zb,0,</v>
      </c>
      <c r="BP101" s="31" t="str">
        <f t="shared" si="309"/>
        <v>BypassOpenStudio_ap,0,</v>
      </c>
      <c r="BQ101" s="31" t="str">
        <f t="shared" si="310"/>
        <v>BypassOpenStudio_ab,0,</v>
      </c>
      <c r="BR101" s="31" t="str">
        <f t="shared" si="311"/>
        <v>BypassOpenStudio_zp,0,</v>
      </c>
      <c r="BS101" s="31" t="str">
        <f t="shared" si="312"/>
        <v>BypassOpenStudio_zb,0,</v>
      </c>
      <c r="BT101" s="31" t="str">
        <f t="shared" si="313"/>
        <v>BypassOpenStudio_ap,0,</v>
      </c>
      <c r="BU101" s="31" t="str">
        <f t="shared" si="314"/>
        <v>BypassOpenStudio_ab,0,</v>
      </c>
    </row>
    <row r="102" spans="1:73" hidden="1" outlineLevel="1" x14ac:dyDescent="0.25">
      <c r="A102" s="39">
        <f t="shared" ref="A102:A105" si="445">L102</f>
        <v>0</v>
      </c>
      <c r="B102" s="27" t="str">
        <f t="shared" si="315"/>
        <v>RulesetImplementation2016Tests\x\x.cibd16</v>
      </c>
      <c r="C102" s="27" t="str">
        <f t="shared" si="316"/>
        <v>BatchOut_171026_r5178_FinalRel-v3-SSTSG_RIc\x.cibd16</v>
      </c>
      <c r="D102" s="27" t="str">
        <f t="shared" si="317"/>
        <v>BatchOut_171026_r5178_FinalRel-v3-SSTSG_RIc\XML\</v>
      </c>
      <c r="E102" s="9" t="str">
        <f t="shared" ref="E102:E105" si="446">M102</f>
        <v>x</v>
      </c>
      <c r="F102" s="22"/>
      <c r="G102" s="29"/>
      <c r="H102" s="23"/>
      <c r="I102" s="9" t="s">
        <v>11</v>
      </c>
      <c r="J102"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2" s="15" t="s">
        <v>1</v>
      </c>
      <c r="L102" s="36">
        <f t="shared" si="331"/>
        <v>0</v>
      </c>
      <c r="M102" s="91" t="str">
        <f t="shared" si="319"/>
        <v>x</v>
      </c>
      <c r="N102" s="90" t="s">
        <v>149</v>
      </c>
      <c r="O102" s="93" t="str">
        <f t="shared" si="441"/>
        <v>x</v>
      </c>
      <c r="P102" s="63">
        <f t="shared" si="332"/>
        <v>1</v>
      </c>
      <c r="Q102" s="65">
        <f t="shared" si="333"/>
        <v>1</v>
      </c>
      <c r="R102" s="65">
        <f t="shared" si="334"/>
        <v>0</v>
      </c>
      <c r="S102" s="65">
        <f t="shared" si="335"/>
        <v>1</v>
      </c>
      <c r="T102" s="65">
        <f t="shared" si="336"/>
        <v>0</v>
      </c>
      <c r="U102" s="65">
        <f t="shared" si="337"/>
        <v>8</v>
      </c>
      <c r="V102" s="65">
        <f t="shared" si="337"/>
        <v>8</v>
      </c>
      <c r="W102" s="65">
        <f t="shared" ref="W102:Y102" si="447">W101</f>
        <v>1</v>
      </c>
      <c r="X102" s="65">
        <f t="shared" si="447"/>
        <v>0</v>
      </c>
      <c r="Y102" s="65">
        <f t="shared" si="447"/>
        <v>0</v>
      </c>
      <c r="Z102" s="65">
        <f t="shared" si="339"/>
        <v>0</v>
      </c>
      <c r="AA102" s="65">
        <f t="shared" si="339"/>
        <v>0</v>
      </c>
      <c r="AB102" s="65">
        <f t="shared" si="339"/>
        <v>1</v>
      </c>
      <c r="AC102" s="65">
        <f t="shared" si="325"/>
        <v>0</v>
      </c>
      <c r="AD102" s="61">
        <f t="shared" si="325"/>
        <v>1</v>
      </c>
      <c r="AE102" s="61">
        <f t="shared" ref="AE102:AF102" si="448">AE101</f>
        <v>0</v>
      </c>
      <c r="AF102" s="61">
        <f t="shared" si="448"/>
        <v>0</v>
      </c>
      <c r="AG102" s="61">
        <f t="shared" ref="AG102:AH102" si="449">AG101</f>
        <v>0</v>
      </c>
      <c r="AH102" s="61">
        <f t="shared" si="449"/>
        <v>0</v>
      </c>
      <c r="AI102" s="61">
        <f t="shared" ref="AI102" si="450">AI101</f>
        <v>0</v>
      </c>
      <c r="AJ102" s="63">
        <f t="shared" si="344"/>
        <v>0</v>
      </c>
      <c r="AK102" s="64">
        <f t="shared" si="345"/>
        <v>0</v>
      </c>
      <c r="AL102" s="64">
        <f t="shared" si="346"/>
        <v>0</v>
      </c>
      <c r="AM102" s="64">
        <f t="shared" si="347"/>
        <v>0</v>
      </c>
      <c r="AN102" s="66">
        <f t="shared" si="348"/>
        <v>0</v>
      </c>
      <c r="AO102" s="63">
        <f t="shared" si="349"/>
        <v>0</v>
      </c>
      <c r="AP102" s="64">
        <f t="shared" si="349"/>
        <v>0</v>
      </c>
      <c r="AQ102" s="65">
        <f t="shared" si="349"/>
        <v>0</v>
      </c>
      <c r="AR102" s="66">
        <f t="shared" si="349"/>
        <v>0</v>
      </c>
      <c r="AS102" s="31" t="str">
        <f t="shared" ref="AS102:AS105" si="451">P$13&amp;P102&amp;","</f>
        <v>SimulationStorage,1,</v>
      </c>
      <c r="AT102" s="31" t="str">
        <f t="shared" ref="AT102:AT105" si="452">Q$13&amp;Q102&amp;","</f>
        <v>AnalysisStorage,1,</v>
      </c>
      <c r="AU102" s="31" t="str">
        <f t="shared" ref="AU102:AU105" si="453">R$13&amp;R102&amp;","</f>
        <v>LogRuleEvaluation,0,</v>
      </c>
      <c r="AV102" s="31" t="str">
        <f t="shared" ref="AV102:AV105" si="454">S$13&amp;S102&amp;","</f>
        <v>ParallelSimulations,1,</v>
      </c>
      <c r="AW102" s="31" t="str">
        <f t="shared" ref="AW102:AW105" si="455">T$13&amp;T102&amp;","</f>
        <v>DurationStats,0,</v>
      </c>
      <c r="AX102" s="31" t="str">
        <f t="shared" ref="AX102:AX105" si="456">U$13&amp;U102&amp;","</f>
        <v>AnalysisThruStep,8,</v>
      </c>
      <c r="AY102" s="31" t="str">
        <f t="shared" ref="AY102:AY105" si="457">V$13&amp;V102&amp;","</f>
        <v>DontAbortOnErrorsThruStep,8,</v>
      </c>
      <c r="AZ102" s="31" t="str">
        <f t="shared" ref="AZ102:AZ105" si="458">W$13&amp;W102&amp;","</f>
        <v>BypassValidFileChecks,1,</v>
      </c>
      <c r="BA102" s="31" t="str">
        <f t="shared" ref="BA102:BA105" si="459">X$13&amp;X102&amp;","</f>
        <v>BypassInputChecks,0,</v>
      </c>
      <c r="BB102" s="31" t="str">
        <f t="shared" ref="BB102:BB105" si="460">Y$13&amp;Y102&amp;","</f>
        <v>BypassUMLHChecks,0,</v>
      </c>
      <c r="BC102" s="31" t="str">
        <f t="shared" ref="BC102:BC105" si="461">Z$13&amp;Z102&amp;","</f>
        <v>BypassCheckSimRules,0,</v>
      </c>
      <c r="BD102" s="31" t="str">
        <f t="shared" ref="BD102:BD105" si="462">AA$13&amp;AA102&amp;","</f>
        <v>BypassCheckCodeRules,0,</v>
      </c>
      <c r="BE102" s="31" t="str">
        <f t="shared" si="299"/>
        <v>StoreResultsToModelInput,1,</v>
      </c>
      <c r="BF102" s="31" t="str">
        <f t="shared" si="300"/>
        <v>StoreBEMDetails,0,</v>
      </c>
      <c r="BG102" s="31" t="str">
        <f t="shared" si="301"/>
        <v>ModelRpt_ALL,1,</v>
      </c>
      <c r="BH102" s="31" t="str">
        <f t="shared" si="302"/>
        <v>ExportHourlyResults_All,0,</v>
      </c>
      <c r="BI102" s="31" t="str">
        <f t="shared" si="303"/>
        <v>ComplianceReportPDF,0,</v>
      </c>
      <c r="BJ102" s="31" t="str">
        <f t="shared" si="304"/>
        <v>ComplianceReportXML,0,</v>
      </c>
      <c r="BK102" s="31" t="str">
        <f t="shared" si="305"/>
        <v>QuickAnalysis,0,</v>
      </c>
      <c r="BL102" s="31" t="str">
        <f t="shared" si="305"/>
        <v>PromptUserUMLHWarning,0,</v>
      </c>
      <c r="BM102" s="31" t="str">
        <f t="shared" si="306"/>
        <v>BypassOpenStudio_all,0,</v>
      </c>
      <c r="BN102" s="31" t="str">
        <f t="shared" si="307"/>
        <v>BypassOpenStudio_zp,0,</v>
      </c>
      <c r="BO102" s="31" t="str">
        <f t="shared" si="308"/>
        <v>BypassOpenStudio_zb,0,</v>
      </c>
      <c r="BP102" s="31" t="str">
        <f t="shared" si="309"/>
        <v>BypassOpenStudio_ap,0,</v>
      </c>
      <c r="BQ102" s="31" t="str">
        <f t="shared" si="310"/>
        <v>BypassOpenStudio_ab,0,</v>
      </c>
      <c r="BR102" s="31" t="str">
        <f t="shared" si="311"/>
        <v>BypassOpenStudio_zp,0,</v>
      </c>
      <c r="BS102" s="31" t="str">
        <f t="shared" si="312"/>
        <v>BypassOpenStudio_zb,0,</v>
      </c>
      <c r="BT102" s="31" t="str">
        <f t="shared" si="313"/>
        <v>BypassOpenStudio_ap,0,</v>
      </c>
      <c r="BU102" s="31" t="str">
        <f t="shared" si="314"/>
        <v>BypassOpenStudio_ab,0,</v>
      </c>
    </row>
    <row r="103" spans="1:73" hidden="1" outlineLevel="1" x14ac:dyDescent="0.25">
      <c r="A103" s="39">
        <f t="shared" si="445"/>
        <v>0</v>
      </c>
      <c r="B103" s="27" t="str">
        <f t="shared" si="315"/>
        <v>RulesetImplementation2016Tests\x\x.cibd16</v>
      </c>
      <c r="C103" s="27" t="str">
        <f t="shared" si="316"/>
        <v>BatchOut_171026_r5178_FinalRel-v3-SSTSG_RIc\x.cibd16</v>
      </c>
      <c r="D103" s="27" t="str">
        <f t="shared" si="317"/>
        <v>BatchOut_171026_r5178_FinalRel-v3-SSTSG_RIc\XML\</v>
      </c>
      <c r="E103" s="9" t="str">
        <f t="shared" si="446"/>
        <v>x</v>
      </c>
      <c r="F103" s="22"/>
      <c r="G103" s="29"/>
      <c r="H103" s="23"/>
      <c r="I103" s="9" t="s">
        <v>11</v>
      </c>
      <c r="J103"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3" s="15" t="s">
        <v>1</v>
      </c>
      <c r="L103" s="36">
        <f t="shared" si="331"/>
        <v>0</v>
      </c>
      <c r="M103" s="91" t="str">
        <f t="shared" si="319"/>
        <v>x</v>
      </c>
      <c r="N103" s="90" t="s">
        <v>149</v>
      </c>
      <c r="O103" s="93" t="str">
        <f t="shared" si="441"/>
        <v>x</v>
      </c>
      <c r="P103" s="63">
        <f t="shared" si="332"/>
        <v>1</v>
      </c>
      <c r="Q103" s="65">
        <f t="shared" si="333"/>
        <v>1</v>
      </c>
      <c r="R103" s="65">
        <f t="shared" si="334"/>
        <v>0</v>
      </c>
      <c r="S103" s="65">
        <f t="shared" si="335"/>
        <v>1</v>
      </c>
      <c r="T103" s="65">
        <f t="shared" si="336"/>
        <v>0</v>
      </c>
      <c r="U103" s="65">
        <f t="shared" si="337"/>
        <v>8</v>
      </c>
      <c r="V103" s="65">
        <f t="shared" si="337"/>
        <v>8</v>
      </c>
      <c r="W103" s="65">
        <f t="shared" ref="W103:AB105" si="463">W102</f>
        <v>1</v>
      </c>
      <c r="X103" s="65">
        <f t="shared" si="463"/>
        <v>0</v>
      </c>
      <c r="Y103" s="65">
        <f t="shared" si="463"/>
        <v>0</v>
      </c>
      <c r="Z103" s="65">
        <f t="shared" si="463"/>
        <v>0</v>
      </c>
      <c r="AA103" s="65">
        <f t="shared" si="463"/>
        <v>0</v>
      </c>
      <c r="AB103" s="65">
        <f t="shared" si="463"/>
        <v>1</v>
      </c>
      <c r="AC103" s="65">
        <f t="shared" si="325"/>
        <v>0</v>
      </c>
      <c r="AD103" s="61">
        <f t="shared" si="325"/>
        <v>1</v>
      </c>
      <c r="AE103" s="61">
        <f t="shared" ref="AE103:AF103" si="464">AE102</f>
        <v>0</v>
      </c>
      <c r="AF103" s="61">
        <f t="shared" si="464"/>
        <v>0</v>
      </c>
      <c r="AG103" s="61">
        <f t="shared" ref="AG103:AH103" si="465">AG102</f>
        <v>0</v>
      </c>
      <c r="AH103" s="61">
        <f t="shared" si="465"/>
        <v>0</v>
      </c>
      <c r="AI103" s="61">
        <f t="shared" ref="AI103" si="466">AI102</f>
        <v>0</v>
      </c>
      <c r="AJ103" s="63">
        <f t="shared" si="344"/>
        <v>0</v>
      </c>
      <c r="AK103" s="64">
        <f t="shared" si="345"/>
        <v>0</v>
      </c>
      <c r="AL103" s="64">
        <f t="shared" si="346"/>
        <v>0</v>
      </c>
      <c r="AM103" s="64">
        <f t="shared" si="347"/>
        <v>0</v>
      </c>
      <c r="AN103" s="66">
        <f t="shared" si="348"/>
        <v>0</v>
      </c>
      <c r="AO103" s="63">
        <f t="shared" si="348"/>
        <v>0</v>
      </c>
      <c r="AP103" s="64">
        <f t="shared" si="348"/>
        <v>0</v>
      </c>
      <c r="AQ103" s="65">
        <f t="shared" si="348"/>
        <v>0</v>
      </c>
      <c r="AR103" s="66">
        <f t="shared" si="348"/>
        <v>0</v>
      </c>
      <c r="AS103" s="31" t="str">
        <f t="shared" si="451"/>
        <v>SimulationStorage,1,</v>
      </c>
      <c r="AT103" s="31" t="str">
        <f t="shared" si="452"/>
        <v>AnalysisStorage,1,</v>
      </c>
      <c r="AU103" s="31" t="str">
        <f t="shared" si="453"/>
        <v>LogRuleEvaluation,0,</v>
      </c>
      <c r="AV103" s="31" t="str">
        <f t="shared" si="454"/>
        <v>ParallelSimulations,1,</v>
      </c>
      <c r="AW103" s="31" t="str">
        <f t="shared" si="455"/>
        <v>DurationStats,0,</v>
      </c>
      <c r="AX103" s="31" t="str">
        <f t="shared" si="456"/>
        <v>AnalysisThruStep,8,</v>
      </c>
      <c r="AY103" s="31" t="str">
        <f t="shared" si="457"/>
        <v>DontAbortOnErrorsThruStep,8,</v>
      </c>
      <c r="AZ103" s="31" t="str">
        <f t="shared" si="458"/>
        <v>BypassValidFileChecks,1,</v>
      </c>
      <c r="BA103" s="31" t="str">
        <f t="shared" si="459"/>
        <v>BypassInputChecks,0,</v>
      </c>
      <c r="BB103" s="31" t="str">
        <f t="shared" si="460"/>
        <v>BypassUMLHChecks,0,</v>
      </c>
      <c r="BC103" s="31" t="str">
        <f t="shared" si="461"/>
        <v>BypassCheckSimRules,0,</v>
      </c>
      <c r="BD103" s="31" t="str">
        <f t="shared" si="462"/>
        <v>BypassCheckCodeRules,0,</v>
      </c>
      <c r="BE103" s="31" t="str">
        <f t="shared" si="299"/>
        <v>StoreResultsToModelInput,1,</v>
      </c>
      <c r="BF103" s="31" t="str">
        <f t="shared" si="300"/>
        <v>StoreBEMDetails,0,</v>
      </c>
      <c r="BG103" s="31" t="str">
        <f t="shared" si="301"/>
        <v>ModelRpt_ALL,1,</v>
      </c>
      <c r="BH103" s="31" t="str">
        <f t="shared" si="302"/>
        <v>ExportHourlyResults_All,0,</v>
      </c>
      <c r="BI103" s="31" t="str">
        <f t="shared" si="303"/>
        <v>ComplianceReportPDF,0,</v>
      </c>
      <c r="BJ103" s="31" t="str">
        <f t="shared" si="304"/>
        <v>ComplianceReportXML,0,</v>
      </c>
      <c r="BK103" s="31" t="str">
        <f t="shared" si="305"/>
        <v>QuickAnalysis,0,</v>
      </c>
      <c r="BL103" s="31" t="str">
        <f t="shared" si="305"/>
        <v>PromptUserUMLHWarning,0,</v>
      </c>
      <c r="BM103" s="31" t="str">
        <f t="shared" si="306"/>
        <v>BypassOpenStudio_all,0,</v>
      </c>
      <c r="BN103" s="31" t="str">
        <f t="shared" si="307"/>
        <v>BypassOpenStudio_zp,0,</v>
      </c>
      <c r="BO103" s="31" t="str">
        <f t="shared" si="308"/>
        <v>BypassOpenStudio_zb,0,</v>
      </c>
      <c r="BP103" s="31" t="str">
        <f t="shared" si="309"/>
        <v>BypassOpenStudio_ap,0,</v>
      </c>
      <c r="BQ103" s="31" t="str">
        <f t="shared" si="310"/>
        <v>BypassOpenStudio_ab,0,</v>
      </c>
      <c r="BR103" s="31" t="str">
        <f t="shared" si="311"/>
        <v>BypassOpenStudio_zp,0,</v>
      </c>
      <c r="BS103" s="31" t="str">
        <f t="shared" si="312"/>
        <v>BypassOpenStudio_zb,0,</v>
      </c>
      <c r="BT103" s="31" t="str">
        <f t="shared" si="313"/>
        <v>BypassOpenStudio_ap,0,</v>
      </c>
      <c r="BU103" s="31" t="str">
        <f t="shared" si="314"/>
        <v>BypassOpenStudio_ab,0,</v>
      </c>
    </row>
    <row r="104" spans="1:73" hidden="1" outlineLevel="1" x14ac:dyDescent="0.25">
      <c r="A104" s="39">
        <f t="shared" si="445"/>
        <v>0</v>
      </c>
      <c r="B104" s="27" t="str">
        <f t="shared" si="315"/>
        <v>RulesetImplementation2016Tests\x\x.cibd16</v>
      </c>
      <c r="C104" s="27" t="str">
        <f t="shared" si="316"/>
        <v>BatchOut_171026_r5178_FinalRel-v3-SSTSG_RIc\x.cibd16</v>
      </c>
      <c r="D104" s="27" t="str">
        <f t="shared" si="317"/>
        <v>BatchOut_171026_r5178_FinalRel-v3-SSTSG_RIc\XML\</v>
      </c>
      <c r="E104" s="9" t="str">
        <f t="shared" si="446"/>
        <v>x</v>
      </c>
      <c r="F104" s="22"/>
      <c r="G104" s="29"/>
      <c r="H104" s="23"/>
      <c r="I104" s="9" t="s">
        <v>11</v>
      </c>
      <c r="J104"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4" s="15" t="s">
        <v>1</v>
      </c>
      <c r="L104" s="36">
        <f t="shared" si="331"/>
        <v>0</v>
      </c>
      <c r="M104" s="91" t="str">
        <f t="shared" si="319"/>
        <v>x</v>
      </c>
      <c r="N104" s="90" t="s">
        <v>149</v>
      </c>
      <c r="O104" s="93" t="str">
        <f t="shared" si="441"/>
        <v>x</v>
      </c>
      <c r="P104" s="63">
        <f t="shared" si="332"/>
        <v>1</v>
      </c>
      <c r="Q104" s="65">
        <f t="shared" si="333"/>
        <v>1</v>
      </c>
      <c r="R104" s="65">
        <f t="shared" si="334"/>
        <v>0</v>
      </c>
      <c r="S104" s="65">
        <f t="shared" si="335"/>
        <v>1</v>
      </c>
      <c r="T104" s="65">
        <f t="shared" si="336"/>
        <v>0</v>
      </c>
      <c r="U104" s="65">
        <f t="shared" si="337"/>
        <v>8</v>
      </c>
      <c r="V104" s="65">
        <f t="shared" si="337"/>
        <v>8</v>
      </c>
      <c r="W104" s="65">
        <f t="shared" ref="W104:Y104" si="467">W103</f>
        <v>1</v>
      </c>
      <c r="X104" s="65">
        <f t="shared" si="467"/>
        <v>0</v>
      </c>
      <c r="Y104" s="65">
        <f t="shared" si="467"/>
        <v>0</v>
      </c>
      <c r="Z104" s="65">
        <f t="shared" si="463"/>
        <v>0</v>
      </c>
      <c r="AA104" s="65">
        <f t="shared" si="463"/>
        <v>0</v>
      </c>
      <c r="AB104" s="65">
        <f t="shared" si="463"/>
        <v>1</v>
      </c>
      <c r="AC104" s="65">
        <f t="shared" si="325"/>
        <v>0</v>
      </c>
      <c r="AD104" s="61">
        <f t="shared" si="325"/>
        <v>1</v>
      </c>
      <c r="AE104" s="61">
        <f t="shared" ref="AE104:AF104" si="468">AE103</f>
        <v>0</v>
      </c>
      <c r="AF104" s="61">
        <f t="shared" si="468"/>
        <v>0</v>
      </c>
      <c r="AG104" s="61">
        <f t="shared" ref="AG104:AH104" si="469">AG103</f>
        <v>0</v>
      </c>
      <c r="AH104" s="61">
        <f t="shared" si="469"/>
        <v>0</v>
      </c>
      <c r="AI104" s="61">
        <f t="shared" ref="AI104" si="470">AI103</f>
        <v>0</v>
      </c>
      <c r="AJ104" s="63">
        <f t="shared" si="344"/>
        <v>0</v>
      </c>
      <c r="AK104" s="64">
        <f t="shared" si="345"/>
        <v>0</v>
      </c>
      <c r="AL104" s="64">
        <f t="shared" si="346"/>
        <v>0</v>
      </c>
      <c r="AM104" s="64">
        <f t="shared" si="347"/>
        <v>0</v>
      </c>
      <c r="AN104" s="66">
        <f t="shared" si="347"/>
        <v>0</v>
      </c>
      <c r="AO104" s="63">
        <f t="shared" si="347"/>
        <v>0</v>
      </c>
      <c r="AP104" s="64">
        <f t="shared" si="347"/>
        <v>0</v>
      </c>
      <c r="AQ104" s="65">
        <f t="shared" si="347"/>
        <v>0</v>
      </c>
      <c r="AR104" s="66">
        <f t="shared" si="347"/>
        <v>0</v>
      </c>
      <c r="AS104" s="31" t="str">
        <f t="shared" si="451"/>
        <v>SimulationStorage,1,</v>
      </c>
      <c r="AT104" s="31" t="str">
        <f t="shared" si="452"/>
        <v>AnalysisStorage,1,</v>
      </c>
      <c r="AU104" s="31" t="str">
        <f t="shared" si="453"/>
        <v>LogRuleEvaluation,0,</v>
      </c>
      <c r="AV104" s="31" t="str">
        <f t="shared" si="454"/>
        <v>ParallelSimulations,1,</v>
      </c>
      <c r="AW104" s="31" t="str">
        <f t="shared" si="455"/>
        <v>DurationStats,0,</v>
      </c>
      <c r="AX104" s="31" t="str">
        <f t="shared" si="456"/>
        <v>AnalysisThruStep,8,</v>
      </c>
      <c r="AY104" s="31" t="str">
        <f t="shared" si="457"/>
        <v>DontAbortOnErrorsThruStep,8,</v>
      </c>
      <c r="AZ104" s="31" t="str">
        <f t="shared" si="458"/>
        <v>BypassValidFileChecks,1,</v>
      </c>
      <c r="BA104" s="31" t="str">
        <f t="shared" si="459"/>
        <v>BypassInputChecks,0,</v>
      </c>
      <c r="BB104" s="31" t="str">
        <f t="shared" si="460"/>
        <v>BypassUMLHChecks,0,</v>
      </c>
      <c r="BC104" s="31" t="str">
        <f t="shared" si="461"/>
        <v>BypassCheckSimRules,0,</v>
      </c>
      <c r="BD104" s="31" t="str">
        <f t="shared" si="462"/>
        <v>BypassCheckCodeRules,0,</v>
      </c>
      <c r="BE104" s="31" t="str">
        <f t="shared" si="299"/>
        <v>StoreResultsToModelInput,1,</v>
      </c>
      <c r="BF104" s="31" t="str">
        <f t="shared" si="300"/>
        <v>StoreBEMDetails,0,</v>
      </c>
      <c r="BG104" s="31" t="str">
        <f t="shared" si="301"/>
        <v>ModelRpt_ALL,1,</v>
      </c>
      <c r="BH104" s="31" t="str">
        <f t="shared" si="302"/>
        <v>ExportHourlyResults_All,0,</v>
      </c>
      <c r="BI104" s="31" t="str">
        <f t="shared" si="303"/>
        <v>ComplianceReportPDF,0,</v>
      </c>
      <c r="BJ104" s="31" t="str">
        <f t="shared" si="304"/>
        <v>ComplianceReportXML,0,</v>
      </c>
      <c r="BK104" s="31" t="str">
        <f t="shared" si="305"/>
        <v>QuickAnalysis,0,</v>
      </c>
      <c r="BL104" s="31" t="str">
        <f t="shared" si="305"/>
        <v>PromptUserUMLHWarning,0,</v>
      </c>
      <c r="BM104" s="31" t="str">
        <f t="shared" si="306"/>
        <v>BypassOpenStudio_all,0,</v>
      </c>
      <c r="BN104" s="31" t="str">
        <f t="shared" si="307"/>
        <v>BypassOpenStudio_zp,0,</v>
      </c>
      <c r="BO104" s="31" t="str">
        <f t="shared" si="308"/>
        <v>BypassOpenStudio_zb,0,</v>
      </c>
      <c r="BP104" s="31" t="str">
        <f t="shared" si="309"/>
        <v>BypassOpenStudio_ap,0,</v>
      </c>
      <c r="BQ104" s="31" t="str">
        <f t="shared" si="310"/>
        <v>BypassOpenStudio_ab,0,</v>
      </c>
      <c r="BR104" s="31" t="str">
        <f t="shared" si="311"/>
        <v>BypassOpenStudio_zp,0,</v>
      </c>
      <c r="BS104" s="31" t="str">
        <f t="shared" si="312"/>
        <v>BypassOpenStudio_zb,0,</v>
      </c>
      <c r="BT104" s="31" t="str">
        <f t="shared" si="313"/>
        <v>BypassOpenStudio_ap,0,</v>
      </c>
      <c r="BU104" s="31" t="str">
        <f t="shared" si="314"/>
        <v>BypassOpenStudio_ab,0,</v>
      </c>
    </row>
    <row r="105" spans="1:73" hidden="1" outlineLevel="1" x14ac:dyDescent="0.25">
      <c r="A105" s="39">
        <f t="shared" si="445"/>
        <v>0</v>
      </c>
      <c r="B105" s="27" t="str">
        <f t="shared" si="315"/>
        <v>RulesetImplementation2016Tests\x\x.cibd16</v>
      </c>
      <c r="C105" s="27" t="str">
        <f t="shared" si="316"/>
        <v>BatchOut_171026_r5178_FinalRel-v3-SSTSG_RIc\x.cibd16</v>
      </c>
      <c r="D105" s="27" t="str">
        <f t="shared" si="317"/>
        <v>BatchOut_171026_r5178_FinalRel-v3-SSTSG_RIc\XML\</v>
      </c>
      <c r="E105" s="9" t="str">
        <f t="shared" si="446"/>
        <v>x</v>
      </c>
      <c r="F105" s="22"/>
      <c r="G105" s="29"/>
      <c r="H105" s="23"/>
      <c r="I105" s="9" t="s">
        <v>11</v>
      </c>
      <c r="J105" s="87" t="str">
        <f t="shared" si="2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5" s="15" t="s">
        <v>1</v>
      </c>
      <c r="L105" s="92">
        <f t="shared" si="331"/>
        <v>0</v>
      </c>
      <c r="M105" s="91" t="str">
        <f t="shared" si="319"/>
        <v>x</v>
      </c>
      <c r="N105" s="90" t="s">
        <v>149</v>
      </c>
      <c r="O105" s="93" t="str">
        <f t="shared" si="441"/>
        <v>x</v>
      </c>
      <c r="P105" s="63">
        <f t="shared" si="332"/>
        <v>1</v>
      </c>
      <c r="Q105" s="65">
        <f t="shared" si="333"/>
        <v>1</v>
      </c>
      <c r="R105" s="65">
        <f t="shared" si="334"/>
        <v>0</v>
      </c>
      <c r="S105" s="65">
        <f t="shared" si="335"/>
        <v>1</v>
      </c>
      <c r="T105" s="65">
        <f t="shared" si="336"/>
        <v>0</v>
      </c>
      <c r="U105" s="65">
        <f t="shared" si="337"/>
        <v>8</v>
      </c>
      <c r="V105" s="65">
        <f t="shared" si="337"/>
        <v>8</v>
      </c>
      <c r="W105" s="65">
        <f t="shared" ref="W105:Y105" si="471">W104</f>
        <v>1</v>
      </c>
      <c r="X105" s="65">
        <f t="shared" si="471"/>
        <v>0</v>
      </c>
      <c r="Y105" s="65">
        <f t="shared" si="471"/>
        <v>0</v>
      </c>
      <c r="Z105" s="65">
        <f t="shared" si="463"/>
        <v>0</v>
      </c>
      <c r="AA105" s="65">
        <f t="shared" si="463"/>
        <v>0</v>
      </c>
      <c r="AB105" s="65">
        <f t="shared" si="463"/>
        <v>1</v>
      </c>
      <c r="AC105" s="65">
        <f t="shared" si="325"/>
        <v>0</v>
      </c>
      <c r="AD105" s="61">
        <f t="shared" si="325"/>
        <v>1</v>
      </c>
      <c r="AE105" s="61">
        <f t="shared" ref="AE105:AF105" si="472">AE104</f>
        <v>0</v>
      </c>
      <c r="AF105" s="61">
        <f t="shared" si="472"/>
        <v>0</v>
      </c>
      <c r="AG105" s="61">
        <f t="shared" ref="AG105:AH105" si="473">AG104</f>
        <v>0</v>
      </c>
      <c r="AH105" s="61">
        <f t="shared" si="473"/>
        <v>0</v>
      </c>
      <c r="AI105" s="61">
        <f t="shared" ref="AI105:AR108" si="474">AI104</f>
        <v>0</v>
      </c>
      <c r="AJ105" s="63">
        <f t="shared" si="344"/>
        <v>0</v>
      </c>
      <c r="AK105" s="64">
        <f t="shared" si="345"/>
        <v>0</v>
      </c>
      <c r="AL105" s="64">
        <f t="shared" si="346"/>
        <v>0</v>
      </c>
      <c r="AM105" s="64">
        <f t="shared" si="346"/>
        <v>0</v>
      </c>
      <c r="AN105" s="66">
        <f t="shared" si="346"/>
        <v>0</v>
      </c>
      <c r="AO105" s="63">
        <f t="shared" si="346"/>
        <v>0</v>
      </c>
      <c r="AP105" s="64">
        <f t="shared" si="346"/>
        <v>0</v>
      </c>
      <c r="AQ105" s="65">
        <f t="shared" si="346"/>
        <v>0</v>
      </c>
      <c r="AR105" s="66">
        <f t="shared" si="346"/>
        <v>0</v>
      </c>
      <c r="AS105" s="31" t="str">
        <f t="shared" si="451"/>
        <v>SimulationStorage,1,</v>
      </c>
      <c r="AT105" s="31" t="str">
        <f t="shared" si="452"/>
        <v>AnalysisStorage,1,</v>
      </c>
      <c r="AU105" s="31" t="str">
        <f t="shared" si="453"/>
        <v>LogRuleEvaluation,0,</v>
      </c>
      <c r="AV105" s="31" t="str">
        <f t="shared" si="454"/>
        <v>ParallelSimulations,1,</v>
      </c>
      <c r="AW105" s="31" t="str">
        <f t="shared" si="455"/>
        <v>DurationStats,0,</v>
      </c>
      <c r="AX105" s="31" t="str">
        <f t="shared" si="456"/>
        <v>AnalysisThruStep,8,</v>
      </c>
      <c r="AY105" s="31" t="str">
        <f t="shared" si="457"/>
        <v>DontAbortOnErrorsThruStep,8,</v>
      </c>
      <c r="AZ105" s="31" t="str">
        <f t="shared" si="458"/>
        <v>BypassValidFileChecks,1,</v>
      </c>
      <c r="BA105" s="31" t="str">
        <f t="shared" si="459"/>
        <v>BypassInputChecks,0,</v>
      </c>
      <c r="BB105" s="31" t="str">
        <f t="shared" si="460"/>
        <v>BypassUMLHChecks,0,</v>
      </c>
      <c r="BC105" s="31" t="str">
        <f t="shared" si="461"/>
        <v>BypassCheckSimRules,0,</v>
      </c>
      <c r="BD105" s="31" t="str">
        <f t="shared" si="462"/>
        <v>BypassCheckCodeRules,0,</v>
      </c>
      <c r="BE105" s="31" t="str">
        <f t="shared" si="299"/>
        <v>StoreResultsToModelInput,1,</v>
      </c>
      <c r="BF105" s="31" t="str">
        <f t="shared" si="300"/>
        <v>StoreBEMDetails,0,</v>
      </c>
      <c r="BG105" s="31" t="str">
        <f t="shared" si="301"/>
        <v>ModelRpt_ALL,1,</v>
      </c>
      <c r="BH105" s="31" t="str">
        <f t="shared" si="302"/>
        <v>ExportHourlyResults_All,0,</v>
      </c>
      <c r="BI105" s="31" t="str">
        <f t="shared" si="303"/>
        <v>ComplianceReportPDF,0,</v>
      </c>
      <c r="BJ105" s="31" t="str">
        <f t="shared" si="304"/>
        <v>ComplianceReportXML,0,</v>
      </c>
      <c r="BK105" s="31" t="str">
        <f t="shared" si="305"/>
        <v>QuickAnalysis,0,</v>
      </c>
      <c r="BL105" s="31" t="str">
        <f t="shared" si="305"/>
        <v>PromptUserUMLHWarning,0,</v>
      </c>
      <c r="BM105" s="31" t="str">
        <f t="shared" si="306"/>
        <v>BypassOpenStudio_all,0,</v>
      </c>
      <c r="BN105" s="31" t="str">
        <f t="shared" si="307"/>
        <v>BypassOpenStudio_zp,0,</v>
      </c>
      <c r="BO105" s="31" t="str">
        <f t="shared" si="308"/>
        <v>BypassOpenStudio_zb,0,</v>
      </c>
      <c r="BP105" s="31" t="str">
        <f t="shared" si="309"/>
        <v>BypassOpenStudio_ap,0,</v>
      </c>
      <c r="BQ105" s="31" t="str">
        <f t="shared" si="310"/>
        <v>BypassOpenStudio_ab,0,</v>
      </c>
      <c r="BR105" s="31" t="str">
        <f t="shared" si="311"/>
        <v>BypassOpenStudio_zp,0,</v>
      </c>
      <c r="BS105" s="31" t="str">
        <f t="shared" si="312"/>
        <v>BypassOpenStudio_zb,0,</v>
      </c>
      <c r="BT105" s="31" t="str">
        <f t="shared" si="313"/>
        <v>BypassOpenStudio_ap,0,</v>
      </c>
      <c r="BU105" s="31" t="str">
        <f t="shared" si="314"/>
        <v>BypassOpenStudio_ab,0,</v>
      </c>
    </row>
    <row r="106" spans="1:73" hidden="1" outlineLevel="1" x14ac:dyDescent="0.25">
      <c r="A106" s="39">
        <f t="shared" ref="A106:A108" si="475">L106</f>
        <v>0</v>
      </c>
      <c r="B106" s="27" t="str">
        <f t="shared" ref="B106:B108" si="476">M$69&amp;N106&amp;"\"&amp;N106&amp;".cibd16"</f>
        <v>RulesetImplementation2016Tests\x\x.cibd16</v>
      </c>
      <c r="C106" s="27" t="str">
        <f t="shared" ref="C106:C108" si="477" xml:space="preserve"> M$70 &amp; O106 &amp; ".cibd16"</f>
        <v>BatchOut_171026_r5178_FinalRel-v3-SSTSG_RIc\x.cibd16</v>
      </c>
      <c r="D106" s="27" t="str">
        <f t="shared" si="317"/>
        <v>BatchOut_171026_r5178_FinalRel-v3-SSTSG_RIc\XML\</v>
      </c>
      <c r="E106" s="9" t="str">
        <f t="shared" ref="E106:E108" si="478">M106</f>
        <v>x</v>
      </c>
      <c r="F106" s="22"/>
      <c r="G106" s="29"/>
      <c r="H106" s="23"/>
      <c r="I106" s="9" t="s">
        <v>11</v>
      </c>
      <c r="J106" s="87" t="str">
        <f t="shared" ref="J106:J108" si="479">CONCATENATE(AS106,AT106,AU106,AV106,AW106,AX106,AY106,AZ106,BA106,BB106,BC106,BD106,BE106,BF106,BG106,BH106,BI106,BJ106,BK106,BL106,BM106,BN106,BO106,BP106,BQ106,BR106,BS106,BT106,BU106)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6" s="15" t="s">
        <v>1</v>
      </c>
      <c r="L106" s="92">
        <f t="shared" si="331"/>
        <v>0</v>
      </c>
      <c r="M106" s="91" t="str">
        <f t="shared" si="319"/>
        <v>x</v>
      </c>
      <c r="N106" s="90" t="s">
        <v>149</v>
      </c>
      <c r="O106" s="93" t="str">
        <f t="shared" si="441"/>
        <v>x</v>
      </c>
      <c r="P106" s="63">
        <f t="shared" si="332"/>
        <v>1</v>
      </c>
      <c r="Q106" s="65">
        <f t="shared" si="333"/>
        <v>1</v>
      </c>
      <c r="R106" s="65">
        <f t="shared" si="334"/>
        <v>0</v>
      </c>
      <c r="S106" s="65">
        <f t="shared" si="335"/>
        <v>1</v>
      </c>
      <c r="T106" s="65">
        <f t="shared" si="336"/>
        <v>0</v>
      </c>
      <c r="U106" s="65">
        <f t="shared" si="336"/>
        <v>8</v>
      </c>
      <c r="V106" s="65">
        <f t="shared" si="336"/>
        <v>8</v>
      </c>
      <c r="W106" s="65">
        <f t="shared" si="336"/>
        <v>1</v>
      </c>
      <c r="X106" s="65">
        <f t="shared" si="336"/>
        <v>0</v>
      </c>
      <c r="Y106" s="65">
        <f t="shared" si="336"/>
        <v>0</v>
      </c>
      <c r="Z106" s="65">
        <f t="shared" si="336"/>
        <v>0</v>
      </c>
      <c r="AA106" s="65">
        <f t="shared" si="336"/>
        <v>0</v>
      </c>
      <c r="AB106" s="65">
        <f t="shared" si="336"/>
        <v>1</v>
      </c>
      <c r="AC106" s="65">
        <f t="shared" si="336"/>
        <v>0</v>
      </c>
      <c r="AD106" s="61">
        <f t="shared" si="336"/>
        <v>1</v>
      </c>
      <c r="AE106" s="61">
        <f t="shared" si="336"/>
        <v>0</v>
      </c>
      <c r="AF106" s="61">
        <f t="shared" si="336"/>
        <v>0</v>
      </c>
      <c r="AG106" s="61">
        <f t="shared" si="336"/>
        <v>0</v>
      </c>
      <c r="AH106" s="61">
        <f t="shared" si="336"/>
        <v>0</v>
      </c>
      <c r="AI106" s="61">
        <f t="shared" si="474"/>
        <v>0</v>
      </c>
      <c r="AJ106" s="63">
        <f t="shared" si="344"/>
        <v>0</v>
      </c>
      <c r="AK106" s="64">
        <f t="shared" si="345"/>
        <v>0</v>
      </c>
      <c r="AL106" s="64">
        <f t="shared" si="345"/>
        <v>0</v>
      </c>
      <c r="AM106" s="64">
        <f t="shared" si="345"/>
        <v>0</v>
      </c>
      <c r="AN106" s="66">
        <f t="shared" si="345"/>
        <v>0</v>
      </c>
      <c r="AO106" s="63">
        <f t="shared" si="345"/>
        <v>0</v>
      </c>
      <c r="AP106" s="64">
        <f t="shared" si="345"/>
        <v>0</v>
      </c>
      <c r="AQ106" s="65">
        <f t="shared" si="345"/>
        <v>0</v>
      </c>
      <c r="AR106" s="66">
        <f t="shared" si="345"/>
        <v>0</v>
      </c>
      <c r="AS106" s="31" t="str">
        <f t="shared" ref="AS106:AS108" si="480">P$13&amp;P106&amp;","</f>
        <v>SimulationStorage,1,</v>
      </c>
      <c r="AT106" s="31" t="str">
        <f t="shared" ref="AT106:AT108" si="481">Q$13&amp;Q106&amp;","</f>
        <v>AnalysisStorage,1,</v>
      </c>
      <c r="AU106" s="31" t="str">
        <f t="shared" ref="AU106:AU108" si="482">R$13&amp;R106&amp;","</f>
        <v>LogRuleEvaluation,0,</v>
      </c>
      <c r="AV106" s="31" t="str">
        <f t="shared" ref="AV106:AV108" si="483">S$13&amp;S106&amp;","</f>
        <v>ParallelSimulations,1,</v>
      </c>
      <c r="AW106" s="31" t="str">
        <f t="shared" ref="AW106:AW108" si="484">T$13&amp;T106&amp;","</f>
        <v>DurationStats,0,</v>
      </c>
      <c r="AX106" s="31" t="str">
        <f t="shared" ref="AX106:AX108" si="485">U$13&amp;U106&amp;","</f>
        <v>AnalysisThruStep,8,</v>
      </c>
      <c r="AY106" s="31" t="str">
        <f t="shared" ref="AY106:AY108" si="486">V$13&amp;V106&amp;","</f>
        <v>DontAbortOnErrorsThruStep,8,</v>
      </c>
      <c r="AZ106" s="31" t="str">
        <f t="shared" ref="AZ106:AZ108" si="487">W$13&amp;W106&amp;","</f>
        <v>BypassValidFileChecks,1,</v>
      </c>
      <c r="BA106" s="31" t="str">
        <f t="shared" ref="BA106:BA108" si="488">X$13&amp;X106&amp;","</f>
        <v>BypassInputChecks,0,</v>
      </c>
      <c r="BB106" s="31" t="str">
        <f t="shared" ref="BB106:BB108" si="489">Y$13&amp;Y106&amp;","</f>
        <v>BypassUMLHChecks,0,</v>
      </c>
      <c r="BC106" s="31" t="str">
        <f t="shared" ref="BC106:BC108" si="490">Z$13&amp;Z106&amp;","</f>
        <v>BypassCheckSimRules,0,</v>
      </c>
      <c r="BD106" s="31" t="str">
        <f t="shared" ref="BD106:BD108" si="491">AA$13&amp;AA106&amp;","</f>
        <v>BypassCheckCodeRules,0,</v>
      </c>
      <c r="BE106" s="31" t="str">
        <f t="shared" ref="BE106:BE108" si="492">AB$13&amp;AB106&amp;","</f>
        <v>StoreResultsToModelInput,1,</v>
      </c>
      <c r="BF106" s="31" t="str">
        <f t="shared" ref="BF106:BF108" si="493">AC$13&amp;AC106&amp;","</f>
        <v>StoreBEMDetails,0,</v>
      </c>
      <c r="BG106" s="31" t="str">
        <f t="shared" ref="BG106:BG108" si="494">AD$13&amp;AD106&amp;","</f>
        <v>ModelRpt_ALL,1,</v>
      </c>
      <c r="BH106" s="31" t="str">
        <f t="shared" ref="BH106:BH108" si="495">AE$13&amp;AE106&amp;","</f>
        <v>ExportHourlyResults_All,0,</v>
      </c>
      <c r="BI106" s="31" t="str">
        <f t="shared" ref="BI106:BI108" si="496">AF$13&amp;AF106&amp;","</f>
        <v>ComplianceReportPDF,0,</v>
      </c>
      <c r="BJ106" s="31" t="str">
        <f t="shared" ref="BJ106:BJ108" si="497">AG$13&amp;AG106&amp;","</f>
        <v>ComplianceReportXML,0,</v>
      </c>
      <c r="BK106" s="31" t="str">
        <f t="shared" ref="BK106:BK108" si="498">AH$13&amp;AH106&amp;","</f>
        <v>QuickAnalysis,0,</v>
      </c>
      <c r="BL106" s="31" t="str">
        <f t="shared" ref="BL106:BL108" si="499">AI$13&amp;AI106&amp;","</f>
        <v>PromptUserUMLHWarning,0,</v>
      </c>
      <c r="BM106" s="31" t="str">
        <f t="shared" ref="BM106:BM108" si="500">AJ$13&amp;AJ106&amp;","</f>
        <v>BypassOpenStudio_all,0,</v>
      </c>
      <c r="BN106" s="31" t="str">
        <f t="shared" ref="BN106:BN108" si="501">AK$13&amp;AK106&amp;","</f>
        <v>BypassOpenStudio_zp,0,</v>
      </c>
      <c r="BO106" s="31" t="str">
        <f t="shared" ref="BO106:BO108" si="502">AL$13&amp;AL106&amp;","</f>
        <v>BypassOpenStudio_zb,0,</v>
      </c>
      <c r="BP106" s="31" t="str">
        <f t="shared" ref="BP106:BP108" si="503">AM$13&amp;AM106&amp;","</f>
        <v>BypassOpenStudio_ap,0,</v>
      </c>
      <c r="BQ106" s="31" t="str">
        <f t="shared" ref="BQ106:BQ108" si="504">AN$13&amp;AN106&amp;","</f>
        <v>BypassOpenStudio_ab,0,</v>
      </c>
      <c r="BR106" s="31" t="str">
        <f t="shared" ref="BR106:BR108" si="505">AO$13&amp;AO106&amp;","</f>
        <v>BypassOpenStudio_zp,0,</v>
      </c>
      <c r="BS106" s="31" t="str">
        <f t="shared" ref="BS106:BS108" si="506">AP$13&amp;AP106&amp;","</f>
        <v>BypassOpenStudio_zb,0,</v>
      </c>
      <c r="BT106" s="31" t="str">
        <f t="shared" ref="BT106:BT108" si="507">AQ$13&amp;AQ106&amp;","</f>
        <v>BypassOpenStudio_ap,0,</v>
      </c>
      <c r="BU106" s="31" t="str">
        <f t="shared" ref="BU106:BU108" si="508">AR$13&amp;AR106&amp;","</f>
        <v>BypassOpenStudio_ab,0,</v>
      </c>
    </row>
    <row r="107" spans="1:73" hidden="1" outlineLevel="1" x14ac:dyDescent="0.25">
      <c r="A107" s="39">
        <f t="shared" si="475"/>
        <v>0</v>
      </c>
      <c r="B107" s="27" t="str">
        <f t="shared" si="476"/>
        <v>RulesetImplementation2016Tests\x\x.cibd16</v>
      </c>
      <c r="C107" s="27" t="str">
        <f t="shared" si="477"/>
        <v>BatchOut_171026_r5178_FinalRel-v3-SSTSG_RIc\x.cibd16</v>
      </c>
      <c r="D107" s="27" t="str">
        <f t="shared" si="317"/>
        <v>BatchOut_171026_r5178_FinalRel-v3-SSTSG_RIc\XML\</v>
      </c>
      <c r="E107" s="9" t="str">
        <f t="shared" si="478"/>
        <v>x</v>
      </c>
      <c r="F107" s="22"/>
      <c r="G107" s="29"/>
      <c r="H107" s="23"/>
      <c r="I107" s="9" t="s">
        <v>11</v>
      </c>
      <c r="J107" s="87" t="str">
        <f t="shared" si="47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7" s="15" t="s">
        <v>1</v>
      </c>
      <c r="L107" s="92">
        <f>L106</f>
        <v>0</v>
      </c>
      <c r="M107" s="91" t="str">
        <f t="shared" si="319"/>
        <v>x</v>
      </c>
      <c r="N107" s="90" t="s">
        <v>149</v>
      </c>
      <c r="O107" s="93" t="str">
        <f t="shared" si="441"/>
        <v>x</v>
      </c>
      <c r="P107" s="63">
        <f t="shared" si="332"/>
        <v>1</v>
      </c>
      <c r="Q107" s="65">
        <f t="shared" si="333"/>
        <v>1</v>
      </c>
      <c r="R107" s="65">
        <f t="shared" si="334"/>
        <v>0</v>
      </c>
      <c r="S107" s="65">
        <f t="shared" si="335"/>
        <v>1</v>
      </c>
      <c r="T107" s="65">
        <f t="shared" si="335"/>
        <v>0</v>
      </c>
      <c r="U107" s="65">
        <f t="shared" si="335"/>
        <v>8</v>
      </c>
      <c r="V107" s="65">
        <f t="shared" si="335"/>
        <v>8</v>
      </c>
      <c r="W107" s="65">
        <f t="shared" si="335"/>
        <v>1</v>
      </c>
      <c r="X107" s="65">
        <f t="shared" si="335"/>
        <v>0</v>
      </c>
      <c r="Y107" s="65">
        <f t="shared" si="335"/>
        <v>0</v>
      </c>
      <c r="Z107" s="65">
        <f t="shared" si="335"/>
        <v>0</v>
      </c>
      <c r="AA107" s="65">
        <f t="shared" si="335"/>
        <v>0</v>
      </c>
      <c r="AB107" s="65">
        <f t="shared" si="335"/>
        <v>1</v>
      </c>
      <c r="AC107" s="65">
        <f t="shared" si="335"/>
        <v>0</v>
      </c>
      <c r="AD107" s="61">
        <f t="shared" si="335"/>
        <v>1</v>
      </c>
      <c r="AE107" s="61">
        <f t="shared" si="335"/>
        <v>0</v>
      </c>
      <c r="AF107" s="61">
        <f t="shared" si="335"/>
        <v>0</v>
      </c>
      <c r="AG107" s="61">
        <f t="shared" si="335"/>
        <v>0</v>
      </c>
      <c r="AH107" s="61">
        <f t="shared" si="335"/>
        <v>0</v>
      </c>
      <c r="AI107" s="61">
        <f t="shared" si="474"/>
        <v>0</v>
      </c>
      <c r="AJ107" s="63">
        <f t="shared" si="344"/>
        <v>0</v>
      </c>
      <c r="AK107" s="64">
        <f t="shared" si="344"/>
        <v>0</v>
      </c>
      <c r="AL107" s="64">
        <f t="shared" si="344"/>
        <v>0</v>
      </c>
      <c r="AM107" s="64">
        <f t="shared" si="344"/>
        <v>0</v>
      </c>
      <c r="AN107" s="66">
        <f t="shared" si="344"/>
        <v>0</v>
      </c>
      <c r="AO107" s="63">
        <f t="shared" si="344"/>
        <v>0</v>
      </c>
      <c r="AP107" s="64">
        <f t="shared" si="344"/>
        <v>0</v>
      </c>
      <c r="AQ107" s="65">
        <f t="shared" si="344"/>
        <v>0</v>
      </c>
      <c r="AR107" s="66">
        <f t="shared" si="344"/>
        <v>0</v>
      </c>
      <c r="AS107" s="31" t="str">
        <f t="shared" si="480"/>
        <v>SimulationStorage,1,</v>
      </c>
      <c r="AT107" s="31" t="str">
        <f t="shared" si="481"/>
        <v>AnalysisStorage,1,</v>
      </c>
      <c r="AU107" s="31" t="str">
        <f t="shared" si="482"/>
        <v>LogRuleEvaluation,0,</v>
      </c>
      <c r="AV107" s="31" t="str">
        <f t="shared" si="483"/>
        <v>ParallelSimulations,1,</v>
      </c>
      <c r="AW107" s="31" t="str">
        <f t="shared" si="484"/>
        <v>DurationStats,0,</v>
      </c>
      <c r="AX107" s="31" t="str">
        <f t="shared" si="485"/>
        <v>AnalysisThruStep,8,</v>
      </c>
      <c r="AY107" s="31" t="str">
        <f t="shared" si="486"/>
        <v>DontAbortOnErrorsThruStep,8,</v>
      </c>
      <c r="AZ107" s="31" t="str">
        <f t="shared" si="487"/>
        <v>BypassValidFileChecks,1,</v>
      </c>
      <c r="BA107" s="31" t="str">
        <f t="shared" si="488"/>
        <v>BypassInputChecks,0,</v>
      </c>
      <c r="BB107" s="31" t="str">
        <f t="shared" si="489"/>
        <v>BypassUMLHChecks,0,</v>
      </c>
      <c r="BC107" s="31" t="str">
        <f t="shared" si="490"/>
        <v>BypassCheckSimRules,0,</v>
      </c>
      <c r="BD107" s="31" t="str">
        <f t="shared" si="491"/>
        <v>BypassCheckCodeRules,0,</v>
      </c>
      <c r="BE107" s="31" t="str">
        <f t="shared" si="492"/>
        <v>StoreResultsToModelInput,1,</v>
      </c>
      <c r="BF107" s="31" t="str">
        <f t="shared" si="493"/>
        <v>StoreBEMDetails,0,</v>
      </c>
      <c r="BG107" s="31" t="str">
        <f t="shared" si="494"/>
        <v>ModelRpt_ALL,1,</v>
      </c>
      <c r="BH107" s="31" t="str">
        <f t="shared" si="495"/>
        <v>ExportHourlyResults_All,0,</v>
      </c>
      <c r="BI107" s="31" t="str">
        <f t="shared" si="496"/>
        <v>ComplianceReportPDF,0,</v>
      </c>
      <c r="BJ107" s="31" t="str">
        <f t="shared" si="497"/>
        <v>ComplianceReportXML,0,</v>
      </c>
      <c r="BK107" s="31" t="str">
        <f t="shared" si="498"/>
        <v>QuickAnalysis,0,</v>
      </c>
      <c r="BL107" s="31" t="str">
        <f t="shared" si="499"/>
        <v>PromptUserUMLHWarning,0,</v>
      </c>
      <c r="BM107" s="31" t="str">
        <f t="shared" si="500"/>
        <v>BypassOpenStudio_all,0,</v>
      </c>
      <c r="BN107" s="31" t="str">
        <f t="shared" si="501"/>
        <v>BypassOpenStudio_zp,0,</v>
      </c>
      <c r="BO107" s="31" t="str">
        <f t="shared" si="502"/>
        <v>BypassOpenStudio_zb,0,</v>
      </c>
      <c r="BP107" s="31" t="str">
        <f t="shared" si="503"/>
        <v>BypassOpenStudio_ap,0,</v>
      </c>
      <c r="BQ107" s="31" t="str">
        <f t="shared" si="504"/>
        <v>BypassOpenStudio_ab,0,</v>
      </c>
      <c r="BR107" s="31" t="str">
        <f t="shared" si="505"/>
        <v>BypassOpenStudio_zp,0,</v>
      </c>
      <c r="BS107" s="31" t="str">
        <f t="shared" si="506"/>
        <v>BypassOpenStudio_zb,0,</v>
      </c>
      <c r="BT107" s="31" t="str">
        <f t="shared" si="507"/>
        <v>BypassOpenStudio_ap,0,</v>
      </c>
      <c r="BU107" s="31" t="str">
        <f t="shared" si="508"/>
        <v>BypassOpenStudio_ab,0,</v>
      </c>
    </row>
    <row r="108" spans="1:73" hidden="1" outlineLevel="1" x14ac:dyDescent="0.25">
      <c r="A108" s="39">
        <f t="shared" si="475"/>
        <v>0</v>
      </c>
      <c r="B108" s="27" t="str">
        <f t="shared" si="476"/>
        <v>RulesetImplementation2016Tests\x\x.cibd16</v>
      </c>
      <c r="C108" s="27" t="str">
        <f t="shared" si="477"/>
        <v>BatchOut_171026_r5178_FinalRel-v3-SSTSG_RIc\x.cibd16</v>
      </c>
      <c r="D108" s="27" t="str">
        <f t="shared" si="317"/>
        <v>BatchOut_171026_r5178_FinalRel-v3-SSTSG_RIc\XML\</v>
      </c>
      <c r="E108" s="9" t="str">
        <f t="shared" si="478"/>
        <v>x</v>
      </c>
      <c r="F108" s="22"/>
      <c r="G108" s="29"/>
      <c r="H108" s="23"/>
      <c r="I108" s="9" t="s">
        <v>11</v>
      </c>
      <c r="J108" s="87" t="str">
        <f t="shared" si="479"/>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8" s="15" t="s">
        <v>1</v>
      </c>
      <c r="L108" s="36">
        <v>0</v>
      </c>
      <c r="M108" s="91" t="str">
        <f t="shared" si="319"/>
        <v>x</v>
      </c>
      <c r="N108" s="90" t="s">
        <v>149</v>
      </c>
      <c r="O108" s="57" t="str">
        <f t="shared" si="441"/>
        <v>x</v>
      </c>
      <c r="P108" s="63">
        <f t="shared" si="332"/>
        <v>1</v>
      </c>
      <c r="Q108" s="65">
        <f t="shared" si="333"/>
        <v>1</v>
      </c>
      <c r="R108" s="65">
        <f t="shared" si="334"/>
        <v>0</v>
      </c>
      <c r="S108" s="65">
        <f t="shared" si="334"/>
        <v>1</v>
      </c>
      <c r="T108" s="65">
        <f t="shared" si="334"/>
        <v>0</v>
      </c>
      <c r="U108" s="65">
        <f t="shared" si="334"/>
        <v>8</v>
      </c>
      <c r="V108" s="65">
        <f t="shared" si="334"/>
        <v>8</v>
      </c>
      <c r="W108" s="65">
        <f t="shared" si="334"/>
        <v>1</v>
      </c>
      <c r="X108" s="65">
        <f t="shared" si="334"/>
        <v>0</v>
      </c>
      <c r="Y108" s="65">
        <f t="shared" si="334"/>
        <v>0</v>
      </c>
      <c r="Z108" s="65">
        <f t="shared" si="334"/>
        <v>0</v>
      </c>
      <c r="AA108" s="65">
        <f t="shared" si="334"/>
        <v>0</v>
      </c>
      <c r="AB108" s="65">
        <f t="shared" si="334"/>
        <v>1</v>
      </c>
      <c r="AC108" s="65">
        <f t="shared" si="334"/>
        <v>0</v>
      </c>
      <c r="AD108" s="61">
        <f t="shared" si="334"/>
        <v>1</v>
      </c>
      <c r="AE108" s="61">
        <f t="shared" si="334"/>
        <v>0</v>
      </c>
      <c r="AF108" s="61">
        <f t="shared" si="334"/>
        <v>0</v>
      </c>
      <c r="AG108" s="61">
        <f t="shared" si="334"/>
        <v>0</v>
      </c>
      <c r="AH108" s="61">
        <f t="shared" ref="AH108" si="509">AH107</f>
        <v>0</v>
      </c>
      <c r="AI108" s="61">
        <f t="shared" si="474"/>
        <v>0</v>
      </c>
      <c r="AJ108" s="63">
        <f t="shared" si="474"/>
        <v>0</v>
      </c>
      <c r="AK108" s="64">
        <f t="shared" si="474"/>
        <v>0</v>
      </c>
      <c r="AL108" s="64">
        <f t="shared" si="474"/>
        <v>0</v>
      </c>
      <c r="AM108" s="64">
        <f t="shared" si="474"/>
        <v>0</v>
      </c>
      <c r="AN108" s="66">
        <f t="shared" si="474"/>
        <v>0</v>
      </c>
      <c r="AO108" s="63">
        <f t="shared" si="474"/>
        <v>0</v>
      </c>
      <c r="AP108" s="64">
        <f t="shared" si="474"/>
        <v>0</v>
      </c>
      <c r="AQ108" s="65">
        <f t="shared" si="474"/>
        <v>0</v>
      </c>
      <c r="AR108" s="66">
        <f t="shared" si="474"/>
        <v>0</v>
      </c>
      <c r="AS108" s="31" t="str">
        <f t="shared" si="480"/>
        <v>SimulationStorage,1,</v>
      </c>
      <c r="AT108" s="31" t="str">
        <f t="shared" si="481"/>
        <v>AnalysisStorage,1,</v>
      </c>
      <c r="AU108" s="31" t="str">
        <f t="shared" si="482"/>
        <v>LogRuleEvaluation,0,</v>
      </c>
      <c r="AV108" s="31" t="str">
        <f t="shared" si="483"/>
        <v>ParallelSimulations,1,</v>
      </c>
      <c r="AW108" s="31" t="str">
        <f t="shared" si="484"/>
        <v>DurationStats,0,</v>
      </c>
      <c r="AX108" s="31" t="str">
        <f t="shared" si="485"/>
        <v>AnalysisThruStep,8,</v>
      </c>
      <c r="AY108" s="31" t="str">
        <f t="shared" si="486"/>
        <v>DontAbortOnErrorsThruStep,8,</v>
      </c>
      <c r="AZ108" s="31" t="str">
        <f t="shared" si="487"/>
        <v>BypassValidFileChecks,1,</v>
      </c>
      <c r="BA108" s="31" t="str">
        <f t="shared" si="488"/>
        <v>BypassInputChecks,0,</v>
      </c>
      <c r="BB108" s="31" t="str">
        <f t="shared" si="489"/>
        <v>BypassUMLHChecks,0,</v>
      </c>
      <c r="BC108" s="31" t="str">
        <f t="shared" si="490"/>
        <v>BypassCheckSimRules,0,</v>
      </c>
      <c r="BD108" s="31" t="str">
        <f t="shared" si="491"/>
        <v>BypassCheckCodeRules,0,</v>
      </c>
      <c r="BE108" s="31" t="str">
        <f t="shared" si="492"/>
        <v>StoreResultsToModelInput,1,</v>
      </c>
      <c r="BF108" s="31" t="str">
        <f t="shared" si="493"/>
        <v>StoreBEMDetails,0,</v>
      </c>
      <c r="BG108" s="31" t="str">
        <f t="shared" si="494"/>
        <v>ModelRpt_ALL,1,</v>
      </c>
      <c r="BH108" s="31" t="str">
        <f t="shared" si="495"/>
        <v>ExportHourlyResults_All,0,</v>
      </c>
      <c r="BI108" s="31" t="str">
        <f t="shared" si="496"/>
        <v>ComplianceReportPDF,0,</v>
      </c>
      <c r="BJ108" s="31" t="str">
        <f t="shared" si="497"/>
        <v>ComplianceReportXML,0,</v>
      </c>
      <c r="BK108" s="31" t="str">
        <f t="shared" si="498"/>
        <v>QuickAnalysis,0,</v>
      </c>
      <c r="BL108" s="31" t="str">
        <f t="shared" si="499"/>
        <v>PromptUserUMLHWarning,0,</v>
      </c>
      <c r="BM108" s="31" t="str">
        <f t="shared" si="500"/>
        <v>BypassOpenStudio_all,0,</v>
      </c>
      <c r="BN108" s="31" t="str">
        <f t="shared" si="501"/>
        <v>BypassOpenStudio_zp,0,</v>
      </c>
      <c r="BO108" s="31" t="str">
        <f t="shared" si="502"/>
        <v>BypassOpenStudio_zb,0,</v>
      </c>
      <c r="BP108" s="31" t="str">
        <f t="shared" si="503"/>
        <v>BypassOpenStudio_ap,0,</v>
      </c>
      <c r="BQ108" s="31" t="str">
        <f t="shared" si="504"/>
        <v>BypassOpenStudio_ab,0,</v>
      </c>
      <c r="BR108" s="31" t="str">
        <f t="shared" si="505"/>
        <v>BypassOpenStudio_zp,0,</v>
      </c>
      <c r="BS108" s="31" t="str">
        <f t="shared" si="506"/>
        <v>BypassOpenStudio_zb,0,</v>
      </c>
      <c r="BT108" s="31" t="str">
        <f t="shared" si="507"/>
        <v>BypassOpenStudio_ap,0,</v>
      </c>
      <c r="BU108" s="31" t="str">
        <f t="shared" si="508"/>
        <v>BypassOpenStudio_ab,0,</v>
      </c>
    </row>
    <row r="109" spans="1:73" collapsed="1" x14ac:dyDescent="0.25">
      <c r="A109" s="1" t="s">
        <v>1</v>
      </c>
      <c r="K109" s="15" t="s">
        <v>1</v>
      </c>
    </row>
    <row r="110" spans="1:73" x14ac:dyDescent="0.25">
      <c r="A110" s="1" t="s">
        <v>1</v>
      </c>
      <c r="B110"/>
      <c r="C110"/>
      <c r="D110" s="30"/>
      <c r="E110" s="16"/>
      <c r="F110" s="16"/>
      <c r="G110" s="16"/>
      <c r="H110" s="16"/>
      <c r="K110" s="15" t="s">
        <v>1</v>
      </c>
      <c r="L110" s="36" t="s">
        <v>161</v>
      </c>
      <c r="M110" t="s">
        <v>150</v>
      </c>
    </row>
    <row r="111" spans="1:73" x14ac:dyDescent="0.25">
      <c r="A111" s="1" t="s">
        <v>1</v>
      </c>
      <c r="B111"/>
      <c r="C111"/>
      <c r="D111" s="30"/>
      <c r="K111" s="15" t="s">
        <v>1</v>
      </c>
      <c r="L111" s="37" t="s">
        <v>45</v>
      </c>
      <c r="M111" s="53">
        <f>$M$7</f>
        <v>171026</v>
      </c>
      <c r="N111" s="1">
        <f>SUM(L118:L255)</f>
        <v>0</v>
      </c>
    </row>
    <row r="112" spans="1:73" x14ac:dyDescent="0.25">
      <c r="A112" s="1" t="s">
        <v>1</v>
      </c>
      <c r="B112"/>
      <c r="C112"/>
      <c r="D112" s="30"/>
      <c r="K112" s="15" t="s">
        <v>1</v>
      </c>
      <c r="L112" s="14" t="s">
        <v>46</v>
      </c>
      <c r="M112" s="53" t="str">
        <f>$M$8</f>
        <v>r5178_FinalRel-v3-SSTSG</v>
      </c>
      <c r="N112" s="52"/>
    </row>
    <row r="113" spans="1:73" x14ac:dyDescent="0.25">
      <c r="A113" s="1" t="s">
        <v>1</v>
      </c>
      <c r="B113"/>
      <c r="C113"/>
      <c r="D113" s="30"/>
      <c r="E113" s="30"/>
      <c r="F113" s="30"/>
      <c r="G113" s="30"/>
      <c r="H113" s="30"/>
      <c r="I113" s="26"/>
      <c r="K113" s="15" t="s">
        <v>1</v>
      </c>
      <c r="L113" s="35" t="s">
        <v>39</v>
      </c>
      <c r="M113" s="53" t="str">
        <f>$M$10</f>
        <v>BatchResults_171026_r5178_FinalRel-v3-SSTSG.csv</v>
      </c>
      <c r="N113" s="1" t="s">
        <v>48</v>
      </c>
    </row>
    <row r="114" spans="1:73" x14ac:dyDescent="0.25">
      <c r="A114" s="1" t="s">
        <v>1</v>
      </c>
      <c r="B114"/>
      <c r="C114"/>
      <c r="K114" s="15" t="s">
        <v>1</v>
      </c>
      <c r="L114" s="14" t="s">
        <v>16</v>
      </c>
      <c r="M114" s="28" t="s">
        <v>232</v>
      </c>
      <c r="N114" s="1" t="s">
        <v>47</v>
      </c>
      <c r="AJ114" s="95"/>
      <c r="AK114" s="95"/>
      <c r="AL114" s="95"/>
      <c r="AM114" s="95"/>
      <c r="AN114" s="95"/>
      <c r="AO114" s="95"/>
      <c r="AP114" s="95"/>
      <c r="AQ114" s="95"/>
      <c r="AR114" s="95"/>
    </row>
    <row r="115" spans="1:73" x14ac:dyDescent="0.25">
      <c r="A115" s="1" t="s">
        <v>1</v>
      </c>
      <c r="K115" s="15" t="s">
        <v>1</v>
      </c>
      <c r="L115" s="14" t="s">
        <v>17</v>
      </c>
      <c r="M115" s="54" t="str">
        <f>"BatchOut"&amp;"_"&amp;M111&amp;"_"&amp;M112&amp;"_"&amp;L110&amp;"\"</f>
        <v>BatchOut_171026_r5178_FinalRel-v3-SSTSG_SSTDG\</v>
      </c>
      <c r="N115" s="1" t="s">
        <v>47</v>
      </c>
    </row>
    <row r="116" spans="1:73" x14ac:dyDescent="0.25">
      <c r="A116" s="1" t="s">
        <v>1</v>
      </c>
      <c r="K116" s="15" t="s">
        <v>1</v>
      </c>
      <c r="L116" s="14" t="s">
        <v>42</v>
      </c>
      <c r="M116" s="54" t="str">
        <f>M115&amp;"XML\"</f>
        <v>BatchOut_171026_r5178_FinalRel-v3-SSTSG_SSTDG\XML\</v>
      </c>
      <c r="N116" s="1" t="s">
        <v>47</v>
      </c>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row>
    <row r="117" spans="1:73" x14ac:dyDescent="0.25">
      <c r="A117" s="11" t="s">
        <v>14</v>
      </c>
      <c r="B117" s="7" t="s">
        <v>6</v>
      </c>
      <c r="C117" s="7" t="s">
        <v>7</v>
      </c>
      <c r="D117" s="7" t="s">
        <v>40</v>
      </c>
      <c r="E117" s="7"/>
      <c r="F117" s="17" t="s">
        <v>21</v>
      </c>
      <c r="G117" s="7"/>
      <c r="H117" s="18"/>
      <c r="I117" s="7" t="s">
        <v>9</v>
      </c>
      <c r="J117" s="85" t="s">
        <v>12</v>
      </c>
      <c r="K117" s="15" t="s">
        <v>1</v>
      </c>
      <c r="L117" s="14"/>
      <c r="N117" s="51"/>
      <c r="O117" s="51"/>
      <c r="P117" s="55"/>
      <c r="Q117"/>
      <c r="R117"/>
      <c r="S117"/>
      <c r="T117"/>
      <c r="U117"/>
      <c r="V117"/>
      <c r="W117"/>
      <c r="X117"/>
      <c r="Y117"/>
      <c r="Z117"/>
      <c r="AA117"/>
      <c r="AB117"/>
      <c r="AC117"/>
      <c r="AD117"/>
      <c r="AE117"/>
      <c r="AF117"/>
      <c r="AG117"/>
      <c r="AH117"/>
      <c r="AI117"/>
      <c r="AJ117"/>
      <c r="AK117"/>
      <c r="AL117"/>
      <c r="AM117"/>
      <c r="AN117"/>
      <c r="AO117"/>
      <c r="AP117"/>
      <c r="AQ117"/>
      <c r="AR117"/>
      <c r="AS117"/>
    </row>
    <row r="118" spans="1:73" x14ac:dyDescent="0.25">
      <c r="A118" s="39">
        <f t="shared" ref="A118" si="510">L118</f>
        <v>0</v>
      </c>
      <c r="B118" s="27" t="str">
        <f>M$114&amp;N118&amp;".cibd16"</f>
        <v>SoftwareSensitivity2016Tests\DetailedGeometry\x.cibd16</v>
      </c>
      <c r="C118" s="27" t="str">
        <f xml:space="preserve"> M$115 &amp; O118 &amp; ".cibd16"</f>
        <v>BatchOut_171026_r5178_FinalRel-v3-SSTSG_SSTDG\x.cibd16</v>
      </c>
      <c r="D118" s="27" t="str">
        <f>$M$116</f>
        <v>BatchOut_171026_r5178_FinalRel-v3-SSTSG_SSTDG\XML\</v>
      </c>
      <c r="E118" s="9" t="str">
        <f>M118</f>
        <v>x</v>
      </c>
      <c r="F118" s="22"/>
      <c r="G118" s="29"/>
      <c r="H118" s="23" t="str">
        <f>IF(F118&gt;1,1,"")</f>
        <v/>
      </c>
      <c r="I118" s="9" t="s">
        <v>11</v>
      </c>
      <c r="J118" s="87" t="str">
        <f t="shared" ref="J118:J181" si="511">CONCATENATE(AS118,AT118,AU118,AV118,AW118,AX118,AY118,AZ118,BA118,BB118,BC118,BD118,BE118,BF118,BG118,BH118,BI118,BJ118,BK118,BL118,BM118,BN118,BO118,BP118,BQ118,BR118,BS118,BT118,BU118)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8" s="15" t="s">
        <v>1</v>
      </c>
      <c r="L118" s="36">
        <v>0</v>
      </c>
      <c r="M118" s="32" t="str">
        <f>N118</f>
        <v>x</v>
      </c>
      <c r="N118" s="90" t="s">
        <v>149</v>
      </c>
      <c r="O118" s="28" t="str">
        <f t="shared" ref="O118:O119" si="512">N118</f>
        <v>x</v>
      </c>
      <c r="P118" s="36">
        <f>P$17</f>
        <v>1</v>
      </c>
      <c r="Q118" s="36">
        <f t="shared" ref="Q118:AR118" si="513">Q$17</f>
        <v>1</v>
      </c>
      <c r="R118" s="36">
        <f t="shared" si="513"/>
        <v>0</v>
      </c>
      <c r="S118" s="36">
        <f t="shared" si="513"/>
        <v>1</v>
      </c>
      <c r="T118" s="36">
        <f t="shared" si="513"/>
        <v>0</v>
      </c>
      <c r="U118" s="36">
        <f t="shared" si="513"/>
        <v>8</v>
      </c>
      <c r="V118" s="36">
        <f t="shared" si="513"/>
        <v>8</v>
      </c>
      <c r="W118" s="36">
        <f t="shared" si="513"/>
        <v>1</v>
      </c>
      <c r="X118" s="36">
        <f t="shared" si="513"/>
        <v>0</v>
      </c>
      <c r="Y118" s="36">
        <f t="shared" si="513"/>
        <v>0</v>
      </c>
      <c r="Z118" s="36">
        <f t="shared" si="513"/>
        <v>0</v>
      </c>
      <c r="AA118" s="36">
        <f t="shared" si="513"/>
        <v>0</v>
      </c>
      <c r="AB118" s="36">
        <f t="shared" si="513"/>
        <v>1</v>
      </c>
      <c r="AC118" s="36">
        <f t="shared" si="513"/>
        <v>0</v>
      </c>
      <c r="AD118" s="36">
        <f t="shared" si="513"/>
        <v>1</v>
      </c>
      <c r="AE118" s="36">
        <f t="shared" si="513"/>
        <v>0</v>
      </c>
      <c r="AF118" s="36">
        <f t="shared" si="513"/>
        <v>0</v>
      </c>
      <c r="AG118" s="36">
        <f t="shared" si="513"/>
        <v>0</v>
      </c>
      <c r="AH118" s="36">
        <f t="shared" si="513"/>
        <v>0</v>
      </c>
      <c r="AI118" s="36">
        <f t="shared" si="513"/>
        <v>0</v>
      </c>
      <c r="AJ118" s="36">
        <f t="shared" si="513"/>
        <v>0</v>
      </c>
      <c r="AK118" s="36">
        <f t="shared" si="513"/>
        <v>0</v>
      </c>
      <c r="AL118" s="36">
        <f t="shared" si="513"/>
        <v>0</v>
      </c>
      <c r="AM118" s="36">
        <f t="shared" si="513"/>
        <v>0</v>
      </c>
      <c r="AN118" s="36">
        <f t="shared" si="513"/>
        <v>0</v>
      </c>
      <c r="AO118" s="36">
        <f t="shared" si="513"/>
        <v>0</v>
      </c>
      <c r="AP118" s="36">
        <f t="shared" si="513"/>
        <v>0</v>
      </c>
      <c r="AQ118" s="36">
        <f t="shared" si="513"/>
        <v>0</v>
      </c>
      <c r="AR118" s="36">
        <f t="shared" si="513"/>
        <v>0</v>
      </c>
      <c r="AS118" s="31" t="str">
        <f t="shared" ref="AS118:AS119" si="514">P$13&amp;P118&amp;","</f>
        <v>SimulationStorage,1,</v>
      </c>
      <c r="AT118" s="31" t="str">
        <f t="shared" ref="AT118:AT119" si="515">Q$13&amp;Q118&amp;","</f>
        <v>AnalysisStorage,1,</v>
      </c>
      <c r="AU118" s="31" t="str">
        <f t="shared" ref="AU118:AU119" si="516">R$13&amp;R118&amp;","</f>
        <v>LogRuleEvaluation,0,</v>
      </c>
      <c r="AV118" s="31" t="str">
        <f t="shared" ref="AV118:AV119" si="517">S$13&amp;S118&amp;","</f>
        <v>ParallelSimulations,1,</v>
      </c>
      <c r="AW118" s="31" t="str">
        <f t="shared" ref="AW118:AW119" si="518">T$13&amp;T118&amp;","</f>
        <v>DurationStats,0,</v>
      </c>
      <c r="AX118" s="31" t="str">
        <f t="shared" ref="AX118:AX119" si="519">U$13&amp;U118&amp;","</f>
        <v>AnalysisThruStep,8,</v>
      </c>
      <c r="AY118" s="31" t="str">
        <f t="shared" ref="AY118:AY119" si="520">V$13&amp;V118&amp;","</f>
        <v>DontAbortOnErrorsThruStep,8,</v>
      </c>
      <c r="AZ118" s="31" t="str">
        <f t="shared" ref="AZ118:AZ119" si="521">W$13&amp;W118&amp;","</f>
        <v>BypassValidFileChecks,1,</v>
      </c>
      <c r="BA118" s="31" t="str">
        <f t="shared" ref="BA118:BA119" si="522">X$13&amp;X118&amp;","</f>
        <v>BypassInputChecks,0,</v>
      </c>
      <c r="BB118" s="31" t="str">
        <f t="shared" ref="BB118:BB119" si="523">Y$13&amp;Y118&amp;","</f>
        <v>BypassUMLHChecks,0,</v>
      </c>
      <c r="BC118" s="31" t="str">
        <f t="shared" ref="BC118:BC119" si="524">Z$13&amp;Z118&amp;","</f>
        <v>BypassCheckSimRules,0,</v>
      </c>
      <c r="BD118" s="31" t="str">
        <f t="shared" ref="BD118:BD119" si="525">AA$13&amp;AA118&amp;","</f>
        <v>BypassCheckCodeRules,0,</v>
      </c>
      <c r="BE118" s="31" t="str">
        <f t="shared" ref="BE118:BE181" si="526">AB$13&amp;AB118&amp;","</f>
        <v>StoreResultsToModelInput,1,</v>
      </c>
      <c r="BF118" s="31" t="str">
        <f t="shared" ref="BF118:BF181" si="527">AC$13&amp;AC118&amp;","</f>
        <v>StoreBEMDetails,0,</v>
      </c>
      <c r="BG118" s="31" t="str">
        <f t="shared" ref="BG118:BG181" si="528">AD$13&amp;AD118&amp;","</f>
        <v>ModelRpt_ALL,1,</v>
      </c>
      <c r="BH118" s="31" t="str">
        <f t="shared" ref="BH118:BH181" si="529">AE$13&amp;AE118&amp;","</f>
        <v>ExportHourlyResults_All,0,</v>
      </c>
      <c r="BI118" s="31" t="str">
        <f t="shared" ref="BI118:BI181" si="530">AF$13&amp;AF118&amp;","</f>
        <v>ComplianceReportPDF,0,</v>
      </c>
      <c r="BJ118" s="31" t="str">
        <f t="shared" ref="BJ118:BJ181" si="531">AG$13&amp;AG118&amp;","</f>
        <v>ComplianceReportXML,0,</v>
      </c>
      <c r="BK118" s="31" t="str">
        <f t="shared" ref="BK118:BL181" si="532">AH$13&amp;AH118&amp;","</f>
        <v>QuickAnalysis,0,</v>
      </c>
      <c r="BL118" s="31" t="str">
        <f t="shared" si="532"/>
        <v>PromptUserUMLHWarning,0,</v>
      </c>
      <c r="BM118" s="31" t="str">
        <f t="shared" ref="BM118:BM181" si="533">AJ$13&amp;AJ118&amp;","</f>
        <v>BypassOpenStudio_all,0,</v>
      </c>
      <c r="BN118" s="31" t="str">
        <f t="shared" ref="BN118:BN181" si="534">AK$13&amp;AK118&amp;","</f>
        <v>BypassOpenStudio_zp,0,</v>
      </c>
      <c r="BO118" s="31" t="str">
        <f t="shared" ref="BO118:BO181" si="535">AL$13&amp;AL118&amp;","</f>
        <v>BypassOpenStudio_zb,0,</v>
      </c>
      <c r="BP118" s="31" t="str">
        <f t="shared" ref="BP118:BP181" si="536">AM$13&amp;AM118&amp;","</f>
        <v>BypassOpenStudio_ap,0,</v>
      </c>
      <c r="BQ118" s="31" t="str">
        <f t="shared" ref="BQ118:BQ181" si="537">AN$13&amp;AN118&amp;","</f>
        <v>BypassOpenStudio_ab,0,</v>
      </c>
      <c r="BR118" s="31" t="str">
        <f t="shared" ref="BR118:BR181" si="538">AO$13&amp;AO118&amp;","</f>
        <v>BypassOpenStudio_zp,0,</v>
      </c>
      <c r="BS118" s="31" t="str">
        <f t="shared" ref="BS118:BS181" si="539">AP$13&amp;AP118&amp;","</f>
        <v>BypassOpenStudio_zb,0,</v>
      </c>
      <c r="BT118" s="31" t="str">
        <f t="shared" ref="BT118:BT181" si="540">AQ$13&amp;AQ118&amp;","</f>
        <v>BypassOpenStudio_ap,0,</v>
      </c>
      <c r="BU118" s="31" t="str">
        <f t="shared" ref="BU118:BU181" si="541">AR$13&amp;AR118&amp;","</f>
        <v>BypassOpenStudio_ab,0,</v>
      </c>
    </row>
    <row r="119" spans="1:73" hidden="1" outlineLevel="1" x14ac:dyDescent="0.25">
      <c r="A119" s="39">
        <f t="shared" ref="A119:A182" si="542">L119</f>
        <v>0</v>
      </c>
      <c r="B119" s="27" t="str">
        <f t="shared" ref="B119:B182" si="543">M$114&amp;N119&amp;".cibd16"</f>
        <v>SoftwareSensitivity2016Tests\DetailedGeometry\x.cibd16</v>
      </c>
      <c r="C119" s="27" t="str">
        <f t="shared" ref="C119:C182" si="544" xml:space="preserve"> M$115 &amp; O119 &amp; ".cibd16"</f>
        <v>BatchOut_171026_r5178_FinalRel-v3-SSTSG_SSTDG\x.cibd16</v>
      </c>
      <c r="D119" s="27" t="str">
        <f t="shared" ref="D119:D182" si="545">$M$116</f>
        <v>BatchOut_171026_r5178_FinalRel-v3-SSTSG_SSTDG\XML\</v>
      </c>
      <c r="E119" s="9" t="str">
        <f t="shared" ref="E119:E182" si="546">M119</f>
        <v>x</v>
      </c>
      <c r="F119" s="22"/>
      <c r="G119" s="29"/>
      <c r="H119" s="23" t="str">
        <f t="shared" ref="H119:H182" si="547">IF(F119&gt;1,1,"")</f>
        <v/>
      </c>
      <c r="I119" s="9" t="s">
        <v>11</v>
      </c>
      <c r="J11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9" s="15" t="s">
        <v>1</v>
      </c>
      <c r="L119" s="36">
        <f>L118</f>
        <v>0</v>
      </c>
      <c r="M119" s="91" t="str">
        <f t="shared" ref="M119:M182" si="548">N119</f>
        <v>x</v>
      </c>
      <c r="N119" s="90" t="s">
        <v>149</v>
      </c>
      <c r="O119" s="28" t="str">
        <f t="shared" si="512"/>
        <v>x</v>
      </c>
      <c r="P119" s="36">
        <f>P118</f>
        <v>1</v>
      </c>
      <c r="Q119" s="36">
        <f t="shared" ref="Q119:AB143" si="549">Q118</f>
        <v>1</v>
      </c>
      <c r="R119" s="36">
        <f t="shared" ref="R119:AB142" si="550">R118</f>
        <v>0</v>
      </c>
      <c r="S119" s="36">
        <f t="shared" ref="S119:AB141" si="551">S118</f>
        <v>1</v>
      </c>
      <c r="T119" s="36">
        <f t="shared" ref="T119:AB140" si="552">T118</f>
        <v>0</v>
      </c>
      <c r="U119" s="36">
        <f t="shared" ref="U119:AB139" si="553">U118</f>
        <v>8</v>
      </c>
      <c r="V119" s="36">
        <f t="shared" ref="V119:AB138" si="554">V118</f>
        <v>8</v>
      </c>
      <c r="W119" s="36">
        <f t="shared" ref="W119:AB137" si="555">W118</f>
        <v>1</v>
      </c>
      <c r="X119" s="36">
        <f t="shared" ref="X119:AB136" si="556">X118</f>
        <v>0</v>
      </c>
      <c r="Y119" s="36">
        <f t="shared" ref="Y119:AB135" si="557">Y118</f>
        <v>0</v>
      </c>
      <c r="Z119" s="36">
        <f t="shared" ref="Z119:AB134" si="558">Z118</f>
        <v>0</v>
      </c>
      <c r="AA119" s="36">
        <f t="shared" ref="AA119:AB119" si="559">AA118</f>
        <v>0</v>
      </c>
      <c r="AB119" s="36">
        <f t="shared" si="559"/>
        <v>1</v>
      </c>
      <c r="AC119" s="36">
        <f t="shared" ref="AC119:AC182" si="560">AC118</f>
        <v>0</v>
      </c>
      <c r="AD119" s="36">
        <f t="shared" ref="AD119:AE182" si="561">AD118</f>
        <v>1</v>
      </c>
      <c r="AE119" s="36">
        <f t="shared" si="561"/>
        <v>0</v>
      </c>
      <c r="AF119" s="36">
        <f t="shared" ref="AF119:AG119" si="562">AF118</f>
        <v>0</v>
      </c>
      <c r="AG119" s="36">
        <f t="shared" si="562"/>
        <v>0</v>
      </c>
      <c r="AH119" s="36">
        <f t="shared" ref="AH119:AI119" si="563">AH118</f>
        <v>0</v>
      </c>
      <c r="AI119" s="36">
        <f t="shared" si="563"/>
        <v>0</v>
      </c>
      <c r="AJ119" s="36">
        <f t="shared" ref="AJ119:AJ182" si="564">AJ118</f>
        <v>0</v>
      </c>
      <c r="AK119" s="36">
        <f t="shared" ref="AK119:AK182" si="565">AK118</f>
        <v>0</v>
      </c>
      <c r="AL119" s="36">
        <f t="shared" ref="AL119:AL182" si="566">AL118</f>
        <v>0</v>
      </c>
      <c r="AM119" s="36">
        <f t="shared" ref="AM119:AM182" si="567">AM118</f>
        <v>0</v>
      </c>
      <c r="AN119" s="36">
        <f t="shared" ref="AN119:AN182" si="568">AN118</f>
        <v>0</v>
      </c>
      <c r="AO119" s="36">
        <f t="shared" ref="AO119:AO182" si="569">AO118</f>
        <v>0</v>
      </c>
      <c r="AP119" s="36">
        <f t="shared" ref="AP119:AP182" si="570">AP118</f>
        <v>0</v>
      </c>
      <c r="AQ119" s="36">
        <f t="shared" ref="AQ119:AQ182" si="571">AQ118</f>
        <v>0</v>
      </c>
      <c r="AR119" s="36">
        <f t="shared" ref="AR119:AR182" si="572">AR118</f>
        <v>0</v>
      </c>
      <c r="AS119" s="31" t="str">
        <f t="shared" si="514"/>
        <v>SimulationStorage,1,</v>
      </c>
      <c r="AT119" s="31" t="str">
        <f t="shared" si="515"/>
        <v>AnalysisStorage,1,</v>
      </c>
      <c r="AU119" s="31" t="str">
        <f t="shared" si="516"/>
        <v>LogRuleEvaluation,0,</v>
      </c>
      <c r="AV119" s="31" t="str">
        <f t="shared" si="517"/>
        <v>ParallelSimulations,1,</v>
      </c>
      <c r="AW119" s="31" t="str">
        <f t="shared" si="518"/>
        <v>DurationStats,0,</v>
      </c>
      <c r="AX119" s="31" t="str">
        <f t="shared" si="519"/>
        <v>AnalysisThruStep,8,</v>
      </c>
      <c r="AY119" s="31" t="str">
        <f t="shared" si="520"/>
        <v>DontAbortOnErrorsThruStep,8,</v>
      </c>
      <c r="AZ119" s="31" t="str">
        <f t="shared" si="521"/>
        <v>BypassValidFileChecks,1,</v>
      </c>
      <c r="BA119" s="31" t="str">
        <f t="shared" si="522"/>
        <v>BypassInputChecks,0,</v>
      </c>
      <c r="BB119" s="31" t="str">
        <f t="shared" si="523"/>
        <v>BypassUMLHChecks,0,</v>
      </c>
      <c r="BC119" s="31" t="str">
        <f t="shared" si="524"/>
        <v>BypassCheckSimRules,0,</v>
      </c>
      <c r="BD119" s="31" t="str">
        <f t="shared" si="525"/>
        <v>BypassCheckCodeRules,0,</v>
      </c>
      <c r="BE119" s="31" t="str">
        <f t="shared" si="526"/>
        <v>StoreResultsToModelInput,1,</v>
      </c>
      <c r="BF119" s="31" t="str">
        <f t="shared" si="527"/>
        <v>StoreBEMDetails,0,</v>
      </c>
      <c r="BG119" s="31" t="str">
        <f t="shared" si="528"/>
        <v>ModelRpt_ALL,1,</v>
      </c>
      <c r="BH119" s="31" t="str">
        <f t="shared" si="529"/>
        <v>ExportHourlyResults_All,0,</v>
      </c>
      <c r="BI119" s="31" t="str">
        <f t="shared" si="530"/>
        <v>ComplianceReportPDF,0,</v>
      </c>
      <c r="BJ119" s="31" t="str">
        <f t="shared" si="531"/>
        <v>ComplianceReportXML,0,</v>
      </c>
      <c r="BK119" s="31" t="str">
        <f t="shared" si="532"/>
        <v>QuickAnalysis,0,</v>
      </c>
      <c r="BL119" s="31" t="str">
        <f t="shared" si="532"/>
        <v>PromptUserUMLHWarning,0,</v>
      </c>
      <c r="BM119" s="31" t="str">
        <f t="shared" si="533"/>
        <v>BypassOpenStudio_all,0,</v>
      </c>
      <c r="BN119" s="31" t="str">
        <f t="shared" si="534"/>
        <v>BypassOpenStudio_zp,0,</v>
      </c>
      <c r="BO119" s="31" t="str">
        <f t="shared" si="535"/>
        <v>BypassOpenStudio_zb,0,</v>
      </c>
      <c r="BP119" s="31" t="str">
        <f t="shared" si="536"/>
        <v>BypassOpenStudio_ap,0,</v>
      </c>
      <c r="BQ119" s="31" t="str">
        <f t="shared" si="537"/>
        <v>BypassOpenStudio_ab,0,</v>
      </c>
      <c r="BR119" s="31" t="str">
        <f t="shared" si="538"/>
        <v>BypassOpenStudio_zp,0,</v>
      </c>
      <c r="BS119" s="31" t="str">
        <f t="shared" si="539"/>
        <v>BypassOpenStudio_zb,0,</v>
      </c>
      <c r="BT119" s="31" t="str">
        <f t="shared" si="540"/>
        <v>BypassOpenStudio_ap,0,</v>
      </c>
      <c r="BU119" s="31" t="str">
        <f t="shared" si="541"/>
        <v>BypassOpenStudio_ab,0,</v>
      </c>
    </row>
    <row r="120" spans="1:73" hidden="1" outlineLevel="1" x14ac:dyDescent="0.25">
      <c r="A120" s="39">
        <f t="shared" si="542"/>
        <v>0</v>
      </c>
      <c r="B120" s="27" t="str">
        <f t="shared" si="543"/>
        <v>SoftwareSensitivity2016Tests\DetailedGeometry\x.cibd16</v>
      </c>
      <c r="C120" s="27" t="str">
        <f t="shared" si="544"/>
        <v>BatchOut_171026_r5178_FinalRel-v3-SSTSG_SSTDG\x.cibd16</v>
      </c>
      <c r="D120" s="27" t="str">
        <f t="shared" si="545"/>
        <v>BatchOut_171026_r5178_FinalRel-v3-SSTSG_SSTDG\XML\</v>
      </c>
      <c r="E120" s="9" t="str">
        <f t="shared" si="546"/>
        <v>x</v>
      </c>
      <c r="F120" s="22"/>
      <c r="G120" s="29"/>
      <c r="H120" s="23" t="str">
        <f t="shared" si="547"/>
        <v/>
      </c>
      <c r="I120" s="9" t="s">
        <v>11</v>
      </c>
      <c r="J12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0" s="15" t="s">
        <v>1</v>
      </c>
      <c r="L120" s="36">
        <f t="shared" ref="L120:L183" si="573">L119</f>
        <v>0</v>
      </c>
      <c r="M120" s="91" t="str">
        <f t="shared" si="548"/>
        <v>x</v>
      </c>
      <c r="N120" s="90" t="s">
        <v>149</v>
      </c>
      <c r="O120" s="28" t="str">
        <f t="shared" ref="O120:O183" si="574">N120</f>
        <v>x</v>
      </c>
      <c r="P120" s="36">
        <f t="shared" ref="P120:AB151" si="575">P119</f>
        <v>1</v>
      </c>
      <c r="Q120" s="36">
        <f t="shared" si="549"/>
        <v>1</v>
      </c>
      <c r="R120" s="36">
        <f t="shared" si="550"/>
        <v>0</v>
      </c>
      <c r="S120" s="36">
        <f t="shared" si="551"/>
        <v>1</v>
      </c>
      <c r="T120" s="36">
        <f t="shared" si="552"/>
        <v>0</v>
      </c>
      <c r="U120" s="36">
        <f t="shared" si="553"/>
        <v>8</v>
      </c>
      <c r="V120" s="36">
        <f t="shared" si="554"/>
        <v>8</v>
      </c>
      <c r="W120" s="36">
        <f t="shared" si="555"/>
        <v>1</v>
      </c>
      <c r="X120" s="36">
        <f t="shared" si="556"/>
        <v>0</v>
      </c>
      <c r="Y120" s="36">
        <f t="shared" si="557"/>
        <v>0</v>
      </c>
      <c r="Z120" s="36">
        <f t="shared" si="558"/>
        <v>0</v>
      </c>
      <c r="AA120" s="36">
        <f t="shared" si="558"/>
        <v>0</v>
      </c>
      <c r="AB120" s="36">
        <f t="shared" si="558"/>
        <v>1</v>
      </c>
      <c r="AC120" s="36">
        <f t="shared" si="560"/>
        <v>0</v>
      </c>
      <c r="AD120" s="36">
        <f t="shared" si="561"/>
        <v>1</v>
      </c>
      <c r="AE120" s="36">
        <f t="shared" si="561"/>
        <v>0</v>
      </c>
      <c r="AF120" s="36">
        <f t="shared" ref="AF120:AG120" si="576">AF119</f>
        <v>0</v>
      </c>
      <c r="AG120" s="36">
        <f t="shared" si="576"/>
        <v>0</v>
      </c>
      <c r="AH120" s="36">
        <f t="shared" ref="AH120:AI120" si="577">AH119</f>
        <v>0</v>
      </c>
      <c r="AI120" s="36">
        <f t="shared" si="577"/>
        <v>0</v>
      </c>
      <c r="AJ120" s="36">
        <f t="shared" si="564"/>
        <v>0</v>
      </c>
      <c r="AK120" s="36">
        <f t="shared" si="565"/>
        <v>0</v>
      </c>
      <c r="AL120" s="36">
        <f t="shared" si="566"/>
        <v>0</v>
      </c>
      <c r="AM120" s="36">
        <f t="shared" si="567"/>
        <v>0</v>
      </c>
      <c r="AN120" s="36">
        <f t="shared" si="568"/>
        <v>0</v>
      </c>
      <c r="AO120" s="36">
        <f t="shared" si="569"/>
        <v>0</v>
      </c>
      <c r="AP120" s="36">
        <f t="shared" si="570"/>
        <v>0</v>
      </c>
      <c r="AQ120" s="36">
        <f t="shared" si="571"/>
        <v>0</v>
      </c>
      <c r="AR120" s="36">
        <f t="shared" si="572"/>
        <v>0</v>
      </c>
      <c r="AS120" s="31" t="str">
        <f t="shared" ref="AS120:AS183" si="578">P$13&amp;P120&amp;","</f>
        <v>SimulationStorage,1,</v>
      </c>
      <c r="AT120" s="31" t="str">
        <f t="shared" ref="AT120:AT183" si="579">Q$13&amp;Q120&amp;","</f>
        <v>AnalysisStorage,1,</v>
      </c>
      <c r="AU120" s="31" t="str">
        <f t="shared" ref="AU120:AU183" si="580">R$13&amp;R120&amp;","</f>
        <v>LogRuleEvaluation,0,</v>
      </c>
      <c r="AV120" s="31" t="str">
        <f t="shared" ref="AV120:AV183" si="581">S$13&amp;S120&amp;","</f>
        <v>ParallelSimulations,1,</v>
      </c>
      <c r="AW120" s="31" t="str">
        <f t="shared" ref="AW120:AW183" si="582">T$13&amp;T120&amp;","</f>
        <v>DurationStats,0,</v>
      </c>
      <c r="AX120" s="31" t="str">
        <f t="shared" ref="AX120:AX183" si="583">U$13&amp;U120&amp;","</f>
        <v>AnalysisThruStep,8,</v>
      </c>
      <c r="AY120" s="31" t="str">
        <f t="shared" ref="AY120:AY183" si="584">V$13&amp;V120&amp;","</f>
        <v>DontAbortOnErrorsThruStep,8,</v>
      </c>
      <c r="AZ120" s="31" t="str">
        <f t="shared" ref="AZ120:AZ183" si="585">W$13&amp;W120&amp;","</f>
        <v>BypassValidFileChecks,1,</v>
      </c>
      <c r="BA120" s="31" t="str">
        <f t="shared" ref="BA120:BA183" si="586">X$13&amp;X120&amp;","</f>
        <v>BypassInputChecks,0,</v>
      </c>
      <c r="BB120" s="31" t="str">
        <f t="shared" ref="BB120:BB183" si="587">Y$13&amp;Y120&amp;","</f>
        <v>BypassUMLHChecks,0,</v>
      </c>
      <c r="BC120" s="31" t="str">
        <f t="shared" ref="BC120:BC183" si="588">Z$13&amp;Z120&amp;","</f>
        <v>BypassCheckSimRules,0,</v>
      </c>
      <c r="BD120" s="31" t="str">
        <f t="shared" ref="BD120:BD183" si="589">AA$13&amp;AA120&amp;","</f>
        <v>BypassCheckCodeRules,0,</v>
      </c>
      <c r="BE120" s="31" t="str">
        <f t="shared" si="526"/>
        <v>StoreResultsToModelInput,1,</v>
      </c>
      <c r="BF120" s="31" t="str">
        <f t="shared" si="527"/>
        <v>StoreBEMDetails,0,</v>
      </c>
      <c r="BG120" s="31" t="str">
        <f t="shared" si="528"/>
        <v>ModelRpt_ALL,1,</v>
      </c>
      <c r="BH120" s="31" t="str">
        <f t="shared" si="529"/>
        <v>ExportHourlyResults_All,0,</v>
      </c>
      <c r="BI120" s="31" t="str">
        <f t="shared" si="530"/>
        <v>ComplianceReportPDF,0,</v>
      </c>
      <c r="BJ120" s="31" t="str">
        <f t="shared" si="531"/>
        <v>ComplianceReportXML,0,</v>
      </c>
      <c r="BK120" s="31" t="str">
        <f t="shared" si="532"/>
        <v>QuickAnalysis,0,</v>
      </c>
      <c r="BL120" s="31" t="str">
        <f t="shared" si="532"/>
        <v>PromptUserUMLHWarning,0,</v>
      </c>
      <c r="BM120" s="31" t="str">
        <f t="shared" si="533"/>
        <v>BypassOpenStudio_all,0,</v>
      </c>
      <c r="BN120" s="31" t="str">
        <f t="shared" si="534"/>
        <v>BypassOpenStudio_zp,0,</v>
      </c>
      <c r="BO120" s="31" t="str">
        <f t="shared" si="535"/>
        <v>BypassOpenStudio_zb,0,</v>
      </c>
      <c r="BP120" s="31" t="str">
        <f t="shared" si="536"/>
        <v>BypassOpenStudio_ap,0,</v>
      </c>
      <c r="BQ120" s="31" t="str">
        <f t="shared" si="537"/>
        <v>BypassOpenStudio_ab,0,</v>
      </c>
      <c r="BR120" s="31" t="str">
        <f t="shared" si="538"/>
        <v>BypassOpenStudio_zp,0,</v>
      </c>
      <c r="BS120" s="31" t="str">
        <f t="shared" si="539"/>
        <v>BypassOpenStudio_zb,0,</v>
      </c>
      <c r="BT120" s="31" t="str">
        <f t="shared" si="540"/>
        <v>BypassOpenStudio_ap,0,</v>
      </c>
      <c r="BU120" s="31" t="str">
        <f t="shared" si="541"/>
        <v>BypassOpenStudio_ab,0,</v>
      </c>
    </row>
    <row r="121" spans="1:73" hidden="1" outlineLevel="1" x14ac:dyDescent="0.25">
      <c r="A121" s="39">
        <f t="shared" si="542"/>
        <v>0</v>
      </c>
      <c r="B121" s="27" t="str">
        <f t="shared" si="543"/>
        <v>SoftwareSensitivity2016Tests\DetailedGeometry\x.cibd16</v>
      </c>
      <c r="C121" s="27" t="str">
        <f t="shared" si="544"/>
        <v>BatchOut_171026_r5178_FinalRel-v3-SSTSG_SSTDG\x.cibd16</v>
      </c>
      <c r="D121" s="27" t="str">
        <f t="shared" si="545"/>
        <v>BatchOut_171026_r5178_FinalRel-v3-SSTSG_SSTDG\XML\</v>
      </c>
      <c r="E121" s="9" t="str">
        <f t="shared" si="546"/>
        <v>x</v>
      </c>
      <c r="F121" s="22"/>
      <c r="G121" s="29"/>
      <c r="H121" s="23" t="str">
        <f t="shared" si="547"/>
        <v/>
      </c>
      <c r="I121" s="9" t="s">
        <v>11</v>
      </c>
      <c r="J12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1" s="15" t="s">
        <v>1</v>
      </c>
      <c r="L121" s="36">
        <f t="shared" si="573"/>
        <v>0</v>
      </c>
      <c r="M121" s="91" t="str">
        <f t="shared" si="548"/>
        <v>x</v>
      </c>
      <c r="N121" s="90" t="s">
        <v>149</v>
      </c>
      <c r="O121" s="28" t="str">
        <f t="shared" si="574"/>
        <v>x</v>
      </c>
      <c r="P121" s="36">
        <f t="shared" si="575"/>
        <v>1</v>
      </c>
      <c r="Q121" s="36">
        <f t="shared" si="549"/>
        <v>1</v>
      </c>
      <c r="R121" s="36">
        <f t="shared" si="550"/>
        <v>0</v>
      </c>
      <c r="S121" s="36">
        <f t="shared" si="551"/>
        <v>1</v>
      </c>
      <c r="T121" s="36">
        <f t="shared" si="552"/>
        <v>0</v>
      </c>
      <c r="U121" s="36">
        <f t="shared" si="553"/>
        <v>8</v>
      </c>
      <c r="V121" s="36">
        <f t="shared" si="554"/>
        <v>8</v>
      </c>
      <c r="W121" s="36">
        <f t="shared" si="555"/>
        <v>1</v>
      </c>
      <c r="X121" s="36">
        <f t="shared" si="556"/>
        <v>0</v>
      </c>
      <c r="Y121" s="36">
        <f t="shared" si="557"/>
        <v>0</v>
      </c>
      <c r="Z121" s="36">
        <f t="shared" si="558"/>
        <v>0</v>
      </c>
      <c r="AA121" s="36">
        <f t="shared" si="558"/>
        <v>0</v>
      </c>
      <c r="AB121" s="36">
        <f t="shared" si="558"/>
        <v>1</v>
      </c>
      <c r="AC121" s="36">
        <f t="shared" si="560"/>
        <v>0</v>
      </c>
      <c r="AD121" s="36">
        <f t="shared" si="561"/>
        <v>1</v>
      </c>
      <c r="AE121" s="36">
        <f t="shared" si="561"/>
        <v>0</v>
      </c>
      <c r="AF121" s="36">
        <f t="shared" ref="AF121:AG121" si="590">AF120</f>
        <v>0</v>
      </c>
      <c r="AG121" s="36">
        <f t="shared" si="590"/>
        <v>0</v>
      </c>
      <c r="AH121" s="36">
        <f t="shared" ref="AH121:AI121" si="591">AH120</f>
        <v>0</v>
      </c>
      <c r="AI121" s="36">
        <f t="shared" si="591"/>
        <v>0</v>
      </c>
      <c r="AJ121" s="36">
        <f t="shared" si="564"/>
        <v>0</v>
      </c>
      <c r="AK121" s="36">
        <f t="shared" si="565"/>
        <v>0</v>
      </c>
      <c r="AL121" s="36">
        <f t="shared" si="566"/>
        <v>0</v>
      </c>
      <c r="AM121" s="36">
        <f t="shared" si="567"/>
        <v>0</v>
      </c>
      <c r="AN121" s="36">
        <f t="shared" si="568"/>
        <v>0</v>
      </c>
      <c r="AO121" s="36">
        <f t="shared" si="569"/>
        <v>0</v>
      </c>
      <c r="AP121" s="36">
        <f t="shared" si="570"/>
        <v>0</v>
      </c>
      <c r="AQ121" s="36">
        <f t="shared" si="571"/>
        <v>0</v>
      </c>
      <c r="AR121" s="36">
        <f t="shared" si="572"/>
        <v>0</v>
      </c>
      <c r="AS121" s="31" t="str">
        <f t="shared" si="578"/>
        <v>SimulationStorage,1,</v>
      </c>
      <c r="AT121" s="31" t="str">
        <f t="shared" si="579"/>
        <v>AnalysisStorage,1,</v>
      </c>
      <c r="AU121" s="31" t="str">
        <f t="shared" si="580"/>
        <v>LogRuleEvaluation,0,</v>
      </c>
      <c r="AV121" s="31" t="str">
        <f t="shared" si="581"/>
        <v>ParallelSimulations,1,</v>
      </c>
      <c r="AW121" s="31" t="str">
        <f t="shared" si="582"/>
        <v>DurationStats,0,</v>
      </c>
      <c r="AX121" s="31" t="str">
        <f t="shared" si="583"/>
        <v>AnalysisThruStep,8,</v>
      </c>
      <c r="AY121" s="31" t="str">
        <f t="shared" si="584"/>
        <v>DontAbortOnErrorsThruStep,8,</v>
      </c>
      <c r="AZ121" s="31" t="str">
        <f t="shared" si="585"/>
        <v>BypassValidFileChecks,1,</v>
      </c>
      <c r="BA121" s="31" t="str">
        <f t="shared" si="586"/>
        <v>BypassInputChecks,0,</v>
      </c>
      <c r="BB121" s="31" t="str">
        <f t="shared" si="587"/>
        <v>BypassUMLHChecks,0,</v>
      </c>
      <c r="BC121" s="31" t="str">
        <f t="shared" si="588"/>
        <v>BypassCheckSimRules,0,</v>
      </c>
      <c r="BD121" s="31" t="str">
        <f t="shared" si="589"/>
        <v>BypassCheckCodeRules,0,</v>
      </c>
      <c r="BE121" s="31" t="str">
        <f t="shared" si="526"/>
        <v>StoreResultsToModelInput,1,</v>
      </c>
      <c r="BF121" s="31" t="str">
        <f t="shared" si="527"/>
        <v>StoreBEMDetails,0,</v>
      </c>
      <c r="BG121" s="31" t="str">
        <f t="shared" si="528"/>
        <v>ModelRpt_ALL,1,</v>
      </c>
      <c r="BH121" s="31" t="str">
        <f t="shared" si="529"/>
        <v>ExportHourlyResults_All,0,</v>
      </c>
      <c r="BI121" s="31" t="str">
        <f t="shared" si="530"/>
        <v>ComplianceReportPDF,0,</v>
      </c>
      <c r="BJ121" s="31" t="str">
        <f t="shared" si="531"/>
        <v>ComplianceReportXML,0,</v>
      </c>
      <c r="BK121" s="31" t="str">
        <f t="shared" si="532"/>
        <v>QuickAnalysis,0,</v>
      </c>
      <c r="BL121" s="31" t="str">
        <f t="shared" si="532"/>
        <v>PromptUserUMLHWarning,0,</v>
      </c>
      <c r="BM121" s="31" t="str">
        <f t="shared" si="533"/>
        <v>BypassOpenStudio_all,0,</v>
      </c>
      <c r="BN121" s="31" t="str">
        <f t="shared" si="534"/>
        <v>BypassOpenStudio_zp,0,</v>
      </c>
      <c r="BO121" s="31" t="str">
        <f t="shared" si="535"/>
        <v>BypassOpenStudio_zb,0,</v>
      </c>
      <c r="BP121" s="31" t="str">
        <f t="shared" si="536"/>
        <v>BypassOpenStudio_ap,0,</v>
      </c>
      <c r="BQ121" s="31" t="str">
        <f t="shared" si="537"/>
        <v>BypassOpenStudio_ab,0,</v>
      </c>
      <c r="BR121" s="31" t="str">
        <f t="shared" si="538"/>
        <v>BypassOpenStudio_zp,0,</v>
      </c>
      <c r="BS121" s="31" t="str">
        <f t="shared" si="539"/>
        <v>BypassOpenStudio_zb,0,</v>
      </c>
      <c r="BT121" s="31" t="str">
        <f t="shared" si="540"/>
        <v>BypassOpenStudio_ap,0,</v>
      </c>
      <c r="BU121" s="31" t="str">
        <f t="shared" si="541"/>
        <v>BypassOpenStudio_ab,0,</v>
      </c>
    </row>
    <row r="122" spans="1:73" hidden="1" outlineLevel="1" x14ac:dyDescent="0.25">
      <c r="A122" s="39">
        <f t="shared" si="542"/>
        <v>0</v>
      </c>
      <c r="B122" s="27" t="str">
        <f t="shared" si="543"/>
        <v>SoftwareSensitivity2016Tests\DetailedGeometry\x.cibd16</v>
      </c>
      <c r="C122" s="27" t="str">
        <f t="shared" si="544"/>
        <v>BatchOut_171026_r5178_FinalRel-v3-SSTSG_SSTDG\x.cibd16</v>
      </c>
      <c r="D122" s="27" t="str">
        <f t="shared" si="545"/>
        <v>BatchOut_171026_r5178_FinalRel-v3-SSTSG_SSTDG\XML\</v>
      </c>
      <c r="E122" s="9" t="str">
        <f t="shared" si="546"/>
        <v>x</v>
      </c>
      <c r="F122" s="22"/>
      <c r="G122" s="29"/>
      <c r="H122" s="23" t="str">
        <f t="shared" si="547"/>
        <v/>
      </c>
      <c r="I122" s="9" t="s">
        <v>11</v>
      </c>
      <c r="J12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2" s="15" t="s">
        <v>1</v>
      </c>
      <c r="L122" s="36">
        <f t="shared" si="573"/>
        <v>0</v>
      </c>
      <c r="M122" s="91" t="str">
        <f t="shared" si="548"/>
        <v>x</v>
      </c>
      <c r="N122" s="90" t="s">
        <v>149</v>
      </c>
      <c r="O122" s="28" t="str">
        <f t="shared" si="574"/>
        <v>x</v>
      </c>
      <c r="P122" s="36">
        <f t="shared" si="575"/>
        <v>1</v>
      </c>
      <c r="Q122" s="36">
        <f t="shared" si="549"/>
        <v>1</v>
      </c>
      <c r="R122" s="36">
        <f t="shared" si="550"/>
        <v>0</v>
      </c>
      <c r="S122" s="36">
        <f t="shared" si="551"/>
        <v>1</v>
      </c>
      <c r="T122" s="36">
        <f t="shared" si="552"/>
        <v>0</v>
      </c>
      <c r="U122" s="36">
        <f t="shared" si="553"/>
        <v>8</v>
      </c>
      <c r="V122" s="36">
        <f t="shared" si="554"/>
        <v>8</v>
      </c>
      <c r="W122" s="36">
        <f t="shared" si="555"/>
        <v>1</v>
      </c>
      <c r="X122" s="36">
        <f t="shared" si="556"/>
        <v>0</v>
      </c>
      <c r="Y122" s="36">
        <f t="shared" si="557"/>
        <v>0</v>
      </c>
      <c r="Z122" s="36">
        <f t="shared" si="558"/>
        <v>0</v>
      </c>
      <c r="AA122" s="36">
        <f t="shared" si="558"/>
        <v>0</v>
      </c>
      <c r="AB122" s="36">
        <f t="shared" si="558"/>
        <v>1</v>
      </c>
      <c r="AC122" s="36">
        <f t="shared" si="560"/>
        <v>0</v>
      </c>
      <c r="AD122" s="36">
        <f t="shared" si="561"/>
        <v>1</v>
      </c>
      <c r="AE122" s="36">
        <f t="shared" si="561"/>
        <v>0</v>
      </c>
      <c r="AF122" s="36">
        <f t="shared" ref="AF122:AG122" si="592">AF121</f>
        <v>0</v>
      </c>
      <c r="AG122" s="36">
        <f t="shared" si="592"/>
        <v>0</v>
      </c>
      <c r="AH122" s="36">
        <f t="shared" ref="AH122:AI122" si="593">AH121</f>
        <v>0</v>
      </c>
      <c r="AI122" s="36">
        <f t="shared" si="593"/>
        <v>0</v>
      </c>
      <c r="AJ122" s="36">
        <f t="shared" si="564"/>
        <v>0</v>
      </c>
      <c r="AK122" s="36">
        <f t="shared" si="565"/>
        <v>0</v>
      </c>
      <c r="AL122" s="36">
        <f t="shared" si="566"/>
        <v>0</v>
      </c>
      <c r="AM122" s="36">
        <f t="shared" si="567"/>
        <v>0</v>
      </c>
      <c r="AN122" s="36">
        <f t="shared" si="568"/>
        <v>0</v>
      </c>
      <c r="AO122" s="36">
        <f t="shared" si="569"/>
        <v>0</v>
      </c>
      <c r="AP122" s="36">
        <f t="shared" si="570"/>
        <v>0</v>
      </c>
      <c r="AQ122" s="36">
        <f t="shared" si="571"/>
        <v>0</v>
      </c>
      <c r="AR122" s="36">
        <f t="shared" si="572"/>
        <v>0</v>
      </c>
      <c r="AS122" s="31" t="str">
        <f t="shared" si="578"/>
        <v>SimulationStorage,1,</v>
      </c>
      <c r="AT122" s="31" t="str">
        <f t="shared" si="579"/>
        <v>AnalysisStorage,1,</v>
      </c>
      <c r="AU122" s="31" t="str">
        <f t="shared" si="580"/>
        <v>LogRuleEvaluation,0,</v>
      </c>
      <c r="AV122" s="31" t="str">
        <f t="shared" si="581"/>
        <v>ParallelSimulations,1,</v>
      </c>
      <c r="AW122" s="31" t="str">
        <f t="shared" si="582"/>
        <v>DurationStats,0,</v>
      </c>
      <c r="AX122" s="31" t="str">
        <f t="shared" si="583"/>
        <v>AnalysisThruStep,8,</v>
      </c>
      <c r="AY122" s="31" t="str">
        <f t="shared" si="584"/>
        <v>DontAbortOnErrorsThruStep,8,</v>
      </c>
      <c r="AZ122" s="31" t="str">
        <f t="shared" si="585"/>
        <v>BypassValidFileChecks,1,</v>
      </c>
      <c r="BA122" s="31" t="str">
        <f t="shared" si="586"/>
        <v>BypassInputChecks,0,</v>
      </c>
      <c r="BB122" s="31" t="str">
        <f t="shared" si="587"/>
        <v>BypassUMLHChecks,0,</v>
      </c>
      <c r="BC122" s="31" t="str">
        <f t="shared" si="588"/>
        <v>BypassCheckSimRules,0,</v>
      </c>
      <c r="BD122" s="31" t="str">
        <f t="shared" si="589"/>
        <v>BypassCheckCodeRules,0,</v>
      </c>
      <c r="BE122" s="31" t="str">
        <f t="shared" si="526"/>
        <v>StoreResultsToModelInput,1,</v>
      </c>
      <c r="BF122" s="31" t="str">
        <f t="shared" si="527"/>
        <v>StoreBEMDetails,0,</v>
      </c>
      <c r="BG122" s="31" t="str">
        <f t="shared" si="528"/>
        <v>ModelRpt_ALL,1,</v>
      </c>
      <c r="BH122" s="31" t="str">
        <f t="shared" si="529"/>
        <v>ExportHourlyResults_All,0,</v>
      </c>
      <c r="BI122" s="31" t="str">
        <f t="shared" si="530"/>
        <v>ComplianceReportPDF,0,</v>
      </c>
      <c r="BJ122" s="31" t="str">
        <f t="shared" si="531"/>
        <v>ComplianceReportXML,0,</v>
      </c>
      <c r="BK122" s="31" t="str">
        <f t="shared" si="532"/>
        <v>QuickAnalysis,0,</v>
      </c>
      <c r="BL122" s="31" t="str">
        <f t="shared" si="532"/>
        <v>PromptUserUMLHWarning,0,</v>
      </c>
      <c r="BM122" s="31" t="str">
        <f t="shared" si="533"/>
        <v>BypassOpenStudio_all,0,</v>
      </c>
      <c r="BN122" s="31" t="str">
        <f t="shared" si="534"/>
        <v>BypassOpenStudio_zp,0,</v>
      </c>
      <c r="BO122" s="31" t="str">
        <f t="shared" si="535"/>
        <v>BypassOpenStudio_zb,0,</v>
      </c>
      <c r="BP122" s="31" t="str">
        <f t="shared" si="536"/>
        <v>BypassOpenStudio_ap,0,</v>
      </c>
      <c r="BQ122" s="31" t="str">
        <f t="shared" si="537"/>
        <v>BypassOpenStudio_ab,0,</v>
      </c>
      <c r="BR122" s="31" t="str">
        <f t="shared" si="538"/>
        <v>BypassOpenStudio_zp,0,</v>
      </c>
      <c r="BS122" s="31" t="str">
        <f t="shared" si="539"/>
        <v>BypassOpenStudio_zb,0,</v>
      </c>
      <c r="BT122" s="31" t="str">
        <f t="shared" si="540"/>
        <v>BypassOpenStudio_ap,0,</v>
      </c>
      <c r="BU122" s="31" t="str">
        <f t="shared" si="541"/>
        <v>BypassOpenStudio_ab,0,</v>
      </c>
    </row>
    <row r="123" spans="1:73" hidden="1" outlineLevel="1" x14ac:dyDescent="0.25">
      <c r="A123" s="39">
        <f t="shared" si="542"/>
        <v>0</v>
      </c>
      <c r="B123" s="27" t="str">
        <f t="shared" si="543"/>
        <v>SoftwareSensitivity2016Tests\DetailedGeometry\x.cibd16</v>
      </c>
      <c r="C123" s="27" t="str">
        <f t="shared" si="544"/>
        <v>BatchOut_171026_r5178_FinalRel-v3-SSTSG_SSTDG\x.cibd16</v>
      </c>
      <c r="D123" s="27" t="str">
        <f t="shared" si="545"/>
        <v>BatchOut_171026_r5178_FinalRel-v3-SSTSG_SSTDG\XML\</v>
      </c>
      <c r="E123" s="9" t="str">
        <f t="shared" si="546"/>
        <v>x</v>
      </c>
      <c r="F123" s="22"/>
      <c r="G123" s="29"/>
      <c r="H123" s="23" t="str">
        <f t="shared" si="547"/>
        <v/>
      </c>
      <c r="I123" s="9" t="s">
        <v>11</v>
      </c>
      <c r="J12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3" s="15" t="s">
        <v>1</v>
      </c>
      <c r="L123" s="36">
        <f t="shared" si="573"/>
        <v>0</v>
      </c>
      <c r="M123" s="91" t="str">
        <f t="shared" si="548"/>
        <v>x</v>
      </c>
      <c r="N123" s="90" t="s">
        <v>149</v>
      </c>
      <c r="O123" s="28" t="str">
        <f t="shared" si="574"/>
        <v>x</v>
      </c>
      <c r="P123" s="36">
        <f t="shared" si="575"/>
        <v>1</v>
      </c>
      <c r="Q123" s="36">
        <f t="shared" si="549"/>
        <v>1</v>
      </c>
      <c r="R123" s="36">
        <f t="shared" si="550"/>
        <v>0</v>
      </c>
      <c r="S123" s="36">
        <f t="shared" si="551"/>
        <v>1</v>
      </c>
      <c r="T123" s="36">
        <f t="shared" si="552"/>
        <v>0</v>
      </c>
      <c r="U123" s="36">
        <f t="shared" si="553"/>
        <v>8</v>
      </c>
      <c r="V123" s="36">
        <f t="shared" si="554"/>
        <v>8</v>
      </c>
      <c r="W123" s="36">
        <f t="shared" si="555"/>
        <v>1</v>
      </c>
      <c r="X123" s="36">
        <f t="shared" si="556"/>
        <v>0</v>
      </c>
      <c r="Y123" s="36">
        <f t="shared" si="557"/>
        <v>0</v>
      </c>
      <c r="Z123" s="36">
        <f t="shared" si="558"/>
        <v>0</v>
      </c>
      <c r="AA123" s="36">
        <f t="shared" si="558"/>
        <v>0</v>
      </c>
      <c r="AB123" s="36">
        <f t="shared" si="558"/>
        <v>1</v>
      </c>
      <c r="AC123" s="36">
        <f t="shared" si="560"/>
        <v>0</v>
      </c>
      <c r="AD123" s="36">
        <f t="shared" si="561"/>
        <v>1</v>
      </c>
      <c r="AE123" s="36">
        <f t="shared" si="561"/>
        <v>0</v>
      </c>
      <c r="AF123" s="36">
        <f t="shared" ref="AF123:AG123" si="594">AF122</f>
        <v>0</v>
      </c>
      <c r="AG123" s="36">
        <f t="shared" si="594"/>
        <v>0</v>
      </c>
      <c r="AH123" s="36">
        <f t="shared" ref="AH123:AI123" si="595">AH122</f>
        <v>0</v>
      </c>
      <c r="AI123" s="36">
        <f t="shared" si="595"/>
        <v>0</v>
      </c>
      <c r="AJ123" s="36">
        <f t="shared" si="564"/>
        <v>0</v>
      </c>
      <c r="AK123" s="36">
        <f t="shared" si="565"/>
        <v>0</v>
      </c>
      <c r="AL123" s="36">
        <f t="shared" si="566"/>
        <v>0</v>
      </c>
      <c r="AM123" s="36">
        <f t="shared" si="567"/>
        <v>0</v>
      </c>
      <c r="AN123" s="36">
        <f t="shared" si="568"/>
        <v>0</v>
      </c>
      <c r="AO123" s="36">
        <f t="shared" si="569"/>
        <v>0</v>
      </c>
      <c r="AP123" s="36">
        <f t="shared" si="570"/>
        <v>0</v>
      </c>
      <c r="AQ123" s="36">
        <f t="shared" si="571"/>
        <v>0</v>
      </c>
      <c r="AR123" s="36">
        <f t="shared" si="572"/>
        <v>0</v>
      </c>
      <c r="AS123" s="31" t="str">
        <f t="shared" si="578"/>
        <v>SimulationStorage,1,</v>
      </c>
      <c r="AT123" s="31" t="str">
        <f t="shared" si="579"/>
        <v>AnalysisStorage,1,</v>
      </c>
      <c r="AU123" s="31" t="str">
        <f t="shared" si="580"/>
        <v>LogRuleEvaluation,0,</v>
      </c>
      <c r="AV123" s="31" t="str">
        <f t="shared" si="581"/>
        <v>ParallelSimulations,1,</v>
      </c>
      <c r="AW123" s="31" t="str">
        <f t="shared" si="582"/>
        <v>DurationStats,0,</v>
      </c>
      <c r="AX123" s="31" t="str">
        <f t="shared" si="583"/>
        <v>AnalysisThruStep,8,</v>
      </c>
      <c r="AY123" s="31" t="str">
        <f t="shared" si="584"/>
        <v>DontAbortOnErrorsThruStep,8,</v>
      </c>
      <c r="AZ123" s="31" t="str">
        <f t="shared" si="585"/>
        <v>BypassValidFileChecks,1,</v>
      </c>
      <c r="BA123" s="31" t="str">
        <f t="shared" si="586"/>
        <v>BypassInputChecks,0,</v>
      </c>
      <c r="BB123" s="31" t="str">
        <f t="shared" si="587"/>
        <v>BypassUMLHChecks,0,</v>
      </c>
      <c r="BC123" s="31" t="str">
        <f t="shared" si="588"/>
        <v>BypassCheckSimRules,0,</v>
      </c>
      <c r="BD123" s="31" t="str">
        <f t="shared" si="589"/>
        <v>BypassCheckCodeRules,0,</v>
      </c>
      <c r="BE123" s="31" t="str">
        <f t="shared" si="526"/>
        <v>StoreResultsToModelInput,1,</v>
      </c>
      <c r="BF123" s="31" t="str">
        <f t="shared" si="527"/>
        <v>StoreBEMDetails,0,</v>
      </c>
      <c r="BG123" s="31" t="str">
        <f t="shared" si="528"/>
        <v>ModelRpt_ALL,1,</v>
      </c>
      <c r="BH123" s="31" t="str">
        <f t="shared" si="529"/>
        <v>ExportHourlyResults_All,0,</v>
      </c>
      <c r="BI123" s="31" t="str">
        <f t="shared" si="530"/>
        <v>ComplianceReportPDF,0,</v>
      </c>
      <c r="BJ123" s="31" t="str">
        <f t="shared" si="531"/>
        <v>ComplianceReportXML,0,</v>
      </c>
      <c r="BK123" s="31" t="str">
        <f t="shared" si="532"/>
        <v>QuickAnalysis,0,</v>
      </c>
      <c r="BL123" s="31" t="str">
        <f t="shared" si="532"/>
        <v>PromptUserUMLHWarning,0,</v>
      </c>
      <c r="BM123" s="31" t="str">
        <f t="shared" si="533"/>
        <v>BypassOpenStudio_all,0,</v>
      </c>
      <c r="BN123" s="31" t="str">
        <f t="shared" si="534"/>
        <v>BypassOpenStudio_zp,0,</v>
      </c>
      <c r="BO123" s="31" t="str">
        <f t="shared" si="535"/>
        <v>BypassOpenStudio_zb,0,</v>
      </c>
      <c r="BP123" s="31" t="str">
        <f t="shared" si="536"/>
        <v>BypassOpenStudio_ap,0,</v>
      </c>
      <c r="BQ123" s="31" t="str">
        <f t="shared" si="537"/>
        <v>BypassOpenStudio_ab,0,</v>
      </c>
      <c r="BR123" s="31" t="str">
        <f t="shared" si="538"/>
        <v>BypassOpenStudio_zp,0,</v>
      </c>
      <c r="BS123" s="31" t="str">
        <f t="shared" si="539"/>
        <v>BypassOpenStudio_zb,0,</v>
      </c>
      <c r="BT123" s="31" t="str">
        <f t="shared" si="540"/>
        <v>BypassOpenStudio_ap,0,</v>
      </c>
      <c r="BU123" s="31" t="str">
        <f t="shared" si="541"/>
        <v>BypassOpenStudio_ab,0,</v>
      </c>
    </row>
    <row r="124" spans="1:73" hidden="1" outlineLevel="1" x14ac:dyDescent="0.25">
      <c r="A124" s="39">
        <f t="shared" si="542"/>
        <v>0</v>
      </c>
      <c r="B124" s="27" t="str">
        <f t="shared" si="543"/>
        <v>SoftwareSensitivity2016Tests\DetailedGeometry\x.cibd16</v>
      </c>
      <c r="C124" s="27" t="str">
        <f t="shared" si="544"/>
        <v>BatchOut_171026_r5178_FinalRel-v3-SSTSG_SSTDG\x.cibd16</v>
      </c>
      <c r="D124" s="27" t="str">
        <f t="shared" si="545"/>
        <v>BatchOut_171026_r5178_FinalRel-v3-SSTSG_SSTDG\XML\</v>
      </c>
      <c r="E124" s="9" t="str">
        <f t="shared" si="546"/>
        <v>x</v>
      </c>
      <c r="F124" s="22"/>
      <c r="G124" s="29"/>
      <c r="H124" s="23" t="str">
        <f t="shared" si="547"/>
        <v/>
      </c>
      <c r="I124" s="9" t="s">
        <v>11</v>
      </c>
      <c r="J12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4" s="15" t="s">
        <v>1</v>
      </c>
      <c r="L124" s="36">
        <f t="shared" si="573"/>
        <v>0</v>
      </c>
      <c r="M124" s="91" t="str">
        <f t="shared" si="548"/>
        <v>x</v>
      </c>
      <c r="N124" s="90" t="s">
        <v>149</v>
      </c>
      <c r="O124" s="28" t="str">
        <f t="shared" si="574"/>
        <v>x</v>
      </c>
      <c r="P124" s="36">
        <f t="shared" si="575"/>
        <v>1</v>
      </c>
      <c r="Q124" s="36">
        <f t="shared" si="549"/>
        <v>1</v>
      </c>
      <c r="R124" s="36">
        <f t="shared" si="550"/>
        <v>0</v>
      </c>
      <c r="S124" s="36">
        <f t="shared" si="551"/>
        <v>1</v>
      </c>
      <c r="T124" s="36">
        <f t="shared" si="552"/>
        <v>0</v>
      </c>
      <c r="U124" s="36">
        <f t="shared" si="553"/>
        <v>8</v>
      </c>
      <c r="V124" s="36">
        <f t="shared" si="554"/>
        <v>8</v>
      </c>
      <c r="W124" s="36">
        <f t="shared" si="555"/>
        <v>1</v>
      </c>
      <c r="X124" s="36">
        <f t="shared" si="556"/>
        <v>0</v>
      </c>
      <c r="Y124" s="36">
        <f t="shared" si="557"/>
        <v>0</v>
      </c>
      <c r="Z124" s="36">
        <f t="shared" si="558"/>
        <v>0</v>
      </c>
      <c r="AA124" s="36">
        <f t="shared" si="558"/>
        <v>0</v>
      </c>
      <c r="AB124" s="36">
        <f t="shared" si="558"/>
        <v>1</v>
      </c>
      <c r="AC124" s="36">
        <f t="shared" si="560"/>
        <v>0</v>
      </c>
      <c r="AD124" s="36">
        <f t="shared" si="561"/>
        <v>1</v>
      </c>
      <c r="AE124" s="36">
        <f t="shared" si="561"/>
        <v>0</v>
      </c>
      <c r="AF124" s="36">
        <f t="shared" ref="AF124:AG124" si="596">AF123</f>
        <v>0</v>
      </c>
      <c r="AG124" s="36">
        <f t="shared" si="596"/>
        <v>0</v>
      </c>
      <c r="AH124" s="36">
        <f t="shared" ref="AH124:AI124" si="597">AH123</f>
        <v>0</v>
      </c>
      <c r="AI124" s="36">
        <f t="shared" si="597"/>
        <v>0</v>
      </c>
      <c r="AJ124" s="36">
        <f t="shared" si="564"/>
        <v>0</v>
      </c>
      <c r="AK124" s="36">
        <f t="shared" si="565"/>
        <v>0</v>
      </c>
      <c r="AL124" s="36">
        <f t="shared" si="566"/>
        <v>0</v>
      </c>
      <c r="AM124" s="36">
        <f t="shared" si="567"/>
        <v>0</v>
      </c>
      <c r="AN124" s="36">
        <f t="shared" si="568"/>
        <v>0</v>
      </c>
      <c r="AO124" s="36">
        <f t="shared" si="569"/>
        <v>0</v>
      </c>
      <c r="AP124" s="36">
        <f t="shared" si="570"/>
        <v>0</v>
      </c>
      <c r="AQ124" s="36">
        <f t="shared" si="571"/>
        <v>0</v>
      </c>
      <c r="AR124" s="36">
        <f t="shared" si="572"/>
        <v>0</v>
      </c>
      <c r="AS124" s="31" t="str">
        <f t="shared" si="578"/>
        <v>SimulationStorage,1,</v>
      </c>
      <c r="AT124" s="31" t="str">
        <f t="shared" si="579"/>
        <v>AnalysisStorage,1,</v>
      </c>
      <c r="AU124" s="31" t="str">
        <f t="shared" si="580"/>
        <v>LogRuleEvaluation,0,</v>
      </c>
      <c r="AV124" s="31" t="str">
        <f t="shared" si="581"/>
        <v>ParallelSimulations,1,</v>
      </c>
      <c r="AW124" s="31" t="str">
        <f t="shared" si="582"/>
        <v>DurationStats,0,</v>
      </c>
      <c r="AX124" s="31" t="str">
        <f t="shared" si="583"/>
        <v>AnalysisThruStep,8,</v>
      </c>
      <c r="AY124" s="31" t="str">
        <f t="shared" si="584"/>
        <v>DontAbortOnErrorsThruStep,8,</v>
      </c>
      <c r="AZ124" s="31" t="str">
        <f t="shared" si="585"/>
        <v>BypassValidFileChecks,1,</v>
      </c>
      <c r="BA124" s="31" t="str">
        <f t="shared" si="586"/>
        <v>BypassInputChecks,0,</v>
      </c>
      <c r="BB124" s="31" t="str">
        <f t="shared" si="587"/>
        <v>BypassUMLHChecks,0,</v>
      </c>
      <c r="BC124" s="31" t="str">
        <f t="shared" si="588"/>
        <v>BypassCheckSimRules,0,</v>
      </c>
      <c r="BD124" s="31" t="str">
        <f t="shared" si="589"/>
        <v>BypassCheckCodeRules,0,</v>
      </c>
      <c r="BE124" s="31" t="str">
        <f t="shared" si="526"/>
        <v>StoreResultsToModelInput,1,</v>
      </c>
      <c r="BF124" s="31" t="str">
        <f t="shared" si="527"/>
        <v>StoreBEMDetails,0,</v>
      </c>
      <c r="BG124" s="31" t="str">
        <f t="shared" si="528"/>
        <v>ModelRpt_ALL,1,</v>
      </c>
      <c r="BH124" s="31" t="str">
        <f t="shared" si="529"/>
        <v>ExportHourlyResults_All,0,</v>
      </c>
      <c r="BI124" s="31" t="str">
        <f t="shared" si="530"/>
        <v>ComplianceReportPDF,0,</v>
      </c>
      <c r="BJ124" s="31" t="str">
        <f t="shared" si="531"/>
        <v>ComplianceReportXML,0,</v>
      </c>
      <c r="BK124" s="31" t="str">
        <f t="shared" si="532"/>
        <v>QuickAnalysis,0,</v>
      </c>
      <c r="BL124" s="31" t="str">
        <f t="shared" si="532"/>
        <v>PromptUserUMLHWarning,0,</v>
      </c>
      <c r="BM124" s="31" t="str">
        <f t="shared" si="533"/>
        <v>BypassOpenStudio_all,0,</v>
      </c>
      <c r="BN124" s="31" t="str">
        <f t="shared" si="534"/>
        <v>BypassOpenStudio_zp,0,</v>
      </c>
      <c r="BO124" s="31" t="str">
        <f t="shared" si="535"/>
        <v>BypassOpenStudio_zb,0,</v>
      </c>
      <c r="BP124" s="31" t="str">
        <f t="shared" si="536"/>
        <v>BypassOpenStudio_ap,0,</v>
      </c>
      <c r="BQ124" s="31" t="str">
        <f t="shared" si="537"/>
        <v>BypassOpenStudio_ab,0,</v>
      </c>
      <c r="BR124" s="31" t="str">
        <f t="shared" si="538"/>
        <v>BypassOpenStudio_zp,0,</v>
      </c>
      <c r="BS124" s="31" t="str">
        <f t="shared" si="539"/>
        <v>BypassOpenStudio_zb,0,</v>
      </c>
      <c r="BT124" s="31" t="str">
        <f t="shared" si="540"/>
        <v>BypassOpenStudio_ap,0,</v>
      </c>
      <c r="BU124" s="31" t="str">
        <f t="shared" si="541"/>
        <v>BypassOpenStudio_ab,0,</v>
      </c>
    </row>
    <row r="125" spans="1:73" hidden="1" outlineLevel="1" x14ac:dyDescent="0.25">
      <c r="A125" s="39">
        <f t="shared" si="542"/>
        <v>0</v>
      </c>
      <c r="B125" s="27" t="str">
        <f t="shared" si="543"/>
        <v>SoftwareSensitivity2016Tests\DetailedGeometry\x.cibd16</v>
      </c>
      <c r="C125" s="27" t="str">
        <f t="shared" si="544"/>
        <v>BatchOut_171026_r5178_FinalRel-v3-SSTSG_SSTDG\x.cibd16</v>
      </c>
      <c r="D125" s="27" t="str">
        <f t="shared" si="545"/>
        <v>BatchOut_171026_r5178_FinalRel-v3-SSTSG_SSTDG\XML\</v>
      </c>
      <c r="E125" s="9" t="str">
        <f t="shared" si="546"/>
        <v>x</v>
      </c>
      <c r="F125" s="22"/>
      <c r="G125" s="29"/>
      <c r="H125" s="23" t="str">
        <f t="shared" si="547"/>
        <v/>
      </c>
      <c r="I125" s="9" t="s">
        <v>11</v>
      </c>
      <c r="J12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5" s="15" t="s">
        <v>1</v>
      </c>
      <c r="L125" s="36">
        <f t="shared" si="573"/>
        <v>0</v>
      </c>
      <c r="M125" s="91" t="str">
        <f t="shared" si="548"/>
        <v>x</v>
      </c>
      <c r="N125" s="90" t="s">
        <v>149</v>
      </c>
      <c r="O125" s="28" t="str">
        <f t="shared" si="574"/>
        <v>x</v>
      </c>
      <c r="P125" s="36">
        <f t="shared" si="575"/>
        <v>1</v>
      </c>
      <c r="Q125" s="36">
        <f t="shared" si="549"/>
        <v>1</v>
      </c>
      <c r="R125" s="36">
        <f t="shared" si="550"/>
        <v>0</v>
      </c>
      <c r="S125" s="36">
        <f t="shared" si="551"/>
        <v>1</v>
      </c>
      <c r="T125" s="36">
        <f t="shared" si="552"/>
        <v>0</v>
      </c>
      <c r="U125" s="36">
        <f t="shared" si="553"/>
        <v>8</v>
      </c>
      <c r="V125" s="36">
        <f t="shared" si="554"/>
        <v>8</v>
      </c>
      <c r="W125" s="36">
        <f t="shared" si="555"/>
        <v>1</v>
      </c>
      <c r="X125" s="36">
        <f t="shared" si="556"/>
        <v>0</v>
      </c>
      <c r="Y125" s="36">
        <f t="shared" si="557"/>
        <v>0</v>
      </c>
      <c r="Z125" s="36">
        <f t="shared" si="558"/>
        <v>0</v>
      </c>
      <c r="AA125" s="36">
        <f t="shared" si="558"/>
        <v>0</v>
      </c>
      <c r="AB125" s="36">
        <f t="shared" si="558"/>
        <v>1</v>
      </c>
      <c r="AC125" s="36">
        <f t="shared" si="560"/>
        <v>0</v>
      </c>
      <c r="AD125" s="36">
        <f t="shared" si="561"/>
        <v>1</v>
      </c>
      <c r="AE125" s="36">
        <f t="shared" si="561"/>
        <v>0</v>
      </c>
      <c r="AF125" s="36">
        <f t="shared" ref="AF125:AG125" si="598">AF124</f>
        <v>0</v>
      </c>
      <c r="AG125" s="36">
        <f t="shared" si="598"/>
        <v>0</v>
      </c>
      <c r="AH125" s="36">
        <f t="shared" ref="AH125:AI125" si="599">AH124</f>
        <v>0</v>
      </c>
      <c r="AI125" s="36">
        <f t="shared" si="599"/>
        <v>0</v>
      </c>
      <c r="AJ125" s="36">
        <f t="shared" si="564"/>
        <v>0</v>
      </c>
      <c r="AK125" s="36">
        <f t="shared" si="565"/>
        <v>0</v>
      </c>
      <c r="AL125" s="36">
        <f t="shared" si="566"/>
        <v>0</v>
      </c>
      <c r="AM125" s="36">
        <f t="shared" si="567"/>
        <v>0</v>
      </c>
      <c r="AN125" s="36">
        <f t="shared" si="568"/>
        <v>0</v>
      </c>
      <c r="AO125" s="36">
        <f t="shared" si="569"/>
        <v>0</v>
      </c>
      <c r="AP125" s="36">
        <f t="shared" si="570"/>
        <v>0</v>
      </c>
      <c r="AQ125" s="36">
        <f t="shared" si="571"/>
        <v>0</v>
      </c>
      <c r="AR125" s="36">
        <f t="shared" si="572"/>
        <v>0</v>
      </c>
      <c r="AS125" s="31" t="str">
        <f t="shared" si="578"/>
        <v>SimulationStorage,1,</v>
      </c>
      <c r="AT125" s="31" t="str">
        <f t="shared" si="579"/>
        <v>AnalysisStorage,1,</v>
      </c>
      <c r="AU125" s="31" t="str">
        <f t="shared" si="580"/>
        <v>LogRuleEvaluation,0,</v>
      </c>
      <c r="AV125" s="31" t="str">
        <f t="shared" si="581"/>
        <v>ParallelSimulations,1,</v>
      </c>
      <c r="AW125" s="31" t="str">
        <f t="shared" si="582"/>
        <v>DurationStats,0,</v>
      </c>
      <c r="AX125" s="31" t="str">
        <f t="shared" si="583"/>
        <v>AnalysisThruStep,8,</v>
      </c>
      <c r="AY125" s="31" t="str">
        <f t="shared" si="584"/>
        <v>DontAbortOnErrorsThruStep,8,</v>
      </c>
      <c r="AZ125" s="31" t="str">
        <f t="shared" si="585"/>
        <v>BypassValidFileChecks,1,</v>
      </c>
      <c r="BA125" s="31" t="str">
        <f t="shared" si="586"/>
        <v>BypassInputChecks,0,</v>
      </c>
      <c r="BB125" s="31" t="str">
        <f t="shared" si="587"/>
        <v>BypassUMLHChecks,0,</v>
      </c>
      <c r="BC125" s="31" t="str">
        <f t="shared" si="588"/>
        <v>BypassCheckSimRules,0,</v>
      </c>
      <c r="BD125" s="31" t="str">
        <f t="shared" si="589"/>
        <v>BypassCheckCodeRules,0,</v>
      </c>
      <c r="BE125" s="31" t="str">
        <f t="shared" si="526"/>
        <v>StoreResultsToModelInput,1,</v>
      </c>
      <c r="BF125" s="31" t="str">
        <f t="shared" si="527"/>
        <v>StoreBEMDetails,0,</v>
      </c>
      <c r="BG125" s="31" t="str">
        <f t="shared" si="528"/>
        <v>ModelRpt_ALL,1,</v>
      </c>
      <c r="BH125" s="31" t="str">
        <f t="shared" si="529"/>
        <v>ExportHourlyResults_All,0,</v>
      </c>
      <c r="BI125" s="31" t="str">
        <f t="shared" si="530"/>
        <v>ComplianceReportPDF,0,</v>
      </c>
      <c r="BJ125" s="31" t="str">
        <f t="shared" si="531"/>
        <v>ComplianceReportXML,0,</v>
      </c>
      <c r="BK125" s="31" t="str">
        <f t="shared" si="532"/>
        <v>QuickAnalysis,0,</v>
      </c>
      <c r="BL125" s="31" t="str">
        <f t="shared" si="532"/>
        <v>PromptUserUMLHWarning,0,</v>
      </c>
      <c r="BM125" s="31" t="str">
        <f t="shared" si="533"/>
        <v>BypassOpenStudio_all,0,</v>
      </c>
      <c r="BN125" s="31" t="str">
        <f t="shared" si="534"/>
        <v>BypassOpenStudio_zp,0,</v>
      </c>
      <c r="BO125" s="31" t="str">
        <f t="shared" si="535"/>
        <v>BypassOpenStudio_zb,0,</v>
      </c>
      <c r="BP125" s="31" t="str">
        <f t="shared" si="536"/>
        <v>BypassOpenStudio_ap,0,</v>
      </c>
      <c r="BQ125" s="31" t="str">
        <f t="shared" si="537"/>
        <v>BypassOpenStudio_ab,0,</v>
      </c>
      <c r="BR125" s="31" t="str">
        <f t="shared" si="538"/>
        <v>BypassOpenStudio_zp,0,</v>
      </c>
      <c r="BS125" s="31" t="str">
        <f t="shared" si="539"/>
        <v>BypassOpenStudio_zb,0,</v>
      </c>
      <c r="BT125" s="31" t="str">
        <f t="shared" si="540"/>
        <v>BypassOpenStudio_ap,0,</v>
      </c>
      <c r="BU125" s="31" t="str">
        <f t="shared" si="541"/>
        <v>BypassOpenStudio_ab,0,</v>
      </c>
    </row>
    <row r="126" spans="1:73" hidden="1" outlineLevel="1" x14ac:dyDescent="0.25">
      <c r="A126" s="39">
        <f t="shared" si="542"/>
        <v>0</v>
      </c>
      <c r="B126" s="27" t="str">
        <f t="shared" si="543"/>
        <v>SoftwareSensitivity2016Tests\DetailedGeometry\x.cibd16</v>
      </c>
      <c r="C126" s="27" t="str">
        <f t="shared" si="544"/>
        <v>BatchOut_171026_r5178_FinalRel-v3-SSTSG_SSTDG\x.cibd16</v>
      </c>
      <c r="D126" s="27" t="str">
        <f t="shared" si="545"/>
        <v>BatchOut_171026_r5178_FinalRel-v3-SSTSG_SSTDG\XML\</v>
      </c>
      <c r="E126" s="9" t="str">
        <f t="shared" si="546"/>
        <v>x</v>
      </c>
      <c r="F126" s="22"/>
      <c r="G126" s="29"/>
      <c r="H126" s="23" t="str">
        <f t="shared" si="547"/>
        <v/>
      </c>
      <c r="I126" s="9" t="s">
        <v>11</v>
      </c>
      <c r="J12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6" s="15" t="s">
        <v>1</v>
      </c>
      <c r="L126" s="36">
        <f t="shared" si="573"/>
        <v>0</v>
      </c>
      <c r="M126" s="91" t="str">
        <f t="shared" si="548"/>
        <v>x</v>
      </c>
      <c r="N126" s="90" t="s">
        <v>149</v>
      </c>
      <c r="O126" s="28" t="str">
        <f t="shared" si="574"/>
        <v>x</v>
      </c>
      <c r="P126" s="36">
        <f t="shared" si="575"/>
        <v>1</v>
      </c>
      <c r="Q126" s="36">
        <f t="shared" si="549"/>
        <v>1</v>
      </c>
      <c r="R126" s="36">
        <f t="shared" si="550"/>
        <v>0</v>
      </c>
      <c r="S126" s="36">
        <f t="shared" si="551"/>
        <v>1</v>
      </c>
      <c r="T126" s="36">
        <f t="shared" si="552"/>
        <v>0</v>
      </c>
      <c r="U126" s="36">
        <f t="shared" si="553"/>
        <v>8</v>
      </c>
      <c r="V126" s="36">
        <f t="shared" si="554"/>
        <v>8</v>
      </c>
      <c r="W126" s="36">
        <f t="shared" si="555"/>
        <v>1</v>
      </c>
      <c r="X126" s="36">
        <f t="shared" si="556"/>
        <v>0</v>
      </c>
      <c r="Y126" s="36">
        <f t="shared" si="557"/>
        <v>0</v>
      </c>
      <c r="Z126" s="36">
        <f t="shared" si="558"/>
        <v>0</v>
      </c>
      <c r="AA126" s="36">
        <f t="shared" si="558"/>
        <v>0</v>
      </c>
      <c r="AB126" s="36">
        <f t="shared" si="558"/>
        <v>1</v>
      </c>
      <c r="AC126" s="36">
        <f t="shared" si="560"/>
        <v>0</v>
      </c>
      <c r="AD126" s="36">
        <f t="shared" si="561"/>
        <v>1</v>
      </c>
      <c r="AE126" s="36">
        <f t="shared" si="561"/>
        <v>0</v>
      </c>
      <c r="AF126" s="36">
        <f t="shared" ref="AF126:AG126" si="600">AF125</f>
        <v>0</v>
      </c>
      <c r="AG126" s="36">
        <f t="shared" si="600"/>
        <v>0</v>
      </c>
      <c r="AH126" s="36">
        <f t="shared" ref="AH126:AI126" si="601">AH125</f>
        <v>0</v>
      </c>
      <c r="AI126" s="36">
        <f t="shared" si="601"/>
        <v>0</v>
      </c>
      <c r="AJ126" s="36">
        <f t="shared" si="564"/>
        <v>0</v>
      </c>
      <c r="AK126" s="36">
        <f t="shared" si="565"/>
        <v>0</v>
      </c>
      <c r="AL126" s="36">
        <f t="shared" si="566"/>
        <v>0</v>
      </c>
      <c r="AM126" s="36">
        <f t="shared" si="567"/>
        <v>0</v>
      </c>
      <c r="AN126" s="36">
        <f t="shared" si="568"/>
        <v>0</v>
      </c>
      <c r="AO126" s="36">
        <f t="shared" si="569"/>
        <v>0</v>
      </c>
      <c r="AP126" s="36">
        <f t="shared" si="570"/>
        <v>0</v>
      </c>
      <c r="AQ126" s="36">
        <f t="shared" si="571"/>
        <v>0</v>
      </c>
      <c r="AR126" s="36">
        <f t="shared" si="572"/>
        <v>0</v>
      </c>
      <c r="AS126" s="31" t="str">
        <f t="shared" si="578"/>
        <v>SimulationStorage,1,</v>
      </c>
      <c r="AT126" s="31" t="str">
        <f t="shared" si="579"/>
        <v>AnalysisStorage,1,</v>
      </c>
      <c r="AU126" s="31" t="str">
        <f t="shared" si="580"/>
        <v>LogRuleEvaluation,0,</v>
      </c>
      <c r="AV126" s="31" t="str">
        <f t="shared" si="581"/>
        <v>ParallelSimulations,1,</v>
      </c>
      <c r="AW126" s="31" t="str">
        <f t="shared" si="582"/>
        <v>DurationStats,0,</v>
      </c>
      <c r="AX126" s="31" t="str">
        <f t="shared" si="583"/>
        <v>AnalysisThruStep,8,</v>
      </c>
      <c r="AY126" s="31" t="str">
        <f t="shared" si="584"/>
        <v>DontAbortOnErrorsThruStep,8,</v>
      </c>
      <c r="AZ126" s="31" t="str">
        <f t="shared" si="585"/>
        <v>BypassValidFileChecks,1,</v>
      </c>
      <c r="BA126" s="31" t="str">
        <f t="shared" si="586"/>
        <v>BypassInputChecks,0,</v>
      </c>
      <c r="BB126" s="31" t="str">
        <f t="shared" si="587"/>
        <v>BypassUMLHChecks,0,</v>
      </c>
      <c r="BC126" s="31" t="str">
        <f t="shared" si="588"/>
        <v>BypassCheckSimRules,0,</v>
      </c>
      <c r="BD126" s="31" t="str">
        <f t="shared" si="589"/>
        <v>BypassCheckCodeRules,0,</v>
      </c>
      <c r="BE126" s="31" t="str">
        <f t="shared" si="526"/>
        <v>StoreResultsToModelInput,1,</v>
      </c>
      <c r="BF126" s="31" t="str">
        <f t="shared" si="527"/>
        <v>StoreBEMDetails,0,</v>
      </c>
      <c r="BG126" s="31" t="str">
        <f t="shared" si="528"/>
        <v>ModelRpt_ALL,1,</v>
      </c>
      <c r="BH126" s="31" t="str">
        <f t="shared" si="529"/>
        <v>ExportHourlyResults_All,0,</v>
      </c>
      <c r="BI126" s="31" t="str">
        <f t="shared" si="530"/>
        <v>ComplianceReportPDF,0,</v>
      </c>
      <c r="BJ126" s="31" t="str">
        <f t="shared" si="531"/>
        <v>ComplianceReportXML,0,</v>
      </c>
      <c r="BK126" s="31" t="str">
        <f t="shared" si="532"/>
        <v>QuickAnalysis,0,</v>
      </c>
      <c r="BL126" s="31" t="str">
        <f t="shared" si="532"/>
        <v>PromptUserUMLHWarning,0,</v>
      </c>
      <c r="BM126" s="31" t="str">
        <f t="shared" si="533"/>
        <v>BypassOpenStudio_all,0,</v>
      </c>
      <c r="BN126" s="31" t="str">
        <f t="shared" si="534"/>
        <v>BypassOpenStudio_zp,0,</v>
      </c>
      <c r="BO126" s="31" t="str">
        <f t="shared" si="535"/>
        <v>BypassOpenStudio_zb,0,</v>
      </c>
      <c r="BP126" s="31" t="str">
        <f t="shared" si="536"/>
        <v>BypassOpenStudio_ap,0,</v>
      </c>
      <c r="BQ126" s="31" t="str">
        <f t="shared" si="537"/>
        <v>BypassOpenStudio_ab,0,</v>
      </c>
      <c r="BR126" s="31" t="str">
        <f t="shared" si="538"/>
        <v>BypassOpenStudio_zp,0,</v>
      </c>
      <c r="BS126" s="31" t="str">
        <f t="shared" si="539"/>
        <v>BypassOpenStudio_zb,0,</v>
      </c>
      <c r="BT126" s="31" t="str">
        <f t="shared" si="540"/>
        <v>BypassOpenStudio_ap,0,</v>
      </c>
      <c r="BU126" s="31" t="str">
        <f t="shared" si="541"/>
        <v>BypassOpenStudio_ab,0,</v>
      </c>
    </row>
    <row r="127" spans="1:73" hidden="1" outlineLevel="1" x14ac:dyDescent="0.25">
      <c r="A127" s="39">
        <f t="shared" si="542"/>
        <v>0</v>
      </c>
      <c r="B127" s="27" t="str">
        <f t="shared" si="543"/>
        <v>SoftwareSensitivity2016Tests\DetailedGeometry\x.cibd16</v>
      </c>
      <c r="C127" s="27" t="str">
        <f t="shared" si="544"/>
        <v>BatchOut_171026_r5178_FinalRel-v3-SSTSG_SSTDG\x.cibd16</v>
      </c>
      <c r="D127" s="27" t="str">
        <f t="shared" si="545"/>
        <v>BatchOut_171026_r5178_FinalRel-v3-SSTSG_SSTDG\XML\</v>
      </c>
      <c r="E127" s="9" t="str">
        <f t="shared" si="546"/>
        <v>x</v>
      </c>
      <c r="F127" s="22"/>
      <c r="G127" s="29"/>
      <c r="H127" s="23" t="str">
        <f t="shared" si="547"/>
        <v/>
      </c>
      <c r="I127" s="9" t="s">
        <v>11</v>
      </c>
      <c r="J12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7" s="15" t="s">
        <v>1</v>
      </c>
      <c r="L127" s="36">
        <f t="shared" si="573"/>
        <v>0</v>
      </c>
      <c r="M127" s="91" t="str">
        <f t="shared" si="548"/>
        <v>x</v>
      </c>
      <c r="N127" s="90" t="s">
        <v>149</v>
      </c>
      <c r="O127" s="28" t="str">
        <f t="shared" si="574"/>
        <v>x</v>
      </c>
      <c r="P127" s="36">
        <f t="shared" si="575"/>
        <v>1</v>
      </c>
      <c r="Q127" s="36">
        <f t="shared" si="549"/>
        <v>1</v>
      </c>
      <c r="R127" s="36">
        <f t="shared" si="550"/>
        <v>0</v>
      </c>
      <c r="S127" s="36">
        <f t="shared" si="551"/>
        <v>1</v>
      </c>
      <c r="T127" s="36">
        <f t="shared" si="552"/>
        <v>0</v>
      </c>
      <c r="U127" s="36">
        <f t="shared" si="553"/>
        <v>8</v>
      </c>
      <c r="V127" s="36">
        <f t="shared" si="554"/>
        <v>8</v>
      </c>
      <c r="W127" s="36">
        <f t="shared" si="555"/>
        <v>1</v>
      </c>
      <c r="X127" s="36">
        <f t="shared" si="556"/>
        <v>0</v>
      </c>
      <c r="Y127" s="36">
        <f t="shared" si="557"/>
        <v>0</v>
      </c>
      <c r="Z127" s="36">
        <f t="shared" si="558"/>
        <v>0</v>
      </c>
      <c r="AA127" s="36">
        <f t="shared" si="558"/>
        <v>0</v>
      </c>
      <c r="AB127" s="36">
        <f t="shared" si="558"/>
        <v>1</v>
      </c>
      <c r="AC127" s="36">
        <f t="shared" si="560"/>
        <v>0</v>
      </c>
      <c r="AD127" s="36">
        <f t="shared" si="561"/>
        <v>1</v>
      </c>
      <c r="AE127" s="36">
        <f t="shared" si="561"/>
        <v>0</v>
      </c>
      <c r="AF127" s="36">
        <f t="shared" ref="AF127:AG127" si="602">AF126</f>
        <v>0</v>
      </c>
      <c r="AG127" s="36">
        <f t="shared" si="602"/>
        <v>0</v>
      </c>
      <c r="AH127" s="36">
        <f t="shared" ref="AH127:AI127" si="603">AH126</f>
        <v>0</v>
      </c>
      <c r="AI127" s="36">
        <f t="shared" si="603"/>
        <v>0</v>
      </c>
      <c r="AJ127" s="36">
        <f t="shared" si="564"/>
        <v>0</v>
      </c>
      <c r="AK127" s="36">
        <f t="shared" si="565"/>
        <v>0</v>
      </c>
      <c r="AL127" s="36">
        <f t="shared" si="566"/>
        <v>0</v>
      </c>
      <c r="AM127" s="36">
        <f t="shared" si="567"/>
        <v>0</v>
      </c>
      <c r="AN127" s="36">
        <f t="shared" si="568"/>
        <v>0</v>
      </c>
      <c r="AO127" s="36">
        <f t="shared" si="569"/>
        <v>0</v>
      </c>
      <c r="AP127" s="36">
        <f t="shared" si="570"/>
        <v>0</v>
      </c>
      <c r="AQ127" s="36">
        <f t="shared" si="571"/>
        <v>0</v>
      </c>
      <c r="AR127" s="36">
        <f t="shared" si="572"/>
        <v>0</v>
      </c>
      <c r="AS127" s="31" t="str">
        <f t="shared" si="578"/>
        <v>SimulationStorage,1,</v>
      </c>
      <c r="AT127" s="31" t="str">
        <f t="shared" si="579"/>
        <v>AnalysisStorage,1,</v>
      </c>
      <c r="AU127" s="31" t="str">
        <f t="shared" si="580"/>
        <v>LogRuleEvaluation,0,</v>
      </c>
      <c r="AV127" s="31" t="str">
        <f t="shared" si="581"/>
        <v>ParallelSimulations,1,</v>
      </c>
      <c r="AW127" s="31" t="str">
        <f t="shared" si="582"/>
        <v>DurationStats,0,</v>
      </c>
      <c r="AX127" s="31" t="str">
        <f t="shared" si="583"/>
        <v>AnalysisThruStep,8,</v>
      </c>
      <c r="AY127" s="31" t="str">
        <f t="shared" si="584"/>
        <v>DontAbortOnErrorsThruStep,8,</v>
      </c>
      <c r="AZ127" s="31" t="str">
        <f t="shared" si="585"/>
        <v>BypassValidFileChecks,1,</v>
      </c>
      <c r="BA127" s="31" t="str">
        <f t="shared" si="586"/>
        <v>BypassInputChecks,0,</v>
      </c>
      <c r="BB127" s="31" t="str">
        <f t="shared" si="587"/>
        <v>BypassUMLHChecks,0,</v>
      </c>
      <c r="BC127" s="31" t="str">
        <f t="shared" si="588"/>
        <v>BypassCheckSimRules,0,</v>
      </c>
      <c r="BD127" s="31" t="str">
        <f t="shared" si="589"/>
        <v>BypassCheckCodeRules,0,</v>
      </c>
      <c r="BE127" s="31" t="str">
        <f t="shared" si="526"/>
        <v>StoreResultsToModelInput,1,</v>
      </c>
      <c r="BF127" s="31" t="str">
        <f t="shared" si="527"/>
        <v>StoreBEMDetails,0,</v>
      </c>
      <c r="BG127" s="31" t="str">
        <f t="shared" si="528"/>
        <v>ModelRpt_ALL,1,</v>
      </c>
      <c r="BH127" s="31" t="str">
        <f t="shared" si="529"/>
        <v>ExportHourlyResults_All,0,</v>
      </c>
      <c r="BI127" s="31" t="str">
        <f t="shared" si="530"/>
        <v>ComplianceReportPDF,0,</v>
      </c>
      <c r="BJ127" s="31" t="str">
        <f t="shared" si="531"/>
        <v>ComplianceReportXML,0,</v>
      </c>
      <c r="BK127" s="31" t="str">
        <f t="shared" si="532"/>
        <v>QuickAnalysis,0,</v>
      </c>
      <c r="BL127" s="31" t="str">
        <f t="shared" si="532"/>
        <v>PromptUserUMLHWarning,0,</v>
      </c>
      <c r="BM127" s="31" t="str">
        <f t="shared" si="533"/>
        <v>BypassOpenStudio_all,0,</v>
      </c>
      <c r="BN127" s="31" t="str">
        <f t="shared" si="534"/>
        <v>BypassOpenStudio_zp,0,</v>
      </c>
      <c r="BO127" s="31" t="str">
        <f t="shared" si="535"/>
        <v>BypassOpenStudio_zb,0,</v>
      </c>
      <c r="BP127" s="31" t="str">
        <f t="shared" si="536"/>
        <v>BypassOpenStudio_ap,0,</v>
      </c>
      <c r="BQ127" s="31" t="str">
        <f t="shared" si="537"/>
        <v>BypassOpenStudio_ab,0,</v>
      </c>
      <c r="BR127" s="31" t="str">
        <f t="shared" si="538"/>
        <v>BypassOpenStudio_zp,0,</v>
      </c>
      <c r="BS127" s="31" t="str">
        <f t="shared" si="539"/>
        <v>BypassOpenStudio_zb,0,</v>
      </c>
      <c r="BT127" s="31" t="str">
        <f t="shared" si="540"/>
        <v>BypassOpenStudio_ap,0,</v>
      </c>
      <c r="BU127" s="31" t="str">
        <f t="shared" si="541"/>
        <v>BypassOpenStudio_ab,0,</v>
      </c>
    </row>
    <row r="128" spans="1:73" hidden="1" outlineLevel="1" x14ac:dyDescent="0.25">
      <c r="A128" s="39">
        <f t="shared" si="542"/>
        <v>0</v>
      </c>
      <c r="B128" s="27" t="str">
        <f t="shared" si="543"/>
        <v>SoftwareSensitivity2016Tests\DetailedGeometry\x.cibd16</v>
      </c>
      <c r="C128" s="27" t="str">
        <f t="shared" si="544"/>
        <v>BatchOut_171026_r5178_FinalRel-v3-SSTSG_SSTDG\x.cibd16</v>
      </c>
      <c r="D128" s="27" t="str">
        <f t="shared" si="545"/>
        <v>BatchOut_171026_r5178_FinalRel-v3-SSTSG_SSTDG\XML\</v>
      </c>
      <c r="E128" s="9" t="str">
        <f t="shared" si="546"/>
        <v>x</v>
      </c>
      <c r="F128" s="22"/>
      <c r="G128" s="29"/>
      <c r="H128" s="23" t="str">
        <f t="shared" si="547"/>
        <v/>
      </c>
      <c r="I128" s="9" t="s">
        <v>11</v>
      </c>
      <c r="J12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8" s="15" t="s">
        <v>1</v>
      </c>
      <c r="L128" s="36">
        <f t="shared" si="573"/>
        <v>0</v>
      </c>
      <c r="M128" s="91" t="str">
        <f t="shared" si="548"/>
        <v>x</v>
      </c>
      <c r="N128" s="90" t="s">
        <v>149</v>
      </c>
      <c r="O128" s="28" t="str">
        <f t="shared" si="574"/>
        <v>x</v>
      </c>
      <c r="P128" s="36">
        <f t="shared" si="575"/>
        <v>1</v>
      </c>
      <c r="Q128" s="36">
        <f t="shared" si="549"/>
        <v>1</v>
      </c>
      <c r="R128" s="36">
        <f t="shared" si="550"/>
        <v>0</v>
      </c>
      <c r="S128" s="36">
        <f t="shared" si="551"/>
        <v>1</v>
      </c>
      <c r="T128" s="36">
        <f t="shared" si="552"/>
        <v>0</v>
      </c>
      <c r="U128" s="36">
        <f t="shared" si="553"/>
        <v>8</v>
      </c>
      <c r="V128" s="36">
        <f t="shared" si="554"/>
        <v>8</v>
      </c>
      <c r="W128" s="36">
        <f t="shared" si="555"/>
        <v>1</v>
      </c>
      <c r="X128" s="36">
        <f t="shared" si="556"/>
        <v>0</v>
      </c>
      <c r="Y128" s="36">
        <f t="shared" si="557"/>
        <v>0</v>
      </c>
      <c r="Z128" s="36">
        <f t="shared" si="558"/>
        <v>0</v>
      </c>
      <c r="AA128" s="36">
        <f t="shared" si="558"/>
        <v>0</v>
      </c>
      <c r="AB128" s="36">
        <f t="shared" si="558"/>
        <v>1</v>
      </c>
      <c r="AC128" s="36">
        <f t="shared" si="560"/>
        <v>0</v>
      </c>
      <c r="AD128" s="36">
        <f t="shared" si="561"/>
        <v>1</v>
      </c>
      <c r="AE128" s="36">
        <f t="shared" si="561"/>
        <v>0</v>
      </c>
      <c r="AF128" s="36">
        <f t="shared" ref="AF128:AG128" si="604">AF127</f>
        <v>0</v>
      </c>
      <c r="AG128" s="36">
        <f t="shared" si="604"/>
        <v>0</v>
      </c>
      <c r="AH128" s="36">
        <f t="shared" ref="AH128:AI128" si="605">AH127</f>
        <v>0</v>
      </c>
      <c r="AI128" s="36">
        <f t="shared" si="605"/>
        <v>0</v>
      </c>
      <c r="AJ128" s="36">
        <f t="shared" si="564"/>
        <v>0</v>
      </c>
      <c r="AK128" s="36">
        <f t="shared" si="565"/>
        <v>0</v>
      </c>
      <c r="AL128" s="36">
        <f t="shared" si="566"/>
        <v>0</v>
      </c>
      <c r="AM128" s="36">
        <f t="shared" si="567"/>
        <v>0</v>
      </c>
      <c r="AN128" s="36">
        <f t="shared" si="568"/>
        <v>0</v>
      </c>
      <c r="AO128" s="36">
        <f t="shared" si="569"/>
        <v>0</v>
      </c>
      <c r="AP128" s="36">
        <f t="shared" si="570"/>
        <v>0</v>
      </c>
      <c r="AQ128" s="36">
        <f t="shared" si="571"/>
        <v>0</v>
      </c>
      <c r="AR128" s="36">
        <f t="shared" si="572"/>
        <v>0</v>
      </c>
      <c r="AS128" s="31" t="str">
        <f t="shared" si="578"/>
        <v>SimulationStorage,1,</v>
      </c>
      <c r="AT128" s="31" t="str">
        <f t="shared" si="579"/>
        <v>AnalysisStorage,1,</v>
      </c>
      <c r="AU128" s="31" t="str">
        <f t="shared" si="580"/>
        <v>LogRuleEvaluation,0,</v>
      </c>
      <c r="AV128" s="31" t="str">
        <f t="shared" si="581"/>
        <v>ParallelSimulations,1,</v>
      </c>
      <c r="AW128" s="31" t="str">
        <f t="shared" si="582"/>
        <v>DurationStats,0,</v>
      </c>
      <c r="AX128" s="31" t="str">
        <f t="shared" si="583"/>
        <v>AnalysisThruStep,8,</v>
      </c>
      <c r="AY128" s="31" t="str">
        <f t="shared" si="584"/>
        <v>DontAbortOnErrorsThruStep,8,</v>
      </c>
      <c r="AZ128" s="31" t="str">
        <f t="shared" si="585"/>
        <v>BypassValidFileChecks,1,</v>
      </c>
      <c r="BA128" s="31" t="str">
        <f t="shared" si="586"/>
        <v>BypassInputChecks,0,</v>
      </c>
      <c r="BB128" s="31" t="str">
        <f t="shared" si="587"/>
        <v>BypassUMLHChecks,0,</v>
      </c>
      <c r="BC128" s="31" t="str">
        <f t="shared" si="588"/>
        <v>BypassCheckSimRules,0,</v>
      </c>
      <c r="BD128" s="31" t="str">
        <f t="shared" si="589"/>
        <v>BypassCheckCodeRules,0,</v>
      </c>
      <c r="BE128" s="31" t="str">
        <f t="shared" si="526"/>
        <v>StoreResultsToModelInput,1,</v>
      </c>
      <c r="BF128" s="31" t="str">
        <f t="shared" si="527"/>
        <v>StoreBEMDetails,0,</v>
      </c>
      <c r="BG128" s="31" t="str">
        <f t="shared" si="528"/>
        <v>ModelRpt_ALL,1,</v>
      </c>
      <c r="BH128" s="31" t="str">
        <f t="shared" si="529"/>
        <v>ExportHourlyResults_All,0,</v>
      </c>
      <c r="BI128" s="31" t="str">
        <f t="shared" si="530"/>
        <v>ComplianceReportPDF,0,</v>
      </c>
      <c r="BJ128" s="31" t="str">
        <f t="shared" si="531"/>
        <v>ComplianceReportXML,0,</v>
      </c>
      <c r="BK128" s="31" t="str">
        <f t="shared" si="532"/>
        <v>QuickAnalysis,0,</v>
      </c>
      <c r="BL128" s="31" t="str">
        <f t="shared" si="532"/>
        <v>PromptUserUMLHWarning,0,</v>
      </c>
      <c r="BM128" s="31" t="str">
        <f t="shared" si="533"/>
        <v>BypassOpenStudio_all,0,</v>
      </c>
      <c r="BN128" s="31" t="str">
        <f t="shared" si="534"/>
        <v>BypassOpenStudio_zp,0,</v>
      </c>
      <c r="BO128" s="31" t="str">
        <f t="shared" si="535"/>
        <v>BypassOpenStudio_zb,0,</v>
      </c>
      <c r="BP128" s="31" t="str">
        <f t="shared" si="536"/>
        <v>BypassOpenStudio_ap,0,</v>
      </c>
      <c r="BQ128" s="31" t="str">
        <f t="shared" si="537"/>
        <v>BypassOpenStudio_ab,0,</v>
      </c>
      <c r="BR128" s="31" t="str">
        <f t="shared" si="538"/>
        <v>BypassOpenStudio_zp,0,</v>
      </c>
      <c r="BS128" s="31" t="str">
        <f t="shared" si="539"/>
        <v>BypassOpenStudio_zb,0,</v>
      </c>
      <c r="BT128" s="31" t="str">
        <f t="shared" si="540"/>
        <v>BypassOpenStudio_ap,0,</v>
      </c>
      <c r="BU128" s="31" t="str">
        <f t="shared" si="541"/>
        <v>BypassOpenStudio_ab,0,</v>
      </c>
    </row>
    <row r="129" spans="1:73" hidden="1" outlineLevel="1" x14ac:dyDescent="0.25">
      <c r="A129" s="39">
        <f t="shared" si="542"/>
        <v>0</v>
      </c>
      <c r="B129" s="27" t="str">
        <f t="shared" si="543"/>
        <v>SoftwareSensitivity2016Tests\DetailedGeometry\x.cibd16</v>
      </c>
      <c r="C129" s="27" t="str">
        <f t="shared" si="544"/>
        <v>BatchOut_171026_r5178_FinalRel-v3-SSTSG_SSTDG\x.cibd16</v>
      </c>
      <c r="D129" s="27" t="str">
        <f t="shared" si="545"/>
        <v>BatchOut_171026_r5178_FinalRel-v3-SSTSG_SSTDG\XML\</v>
      </c>
      <c r="E129" s="9" t="str">
        <f t="shared" si="546"/>
        <v>x</v>
      </c>
      <c r="F129" s="22"/>
      <c r="G129" s="29"/>
      <c r="H129" s="23" t="str">
        <f t="shared" si="547"/>
        <v/>
      </c>
      <c r="I129" s="9" t="s">
        <v>11</v>
      </c>
      <c r="J12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9" s="15" t="s">
        <v>1</v>
      </c>
      <c r="L129" s="36">
        <f t="shared" si="573"/>
        <v>0</v>
      </c>
      <c r="M129" s="91" t="str">
        <f t="shared" si="548"/>
        <v>x</v>
      </c>
      <c r="N129" s="90" t="s">
        <v>149</v>
      </c>
      <c r="O129" s="28" t="str">
        <f t="shared" si="574"/>
        <v>x</v>
      </c>
      <c r="P129" s="36">
        <f t="shared" si="575"/>
        <v>1</v>
      </c>
      <c r="Q129" s="36">
        <f t="shared" si="549"/>
        <v>1</v>
      </c>
      <c r="R129" s="36">
        <f t="shared" si="550"/>
        <v>0</v>
      </c>
      <c r="S129" s="36">
        <f t="shared" si="551"/>
        <v>1</v>
      </c>
      <c r="T129" s="36">
        <f t="shared" si="552"/>
        <v>0</v>
      </c>
      <c r="U129" s="36">
        <f t="shared" si="553"/>
        <v>8</v>
      </c>
      <c r="V129" s="36">
        <f t="shared" si="554"/>
        <v>8</v>
      </c>
      <c r="W129" s="36">
        <f t="shared" si="555"/>
        <v>1</v>
      </c>
      <c r="X129" s="36">
        <f t="shared" si="556"/>
        <v>0</v>
      </c>
      <c r="Y129" s="36">
        <f t="shared" si="557"/>
        <v>0</v>
      </c>
      <c r="Z129" s="36">
        <f t="shared" si="558"/>
        <v>0</v>
      </c>
      <c r="AA129" s="36">
        <f t="shared" si="558"/>
        <v>0</v>
      </c>
      <c r="AB129" s="36">
        <f t="shared" si="558"/>
        <v>1</v>
      </c>
      <c r="AC129" s="36">
        <f t="shared" si="560"/>
        <v>0</v>
      </c>
      <c r="AD129" s="36">
        <f t="shared" si="561"/>
        <v>1</v>
      </c>
      <c r="AE129" s="36">
        <f t="shared" si="561"/>
        <v>0</v>
      </c>
      <c r="AF129" s="36">
        <f t="shared" ref="AF129:AG129" si="606">AF128</f>
        <v>0</v>
      </c>
      <c r="AG129" s="36">
        <f t="shared" si="606"/>
        <v>0</v>
      </c>
      <c r="AH129" s="36">
        <f t="shared" ref="AH129:AI129" si="607">AH128</f>
        <v>0</v>
      </c>
      <c r="AI129" s="36">
        <f t="shared" si="607"/>
        <v>0</v>
      </c>
      <c r="AJ129" s="36">
        <f t="shared" si="564"/>
        <v>0</v>
      </c>
      <c r="AK129" s="36">
        <f t="shared" si="565"/>
        <v>0</v>
      </c>
      <c r="AL129" s="36">
        <f t="shared" si="566"/>
        <v>0</v>
      </c>
      <c r="AM129" s="36">
        <f t="shared" si="567"/>
        <v>0</v>
      </c>
      <c r="AN129" s="36">
        <f t="shared" si="568"/>
        <v>0</v>
      </c>
      <c r="AO129" s="36">
        <f t="shared" si="569"/>
        <v>0</v>
      </c>
      <c r="AP129" s="36">
        <f t="shared" si="570"/>
        <v>0</v>
      </c>
      <c r="AQ129" s="36">
        <f t="shared" si="571"/>
        <v>0</v>
      </c>
      <c r="AR129" s="36">
        <f t="shared" si="572"/>
        <v>0</v>
      </c>
      <c r="AS129" s="31" t="str">
        <f t="shared" si="578"/>
        <v>SimulationStorage,1,</v>
      </c>
      <c r="AT129" s="31" t="str">
        <f t="shared" si="579"/>
        <v>AnalysisStorage,1,</v>
      </c>
      <c r="AU129" s="31" t="str">
        <f t="shared" si="580"/>
        <v>LogRuleEvaluation,0,</v>
      </c>
      <c r="AV129" s="31" t="str">
        <f t="shared" si="581"/>
        <v>ParallelSimulations,1,</v>
      </c>
      <c r="AW129" s="31" t="str">
        <f t="shared" si="582"/>
        <v>DurationStats,0,</v>
      </c>
      <c r="AX129" s="31" t="str">
        <f t="shared" si="583"/>
        <v>AnalysisThruStep,8,</v>
      </c>
      <c r="AY129" s="31" t="str">
        <f t="shared" si="584"/>
        <v>DontAbortOnErrorsThruStep,8,</v>
      </c>
      <c r="AZ129" s="31" t="str">
        <f t="shared" si="585"/>
        <v>BypassValidFileChecks,1,</v>
      </c>
      <c r="BA129" s="31" t="str">
        <f t="shared" si="586"/>
        <v>BypassInputChecks,0,</v>
      </c>
      <c r="BB129" s="31" t="str">
        <f t="shared" si="587"/>
        <v>BypassUMLHChecks,0,</v>
      </c>
      <c r="BC129" s="31" t="str">
        <f t="shared" si="588"/>
        <v>BypassCheckSimRules,0,</v>
      </c>
      <c r="BD129" s="31" t="str">
        <f t="shared" si="589"/>
        <v>BypassCheckCodeRules,0,</v>
      </c>
      <c r="BE129" s="31" t="str">
        <f t="shared" si="526"/>
        <v>StoreResultsToModelInput,1,</v>
      </c>
      <c r="BF129" s="31" t="str">
        <f t="shared" si="527"/>
        <v>StoreBEMDetails,0,</v>
      </c>
      <c r="BG129" s="31" t="str">
        <f t="shared" si="528"/>
        <v>ModelRpt_ALL,1,</v>
      </c>
      <c r="BH129" s="31" t="str">
        <f t="shared" si="529"/>
        <v>ExportHourlyResults_All,0,</v>
      </c>
      <c r="BI129" s="31" t="str">
        <f t="shared" si="530"/>
        <v>ComplianceReportPDF,0,</v>
      </c>
      <c r="BJ129" s="31" t="str">
        <f t="shared" si="531"/>
        <v>ComplianceReportXML,0,</v>
      </c>
      <c r="BK129" s="31" t="str">
        <f t="shared" si="532"/>
        <v>QuickAnalysis,0,</v>
      </c>
      <c r="BL129" s="31" t="str">
        <f t="shared" si="532"/>
        <v>PromptUserUMLHWarning,0,</v>
      </c>
      <c r="BM129" s="31" t="str">
        <f t="shared" si="533"/>
        <v>BypassOpenStudio_all,0,</v>
      </c>
      <c r="BN129" s="31" t="str">
        <f t="shared" si="534"/>
        <v>BypassOpenStudio_zp,0,</v>
      </c>
      <c r="BO129" s="31" t="str">
        <f t="shared" si="535"/>
        <v>BypassOpenStudio_zb,0,</v>
      </c>
      <c r="BP129" s="31" t="str">
        <f t="shared" si="536"/>
        <v>BypassOpenStudio_ap,0,</v>
      </c>
      <c r="BQ129" s="31" t="str">
        <f t="shared" si="537"/>
        <v>BypassOpenStudio_ab,0,</v>
      </c>
      <c r="BR129" s="31" t="str">
        <f t="shared" si="538"/>
        <v>BypassOpenStudio_zp,0,</v>
      </c>
      <c r="BS129" s="31" t="str">
        <f t="shared" si="539"/>
        <v>BypassOpenStudio_zb,0,</v>
      </c>
      <c r="BT129" s="31" t="str">
        <f t="shared" si="540"/>
        <v>BypassOpenStudio_ap,0,</v>
      </c>
      <c r="BU129" s="31" t="str">
        <f t="shared" si="541"/>
        <v>BypassOpenStudio_ab,0,</v>
      </c>
    </row>
    <row r="130" spans="1:73" hidden="1" outlineLevel="1" x14ac:dyDescent="0.25">
      <c r="A130" s="39">
        <f t="shared" si="542"/>
        <v>0</v>
      </c>
      <c r="B130" s="27" t="str">
        <f t="shared" si="543"/>
        <v>SoftwareSensitivity2016Tests\DetailedGeometry\x.cibd16</v>
      </c>
      <c r="C130" s="27" t="str">
        <f t="shared" si="544"/>
        <v>BatchOut_171026_r5178_FinalRel-v3-SSTSG_SSTDG\x.cibd16</v>
      </c>
      <c r="D130" s="27" t="str">
        <f t="shared" si="545"/>
        <v>BatchOut_171026_r5178_FinalRel-v3-SSTSG_SSTDG\XML\</v>
      </c>
      <c r="E130" s="9" t="str">
        <f t="shared" si="546"/>
        <v>x</v>
      </c>
      <c r="F130" s="22"/>
      <c r="G130" s="29"/>
      <c r="H130" s="23" t="str">
        <f t="shared" si="547"/>
        <v/>
      </c>
      <c r="I130" s="9" t="s">
        <v>11</v>
      </c>
      <c r="J13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0" s="15" t="s">
        <v>1</v>
      </c>
      <c r="L130" s="36">
        <f t="shared" si="573"/>
        <v>0</v>
      </c>
      <c r="M130" s="91" t="str">
        <f t="shared" si="548"/>
        <v>x</v>
      </c>
      <c r="N130" s="90" t="s">
        <v>149</v>
      </c>
      <c r="O130" s="28" t="str">
        <f t="shared" si="574"/>
        <v>x</v>
      </c>
      <c r="P130" s="36">
        <f t="shared" si="575"/>
        <v>1</v>
      </c>
      <c r="Q130" s="36">
        <f t="shared" si="549"/>
        <v>1</v>
      </c>
      <c r="R130" s="36">
        <f t="shared" si="550"/>
        <v>0</v>
      </c>
      <c r="S130" s="36">
        <f t="shared" si="551"/>
        <v>1</v>
      </c>
      <c r="T130" s="36">
        <f t="shared" si="552"/>
        <v>0</v>
      </c>
      <c r="U130" s="36">
        <f t="shared" si="553"/>
        <v>8</v>
      </c>
      <c r="V130" s="36">
        <f t="shared" si="554"/>
        <v>8</v>
      </c>
      <c r="W130" s="36">
        <f t="shared" si="555"/>
        <v>1</v>
      </c>
      <c r="X130" s="36">
        <f t="shared" si="556"/>
        <v>0</v>
      </c>
      <c r="Y130" s="36">
        <f t="shared" si="557"/>
        <v>0</v>
      </c>
      <c r="Z130" s="36">
        <f t="shared" si="558"/>
        <v>0</v>
      </c>
      <c r="AA130" s="36">
        <f t="shared" si="558"/>
        <v>0</v>
      </c>
      <c r="AB130" s="36">
        <f t="shared" si="558"/>
        <v>1</v>
      </c>
      <c r="AC130" s="36">
        <f t="shared" si="560"/>
        <v>0</v>
      </c>
      <c r="AD130" s="36">
        <f t="shared" si="561"/>
        <v>1</v>
      </c>
      <c r="AE130" s="36">
        <f t="shared" si="561"/>
        <v>0</v>
      </c>
      <c r="AF130" s="36">
        <f t="shared" ref="AF130:AG130" si="608">AF129</f>
        <v>0</v>
      </c>
      <c r="AG130" s="36">
        <f t="shared" si="608"/>
        <v>0</v>
      </c>
      <c r="AH130" s="36">
        <f t="shared" ref="AH130:AI130" si="609">AH129</f>
        <v>0</v>
      </c>
      <c r="AI130" s="36">
        <f t="shared" si="609"/>
        <v>0</v>
      </c>
      <c r="AJ130" s="36">
        <f t="shared" si="564"/>
        <v>0</v>
      </c>
      <c r="AK130" s="36">
        <f t="shared" si="565"/>
        <v>0</v>
      </c>
      <c r="AL130" s="36">
        <f t="shared" si="566"/>
        <v>0</v>
      </c>
      <c r="AM130" s="36">
        <f t="shared" si="567"/>
        <v>0</v>
      </c>
      <c r="AN130" s="36">
        <f t="shared" si="568"/>
        <v>0</v>
      </c>
      <c r="AO130" s="36">
        <f t="shared" si="569"/>
        <v>0</v>
      </c>
      <c r="AP130" s="36">
        <f t="shared" si="570"/>
        <v>0</v>
      </c>
      <c r="AQ130" s="36">
        <f t="shared" si="571"/>
        <v>0</v>
      </c>
      <c r="AR130" s="36">
        <f t="shared" si="572"/>
        <v>0</v>
      </c>
      <c r="AS130" s="31" t="str">
        <f t="shared" si="578"/>
        <v>SimulationStorage,1,</v>
      </c>
      <c r="AT130" s="31" t="str">
        <f t="shared" si="579"/>
        <v>AnalysisStorage,1,</v>
      </c>
      <c r="AU130" s="31" t="str">
        <f t="shared" si="580"/>
        <v>LogRuleEvaluation,0,</v>
      </c>
      <c r="AV130" s="31" t="str">
        <f t="shared" si="581"/>
        <v>ParallelSimulations,1,</v>
      </c>
      <c r="AW130" s="31" t="str">
        <f t="shared" si="582"/>
        <v>DurationStats,0,</v>
      </c>
      <c r="AX130" s="31" t="str">
        <f t="shared" si="583"/>
        <v>AnalysisThruStep,8,</v>
      </c>
      <c r="AY130" s="31" t="str">
        <f t="shared" si="584"/>
        <v>DontAbortOnErrorsThruStep,8,</v>
      </c>
      <c r="AZ130" s="31" t="str">
        <f t="shared" si="585"/>
        <v>BypassValidFileChecks,1,</v>
      </c>
      <c r="BA130" s="31" t="str">
        <f t="shared" si="586"/>
        <v>BypassInputChecks,0,</v>
      </c>
      <c r="BB130" s="31" t="str">
        <f t="shared" si="587"/>
        <v>BypassUMLHChecks,0,</v>
      </c>
      <c r="BC130" s="31" t="str">
        <f t="shared" si="588"/>
        <v>BypassCheckSimRules,0,</v>
      </c>
      <c r="BD130" s="31" t="str">
        <f t="shared" si="589"/>
        <v>BypassCheckCodeRules,0,</v>
      </c>
      <c r="BE130" s="31" t="str">
        <f t="shared" si="526"/>
        <v>StoreResultsToModelInput,1,</v>
      </c>
      <c r="BF130" s="31" t="str">
        <f t="shared" si="527"/>
        <v>StoreBEMDetails,0,</v>
      </c>
      <c r="BG130" s="31" t="str">
        <f t="shared" si="528"/>
        <v>ModelRpt_ALL,1,</v>
      </c>
      <c r="BH130" s="31" t="str">
        <f t="shared" si="529"/>
        <v>ExportHourlyResults_All,0,</v>
      </c>
      <c r="BI130" s="31" t="str">
        <f t="shared" si="530"/>
        <v>ComplianceReportPDF,0,</v>
      </c>
      <c r="BJ130" s="31" t="str">
        <f t="shared" si="531"/>
        <v>ComplianceReportXML,0,</v>
      </c>
      <c r="BK130" s="31" t="str">
        <f t="shared" si="532"/>
        <v>QuickAnalysis,0,</v>
      </c>
      <c r="BL130" s="31" t="str">
        <f t="shared" si="532"/>
        <v>PromptUserUMLHWarning,0,</v>
      </c>
      <c r="BM130" s="31" t="str">
        <f t="shared" si="533"/>
        <v>BypassOpenStudio_all,0,</v>
      </c>
      <c r="BN130" s="31" t="str">
        <f t="shared" si="534"/>
        <v>BypassOpenStudio_zp,0,</v>
      </c>
      <c r="BO130" s="31" t="str">
        <f t="shared" si="535"/>
        <v>BypassOpenStudio_zb,0,</v>
      </c>
      <c r="BP130" s="31" t="str">
        <f t="shared" si="536"/>
        <v>BypassOpenStudio_ap,0,</v>
      </c>
      <c r="BQ130" s="31" t="str">
        <f t="shared" si="537"/>
        <v>BypassOpenStudio_ab,0,</v>
      </c>
      <c r="BR130" s="31" t="str">
        <f t="shared" si="538"/>
        <v>BypassOpenStudio_zp,0,</v>
      </c>
      <c r="BS130" s="31" t="str">
        <f t="shared" si="539"/>
        <v>BypassOpenStudio_zb,0,</v>
      </c>
      <c r="BT130" s="31" t="str">
        <f t="shared" si="540"/>
        <v>BypassOpenStudio_ap,0,</v>
      </c>
      <c r="BU130" s="31" t="str">
        <f t="shared" si="541"/>
        <v>BypassOpenStudio_ab,0,</v>
      </c>
    </row>
    <row r="131" spans="1:73" hidden="1" outlineLevel="1" x14ac:dyDescent="0.25">
      <c r="A131" s="39">
        <f t="shared" si="542"/>
        <v>0</v>
      </c>
      <c r="B131" s="27" t="str">
        <f t="shared" si="543"/>
        <v>SoftwareSensitivity2016Tests\DetailedGeometry\x.cibd16</v>
      </c>
      <c r="C131" s="27" t="str">
        <f t="shared" si="544"/>
        <v>BatchOut_171026_r5178_FinalRel-v3-SSTSG_SSTDG\x.cibd16</v>
      </c>
      <c r="D131" s="27" t="str">
        <f t="shared" si="545"/>
        <v>BatchOut_171026_r5178_FinalRel-v3-SSTSG_SSTDG\XML\</v>
      </c>
      <c r="E131" s="9" t="str">
        <f t="shared" si="546"/>
        <v>x</v>
      </c>
      <c r="F131" s="22"/>
      <c r="G131" s="29"/>
      <c r="H131" s="23" t="str">
        <f t="shared" si="547"/>
        <v/>
      </c>
      <c r="I131" s="9" t="s">
        <v>11</v>
      </c>
      <c r="J13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1" s="15" t="s">
        <v>1</v>
      </c>
      <c r="L131" s="36">
        <f t="shared" si="573"/>
        <v>0</v>
      </c>
      <c r="M131" s="91" t="str">
        <f t="shared" si="548"/>
        <v>x</v>
      </c>
      <c r="N131" s="90" t="s">
        <v>149</v>
      </c>
      <c r="O131" s="28" t="str">
        <f t="shared" si="574"/>
        <v>x</v>
      </c>
      <c r="P131" s="36">
        <f t="shared" si="575"/>
        <v>1</v>
      </c>
      <c r="Q131" s="36">
        <f t="shared" si="549"/>
        <v>1</v>
      </c>
      <c r="R131" s="36">
        <f t="shared" si="550"/>
        <v>0</v>
      </c>
      <c r="S131" s="36">
        <f t="shared" si="551"/>
        <v>1</v>
      </c>
      <c r="T131" s="36">
        <f t="shared" si="552"/>
        <v>0</v>
      </c>
      <c r="U131" s="36">
        <f t="shared" si="553"/>
        <v>8</v>
      </c>
      <c r="V131" s="36">
        <f t="shared" si="554"/>
        <v>8</v>
      </c>
      <c r="W131" s="36">
        <f t="shared" si="555"/>
        <v>1</v>
      </c>
      <c r="X131" s="36">
        <f t="shared" si="556"/>
        <v>0</v>
      </c>
      <c r="Y131" s="36">
        <f t="shared" si="557"/>
        <v>0</v>
      </c>
      <c r="Z131" s="36">
        <f t="shared" si="558"/>
        <v>0</v>
      </c>
      <c r="AA131" s="36">
        <f t="shared" si="558"/>
        <v>0</v>
      </c>
      <c r="AB131" s="36">
        <f t="shared" si="558"/>
        <v>1</v>
      </c>
      <c r="AC131" s="36">
        <f t="shared" si="560"/>
        <v>0</v>
      </c>
      <c r="AD131" s="36">
        <f t="shared" si="561"/>
        <v>1</v>
      </c>
      <c r="AE131" s="36">
        <f t="shared" si="561"/>
        <v>0</v>
      </c>
      <c r="AF131" s="36">
        <f t="shared" ref="AF131:AG131" si="610">AF130</f>
        <v>0</v>
      </c>
      <c r="AG131" s="36">
        <f t="shared" si="610"/>
        <v>0</v>
      </c>
      <c r="AH131" s="36">
        <f t="shared" ref="AH131:AI131" si="611">AH130</f>
        <v>0</v>
      </c>
      <c r="AI131" s="36">
        <f t="shared" si="611"/>
        <v>0</v>
      </c>
      <c r="AJ131" s="36">
        <f t="shared" si="564"/>
        <v>0</v>
      </c>
      <c r="AK131" s="36">
        <f t="shared" si="565"/>
        <v>0</v>
      </c>
      <c r="AL131" s="36">
        <f t="shared" si="566"/>
        <v>0</v>
      </c>
      <c r="AM131" s="36">
        <f t="shared" si="567"/>
        <v>0</v>
      </c>
      <c r="AN131" s="36">
        <f t="shared" si="568"/>
        <v>0</v>
      </c>
      <c r="AO131" s="36">
        <f t="shared" si="569"/>
        <v>0</v>
      </c>
      <c r="AP131" s="36">
        <f t="shared" si="570"/>
        <v>0</v>
      </c>
      <c r="AQ131" s="36">
        <f t="shared" si="571"/>
        <v>0</v>
      </c>
      <c r="AR131" s="36">
        <f t="shared" si="572"/>
        <v>0</v>
      </c>
      <c r="AS131" s="31" t="str">
        <f t="shared" si="578"/>
        <v>SimulationStorage,1,</v>
      </c>
      <c r="AT131" s="31" t="str">
        <f t="shared" si="579"/>
        <v>AnalysisStorage,1,</v>
      </c>
      <c r="AU131" s="31" t="str">
        <f t="shared" si="580"/>
        <v>LogRuleEvaluation,0,</v>
      </c>
      <c r="AV131" s="31" t="str">
        <f t="shared" si="581"/>
        <v>ParallelSimulations,1,</v>
      </c>
      <c r="AW131" s="31" t="str">
        <f t="shared" si="582"/>
        <v>DurationStats,0,</v>
      </c>
      <c r="AX131" s="31" t="str">
        <f t="shared" si="583"/>
        <v>AnalysisThruStep,8,</v>
      </c>
      <c r="AY131" s="31" t="str">
        <f t="shared" si="584"/>
        <v>DontAbortOnErrorsThruStep,8,</v>
      </c>
      <c r="AZ131" s="31" t="str">
        <f t="shared" si="585"/>
        <v>BypassValidFileChecks,1,</v>
      </c>
      <c r="BA131" s="31" t="str">
        <f t="shared" si="586"/>
        <v>BypassInputChecks,0,</v>
      </c>
      <c r="BB131" s="31" t="str">
        <f t="shared" si="587"/>
        <v>BypassUMLHChecks,0,</v>
      </c>
      <c r="BC131" s="31" t="str">
        <f t="shared" si="588"/>
        <v>BypassCheckSimRules,0,</v>
      </c>
      <c r="BD131" s="31" t="str">
        <f t="shared" si="589"/>
        <v>BypassCheckCodeRules,0,</v>
      </c>
      <c r="BE131" s="31" t="str">
        <f t="shared" si="526"/>
        <v>StoreResultsToModelInput,1,</v>
      </c>
      <c r="BF131" s="31" t="str">
        <f t="shared" si="527"/>
        <v>StoreBEMDetails,0,</v>
      </c>
      <c r="BG131" s="31" t="str">
        <f t="shared" si="528"/>
        <v>ModelRpt_ALL,1,</v>
      </c>
      <c r="BH131" s="31" t="str">
        <f t="shared" si="529"/>
        <v>ExportHourlyResults_All,0,</v>
      </c>
      <c r="BI131" s="31" t="str">
        <f t="shared" si="530"/>
        <v>ComplianceReportPDF,0,</v>
      </c>
      <c r="BJ131" s="31" t="str">
        <f t="shared" si="531"/>
        <v>ComplianceReportXML,0,</v>
      </c>
      <c r="BK131" s="31" t="str">
        <f t="shared" si="532"/>
        <v>QuickAnalysis,0,</v>
      </c>
      <c r="BL131" s="31" t="str">
        <f t="shared" si="532"/>
        <v>PromptUserUMLHWarning,0,</v>
      </c>
      <c r="BM131" s="31" t="str">
        <f t="shared" si="533"/>
        <v>BypassOpenStudio_all,0,</v>
      </c>
      <c r="BN131" s="31" t="str">
        <f t="shared" si="534"/>
        <v>BypassOpenStudio_zp,0,</v>
      </c>
      <c r="BO131" s="31" t="str">
        <f t="shared" si="535"/>
        <v>BypassOpenStudio_zb,0,</v>
      </c>
      <c r="BP131" s="31" t="str">
        <f t="shared" si="536"/>
        <v>BypassOpenStudio_ap,0,</v>
      </c>
      <c r="BQ131" s="31" t="str">
        <f t="shared" si="537"/>
        <v>BypassOpenStudio_ab,0,</v>
      </c>
      <c r="BR131" s="31" t="str">
        <f t="shared" si="538"/>
        <v>BypassOpenStudio_zp,0,</v>
      </c>
      <c r="BS131" s="31" t="str">
        <f t="shared" si="539"/>
        <v>BypassOpenStudio_zb,0,</v>
      </c>
      <c r="BT131" s="31" t="str">
        <f t="shared" si="540"/>
        <v>BypassOpenStudio_ap,0,</v>
      </c>
      <c r="BU131" s="31" t="str">
        <f t="shared" si="541"/>
        <v>BypassOpenStudio_ab,0,</v>
      </c>
    </row>
    <row r="132" spans="1:73" hidden="1" outlineLevel="1" x14ac:dyDescent="0.25">
      <c r="A132" s="39">
        <f t="shared" si="542"/>
        <v>0</v>
      </c>
      <c r="B132" s="27" t="str">
        <f t="shared" si="543"/>
        <v>SoftwareSensitivity2016Tests\DetailedGeometry\x.cibd16</v>
      </c>
      <c r="C132" s="27" t="str">
        <f t="shared" si="544"/>
        <v>BatchOut_171026_r5178_FinalRel-v3-SSTSG_SSTDG\x.cibd16</v>
      </c>
      <c r="D132" s="27" t="str">
        <f t="shared" si="545"/>
        <v>BatchOut_171026_r5178_FinalRel-v3-SSTSG_SSTDG\XML\</v>
      </c>
      <c r="E132" s="9" t="str">
        <f t="shared" si="546"/>
        <v>x</v>
      </c>
      <c r="F132" s="22"/>
      <c r="G132" s="29"/>
      <c r="H132" s="23" t="str">
        <f t="shared" si="547"/>
        <v/>
      </c>
      <c r="I132" s="9" t="s">
        <v>11</v>
      </c>
      <c r="J13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2" s="15" t="s">
        <v>1</v>
      </c>
      <c r="L132" s="36">
        <f t="shared" si="573"/>
        <v>0</v>
      </c>
      <c r="M132" s="91" t="str">
        <f t="shared" si="548"/>
        <v>x</v>
      </c>
      <c r="N132" s="90" t="s">
        <v>149</v>
      </c>
      <c r="O132" s="28" t="str">
        <f t="shared" si="574"/>
        <v>x</v>
      </c>
      <c r="P132" s="36">
        <f t="shared" si="575"/>
        <v>1</v>
      </c>
      <c r="Q132" s="36">
        <f t="shared" si="549"/>
        <v>1</v>
      </c>
      <c r="R132" s="36">
        <f t="shared" si="550"/>
        <v>0</v>
      </c>
      <c r="S132" s="36">
        <f t="shared" si="551"/>
        <v>1</v>
      </c>
      <c r="T132" s="36">
        <f t="shared" si="552"/>
        <v>0</v>
      </c>
      <c r="U132" s="36">
        <f t="shared" si="553"/>
        <v>8</v>
      </c>
      <c r="V132" s="36">
        <f t="shared" si="554"/>
        <v>8</v>
      </c>
      <c r="W132" s="36">
        <f t="shared" si="555"/>
        <v>1</v>
      </c>
      <c r="X132" s="36">
        <f t="shared" si="556"/>
        <v>0</v>
      </c>
      <c r="Y132" s="36">
        <f t="shared" si="557"/>
        <v>0</v>
      </c>
      <c r="Z132" s="36">
        <f t="shared" si="558"/>
        <v>0</v>
      </c>
      <c r="AA132" s="36">
        <f t="shared" si="558"/>
        <v>0</v>
      </c>
      <c r="AB132" s="36">
        <f t="shared" si="558"/>
        <v>1</v>
      </c>
      <c r="AC132" s="36">
        <f t="shared" si="560"/>
        <v>0</v>
      </c>
      <c r="AD132" s="36">
        <f t="shared" si="561"/>
        <v>1</v>
      </c>
      <c r="AE132" s="36">
        <f t="shared" si="561"/>
        <v>0</v>
      </c>
      <c r="AF132" s="36">
        <f t="shared" ref="AF132:AG132" si="612">AF131</f>
        <v>0</v>
      </c>
      <c r="AG132" s="36">
        <f t="shared" si="612"/>
        <v>0</v>
      </c>
      <c r="AH132" s="36">
        <f t="shared" ref="AH132:AI132" si="613">AH131</f>
        <v>0</v>
      </c>
      <c r="AI132" s="36">
        <f t="shared" si="613"/>
        <v>0</v>
      </c>
      <c r="AJ132" s="36">
        <f t="shared" si="564"/>
        <v>0</v>
      </c>
      <c r="AK132" s="36">
        <f t="shared" si="565"/>
        <v>0</v>
      </c>
      <c r="AL132" s="36">
        <f t="shared" si="566"/>
        <v>0</v>
      </c>
      <c r="AM132" s="36">
        <f t="shared" si="567"/>
        <v>0</v>
      </c>
      <c r="AN132" s="36">
        <f t="shared" si="568"/>
        <v>0</v>
      </c>
      <c r="AO132" s="36">
        <f t="shared" si="569"/>
        <v>0</v>
      </c>
      <c r="AP132" s="36">
        <f t="shared" si="570"/>
        <v>0</v>
      </c>
      <c r="AQ132" s="36">
        <f t="shared" si="571"/>
        <v>0</v>
      </c>
      <c r="AR132" s="36">
        <f t="shared" si="572"/>
        <v>0</v>
      </c>
      <c r="AS132" s="31" t="str">
        <f t="shared" si="578"/>
        <v>SimulationStorage,1,</v>
      </c>
      <c r="AT132" s="31" t="str">
        <f t="shared" si="579"/>
        <v>AnalysisStorage,1,</v>
      </c>
      <c r="AU132" s="31" t="str">
        <f t="shared" si="580"/>
        <v>LogRuleEvaluation,0,</v>
      </c>
      <c r="AV132" s="31" t="str">
        <f t="shared" si="581"/>
        <v>ParallelSimulations,1,</v>
      </c>
      <c r="AW132" s="31" t="str">
        <f t="shared" si="582"/>
        <v>DurationStats,0,</v>
      </c>
      <c r="AX132" s="31" t="str">
        <f t="shared" si="583"/>
        <v>AnalysisThruStep,8,</v>
      </c>
      <c r="AY132" s="31" t="str">
        <f t="shared" si="584"/>
        <v>DontAbortOnErrorsThruStep,8,</v>
      </c>
      <c r="AZ132" s="31" t="str">
        <f t="shared" si="585"/>
        <v>BypassValidFileChecks,1,</v>
      </c>
      <c r="BA132" s="31" t="str">
        <f t="shared" si="586"/>
        <v>BypassInputChecks,0,</v>
      </c>
      <c r="BB132" s="31" t="str">
        <f t="shared" si="587"/>
        <v>BypassUMLHChecks,0,</v>
      </c>
      <c r="BC132" s="31" t="str">
        <f t="shared" si="588"/>
        <v>BypassCheckSimRules,0,</v>
      </c>
      <c r="BD132" s="31" t="str">
        <f t="shared" si="589"/>
        <v>BypassCheckCodeRules,0,</v>
      </c>
      <c r="BE132" s="31" t="str">
        <f t="shared" si="526"/>
        <v>StoreResultsToModelInput,1,</v>
      </c>
      <c r="BF132" s="31" t="str">
        <f t="shared" si="527"/>
        <v>StoreBEMDetails,0,</v>
      </c>
      <c r="BG132" s="31" t="str">
        <f t="shared" si="528"/>
        <v>ModelRpt_ALL,1,</v>
      </c>
      <c r="BH132" s="31" t="str">
        <f t="shared" si="529"/>
        <v>ExportHourlyResults_All,0,</v>
      </c>
      <c r="BI132" s="31" t="str">
        <f t="shared" si="530"/>
        <v>ComplianceReportPDF,0,</v>
      </c>
      <c r="BJ132" s="31" t="str">
        <f t="shared" si="531"/>
        <v>ComplianceReportXML,0,</v>
      </c>
      <c r="BK132" s="31" t="str">
        <f t="shared" si="532"/>
        <v>QuickAnalysis,0,</v>
      </c>
      <c r="BL132" s="31" t="str">
        <f t="shared" si="532"/>
        <v>PromptUserUMLHWarning,0,</v>
      </c>
      <c r="BM132" s="31" t="str">
        <f t="shared" si="533"/>
        <v>BypassOpenStudio_all,0,</v>
      </c>
      <c r="BN132" s="31" t="str">
        <f t="shared" si="534"/>
        <v>BypassOpenStudio_zp,0,</v>
      </c>
      <c r="BO132" s="31" t="str">
        <f t="shared" si="535"/>
        <v>BypassOpenStudio_zb,0,</v>
      </c>
      <c r="BP132" s="31" t="str">
        <f t="shared" si="536"/>
        <v>BypassOpenStudio_ap,0,</v>
      </c>
      <c r="BQ132" s="31" t="str">
        <f t="shared" si="537"/>
        <v>BypassOpenStudio_ab,0,</v>
      </c>
      <c r="BR132" s="31" t="str">
        <f t="shared" si="538"/>
        <v>BypassOpenStudio_zp,0,</v>
      </c>
      <c r="BS132" s="31" t="str">
        <f t="shared" si="539"/>
        <v>BypassOpenStudio_zb,0,</v>
      </c>
      <c r="BT132" s="31" t="str">
        <f t="shared" si="540"/>
        <v>BypassOpenStudio_ap,0,</v>
      </c>
      <c r="BU132" s="31" t="str">
        <f t="shared" si="541"/>
        <v>BypassOpenStudio_ab,0,</v>
      </c>
    </row>
    <row r="133" spans="1:73" hidden="1" outlineLevel="1" x14ac:dyDescent="0.25">
      <c r="A133" s="39">
        <f t="shared" si="542"/>
        <v>0</v>
      </c>
      <c r="B133" s="27" t="str">
        <f t="shared" si="543"/>
        <v>SoftwareSensitivity2016Tests\DetailedGeometry\x.cibd16</v>
      </c>
      <c r="C133" s="27" t="str">
        <f t="shared" si="544"/>
        <v>BatchOut_171026_r5178_FinalRel-v3-SSTSG_SSTDG\x.cibd16</v>
      </c>
      <c r="D133" s="27" t="str">
        <f t="shared" si="545"/>
        <v>BatchOut_171026_r5178_FinalRel-v3-SSTSG_SSTDG\XML\</v>
      </c>
      <c r="E133" s="9" t="str">
        <f t="shared" si="546"/>
        <v>x</v>
      </c>
      <c r="F133" s="22"/>
      <c r="G133" s="29"/>
      <c r="H133" s="23" t="str">
        <f t="shared" si="547"/>
        <v/>
      </c>
      <c r="I133" s="9" t="s">
        <v>11</v>
      </c>
      <c r="J13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3" s="15" t="s">
        <v>1</v>
      </c>
      <c r="L133" s="36">
        <f t="shared" si="573"/>
        <v>0</v>
      </c>
      <c r="M133" s="91" t="str">
        <f t="shared" si="548"/>
        <v>x</v>
      </c>
      <c r="N133" s="90" t="s">
        <v>149</v>
      </c>
      <c r="O133" s="28" t="str">
        <f t="shared" si="574"/>
        <v>x</v>
      </c>
      <c r="P133" s="36">
        <f t="shared" si="575"/>
        <v>1</v>
      </c>
      <c r="Q133" s="36">
        <f t="shared" si="549"/>
        <v>1</v>
      </c>
      <c r="R133" s="36">
        <f t="shared" si="550"/>
        <v>0</v>
      </c>
      <c r="S133" s="36">
        <f t="shared" si="551"/>
        <v>1</v>
      </c>
      <c r="T133" s="36">
        <f t="shared" si="552"/>
        <v>0</v>
      </c>
      <c r="U133" s="36">
        <f t="shared" si="553"/>
        <v>8</v>
      </c>
      <c r="V133" s="36">
        <f t="shared" si="554"/>
        <v>8</v>
      </c>
      <c r="W133" s="36">
        <f t="shared" si="555"/>
        <v>1</v>
      </c>
      <c r="X133" s="36">
        <f t="shared" si="556"/>
        <v>0</v>
      </c>
      <c r="Y133" s="36">
        <f t="shared" si="557"/>
        <v>0</v>
      </c>
      <c r="Z133" s="36">
        <f t="shared" si="558"/>
        <v>0</v>
      </c>
      <c r="AA133" s="36">
        <f t="shared" si="558"/>
        <v>0</v>
      </c>
      <c r="AB133" s="36">
        <f t="shared" si="558"/>
        <v>1</v>
      </c>
      <c r="AC133" s="36">
        <f t="shared" si="560"/>
        <v>0</v>
      </c>
      <c r="AD133" s="36">
        <f t="shared" si="561"/>
        <v>1</v>
      </c>
      <c r="AE133" s="36">
        <f t="shared" si="561"/>
        <v>0</v>
      </c>
      <c r="AF133" s="36">
        <f t="shared" ref="AF133:AG133" si="614">AF132</f>
        <v>0</v>
      </c>
      <c r="AG133" s="36">
        <f t="shared" si="614"/>
        <v>0</v>
      </c>
      <c r="AH133" s="36">
        <f t="shared" ref="AH133:AI133" si="615">AH132</f>
        <v>0</v>
      </c>
      <c r="AI133" s="36">
        <f t="shared" si="615"/>
        <v>0</v>
      </c>
      <c r="AJ133" s="36">
        <f t="shared" si="564"/>
        <v>0</v>
      </c>
      <c r="AK133" s="36">
        <f t="shared" si="565"/>
        <v>0</v>
      </c>
      <c r="AL133" s="36">
        <f t="shared" si="566"/>
        <v>0</v>
      </c>
      <c r="AM133" s="36">
        <f t="shared" si="567"/>
        <v>0</v>
      </c>
      <c r="AN133" s="36">
        <f t="shared" si="568"/>
        <v>0</v>
      </c>
      <c r="AO133" s="36">
        <f t="shared" si="569"/>
        <v>0</v>
      </c>
      <c r="AP133" s="36">
        <f t="shared" si="570"/>
        <v>0</v>
      </c>
      <c r="AQ133" s="36">
        <f t="shared" si="571"/>
        <v>0</v>
      </c>
      <c r="AR133" s="36">
        <f t="shared" si="572"/>
        <v>0</v>
      </c>
      <c r="AS133" s="31" t="str">
        <f t="shared" si="578"/>
        <v>SimulationStorage,1,</v>
      </c>
      <c r="AT133" s="31" t="str">
        <f t="shared" si="579"/>
        <v>AnalysisStorage,1,</v>
      </c>
      <c r="AU133" s="31" t="str">
        <f t="shared" si="580"/>
        <v>LogRuleEvaluation,0,</v>
      </c>
      <c r="AV133" s="31" t="str">
        <f t="shared" si="581"/>
        <v>ParallelSimulations,1,</v>
      </c>
      <c r="AW133" s="31" t="str">
        <f t="shared" si="582"/>
        <v>DurationStats,0,</v>
      </c>
      <c r="AX133" s="31" t="str">
        <f t="shared" si="583"/>
        <v>AnalysisThruStep,8,</v>
      </c>
      <c r="AY133" s="31" t="str">
        <f t="shared" si="584"/>
        <v>DontAbortOnErrorsThruStep,8,</v>
      </c>
      <c r="AZ133" s="31" t="str">
        <f t="shared" si="585"/>
        <v>BypassValidFileChecks,1,</v>
      </c>
      <c r="BA133" s="31" t="str">
        <f t="shared" si="586"/>
        <v>BypassInputChecks,0,</v>
      </c>
      <c r="BB133" s="31" t="str">
        <f t="shared" si="587"/>
        <v>BypassUMLHChecks,0,</v>
      </c>
      <c r="BC133" s="31" t="str">
        <f t="shared" si="588"/>
        <v>BypassCheckSimRules,0,</v>
      </c>
      <c r="BD133" s="31" t="str">
        <f t="shared" si="589"/>
        <v>BypassCheckCodeRules,0,</v>
      </c>
      <c r="BE133" s="31" t="str">
        <f t="shared" si="526"/>
        <v>StoreResultsToModelInput,1,</v>
      </c>
      <c r="BF133" s="31" t="str">
        <f t="shared" si="527"/>
        <v>StoreBEMDetails,0,</v>
      </c>
      <c r="BG133" s="31" t="str">
        <f t="shared" si="528"/>
        <v>ModelRpt_ALL,1,</v>
      </c>
      <c r="BH133" s="31" t="str">
        <f t="shared" si="529"/>
        <v>ExportHourlyResults_All,0,</v>
      </c>
      <c r="BI133" s="31" t="str">
        <f t="shared" si="530"/>
        <v>ComplianceReportPDF,0,</v>
      </c>
      <c r="BJ133" s="31" t="str">
        <f t="shared" si="531"/>
        <v>ComplianceReportXML,0,</v>
      </c>
      <c r="BK133" s="31" t="str">
        <f t="shared" si="532"/>
        <v>QuickAnalysis,0,</v>
      </c>
      <c r="BL133" s="31" t="str">
        <f t="shared" si="532"/>
        <v>PromptUserUMLHWarning,0,</v>
      </c>
      <c r="BM133" s="31" t="str">
        <f t="shared" si="533"/>
        <v>BypassOpenStudio_all,0,</v>
      </c>
      <c r="BN133" s="31" t="str">
        <f t="shared" si="534"/>
        <v>BypassOpenStudio_zp,0,</v>
      </c>
      <c r="BO133" s="31" t="str">
        <f t="shared" si="535"/>
        <v>BypassOpenStudio_zb,0,</v>
      </c>
      <c r="BP133" s="31" t="str">
        <f t="shared" si="536"/>
        <v>BypassOpenStudio_ap,0,</v>
      </c>
      <c r="BQ133" s="31" t="str">
        <f t="shared" si="537"/>
        <v>BypassOpenStudio_ab,0,</v>
      </c>
      <c r="BR133" s="31" t="str">
        <f t="shared" si="538"/>
        <v>BypassOpenStudio_zp,0,</v>
      </c>
      <c r="BS133" s="31" t="str">
        <f t="shared" si="539"/>
        <v>BypassOpenStudio_zb,0,</v>
      </c>
      <c r="BT133" s="31" t="str">
        <f t="shared" si="540"/>
        <v>BypassOpenStudio_ap,0,</v>
      </c>
      <c r="BU133" s="31" t="str">
        <f t="shared" si="541"/>
        <v>BypassOpenStudio_ab,0,</v>
      </c>
    </row>
    <row r="134" spans="1:73" hidden="1" outlineLevel="1" x14ac:dyDescent="0.25">
      <c r="A134" s="39">
        <f t="shared" si="542"/>
        <v>0</v>
      </c>
      <c r="B134" s="27" t="str">
        <f t="shared" si="543"/>
        <v>SoftwareSensitivity2016Tests\DetailedGeometry\x.cibd16</v>
      </c>
      <c r="C134" s="27" t="str">
        <f t="shared" si="544"/>
        <v>BatchOut_171026_r5178_FinalRel-v3-SSTSG_SSTDG\x.cibd16</v>
      </c>
      <c r="D134" s="27" t="str">
        <f t="shared" si="545"/>
        <v>BatchOut_171026_r5178_FinalRel-v3-SSTSG_SSTDG\XML\</v>
      </c>
      <c r="E134" s="9" t="str">
        <f t="shared" si="546"/>
        <v>x</v>
      </c>
      <c r="F134" s="22"/>
      <c r="G134" s="29"/>
      <c r="H134" s="23" t="str">
        <f t="shared" si="547"/>
        <v/>
      </c>
      <c r="I134" s="9" t="s">
        <v>11</v>
      </c>
      <c r="J13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4" s="15" t="s">
        <v>1</v>
      </c>
      <c r="L134" s="36">
        <f t="shared" si="573"/>
        <v>0</v>
      </c>
      <c r="M134" s="91" t="str">
        <f t="shared" si="548"/>
        <v>x</v>
      </c>
      <c r="N134" s="90" t="s">
        <v>149</v>
      </c>
      <c r="O134" s="28" t="str">
        <f t="shared" si="574"/>
        <v>x</v>
      </c>
      <c r="P134" s="36">
        <f t="shared" si="575"/>
        <v>1</v>
      </c>
      <c r="Q134" s="36">
        <f t="shared" si="549"/>
        <v>1</v>
      </c>
      <c r="R134" s="36">
        <f t="shared" si="550"/>
        <v>0</v>
      </c>
      <c r="S134" s="36">
        <f t="shared" si="551"/>
        <v>1</v>
      </c>
      <c r="T134" s="36">
        <f t="shared" si="552"/>
        <v>0</v>
      </c>
      <c r="U134" s="36">
        <f t="shared" si="553"/>
        <v>8</v>
      </c>
      <c r="V134" s="36">
        <f t="shared" si="554"/>
        <v>8</v>
      </c>
      <c r="W134" s="36">
        <f t="shared" si="555"/>
        <v>1</v>
      </c>
      <c r="X134" s="36">
        <f t="shared" si="556"/>
        <v>0</v>
      </c>
      <c r="Y134" s="36">
        <f t="shared" si="557"/>
        <v>0</v>
      </c>
      <c r="Z134" s="36">
        <f t="shared" si="558"/>
        <v>0</v>
      </c>
      <c r="AA134" s="36">
        <f t="shared" si="558"/>
        <v>0</v>
      </c>
      <c r="AB134" s="36">
        <f t="shared" si="558"/>
        <v>1</v>
      </c>
      <c r="AC134" s="36">
        <f t="shared" si="560"/>
        <v>0</v>
      </c>
      <c r="AD134" s="36">
        <f t="shared" si="561"/>
        <v>1</v>
      </c>
      <c r="AE134" s="36">
        <f t="shared" si="561"/>
        <v>0</v>
      </c>
      <c r="AF134" s="36">
        <f t="shared" ref="AF134:AG134" si="616">AF133</f>
        <v>0</v>
      </c>
      <c r="AG134" s="36">
        <f t="shared" si="616"/>
        <v>0</v>
      </c>
      <c r="AH134" s="36">
        <f t="shared" ref="AH134:AI134" si="617">AH133</f>
        <v>0</v>
      </c>
      <c r="AI134" s="36">
        <f t="shared" si="617"/>
        <v>0</v>
      </c>
      <c r="AJ134" s="36">
        <f t="shared" si="564"/>
        <v>0</v>
      </c>
      <c r="AK134" s="36">
        <f t="shared" si="565"/>
        <v>0</v>
      </c>
      <c r="AL134" s="36">
        <f t="shared" si="566"/>
        <v>0</v>
      </c>
      <c r="AM134" s="36">
        <f t="shared" si="567"/>
        <v>0</v>
      </c>
      <c r="AN134" s="36">
        <f t="shared" si="568"/>
        <v>0</v>
      </c>
      <c r="AO134" s="36">
        <f t="shared" si="569"/>
        <v>0</v>
      </c>
      <c r="AP134" s="36">
        <f t="shared" si="570"/>
        <v>0</v>
      </c>
      <c r="AQ134" s="36">
        <f t="shared" si="571"/>
        <v>0</v>
      </c>
      <c r="AR134" s="36">
        <f t="shared" si="572"/>
        <v>0</v>
      </c>
      <c r="AS134" s="31" t="str">
        <f t="shared" si="578"/>
        <v>SimulationStorage,1,</v>
      </c>
      <c r="AT134" s="31" t="str">
        <f t="shared" si="579"/>
        <v>AnalysisStorage,1,</v>
      </c>
      <c r="AU134" s="31" t="str">
        <f t="shared" si="580"/>
        <v>LogRuleEvaluation,0,</v>
      </c>
      <c r="AV134" s="31" t="str">
        <f t="shared" si="581"/>
        <v>ParallelSimulations,1,</v>
      </c>
      <c r="AW134" s="31" t="str">
        <f t="shared" si="582"/>
        <v>DurationStats,0,</v>
      </c>
      <c r="AX134" s="31" t="str">
        <f t="shared" si="583"/>
        <v>AnalysisThruStep,8,</v>
      </c>
      <c r="AY134" s="31" t="str">
        <f t="shared" si="584"/>
        <v>DontAbortOnErrorsThruStep,8,</v>
      </c>
      <c r="AZ134" s="31" t="str">
        <f t="shared" si="585"/>
        <v>BypassValidFileChecks,1,</v>
      </c>
      <c r="BA134" s="31" t="str">
        <f t="shared" si="586"/>
        <v>BypassInputChecks,0,</v>
      </c>
      <c r="BB134" s="31" t="str">
        <f t="shared" si="587"/>
        <v>BypassUMLHChecks,0,</v>
      </c>
      <c r="BC134" s="31" t="str">
        <f t="shared" si="588"/>
        <v>BypassCheckSimRules,0,</v>
      </c>
      <c r="BD134" s="31" t="str">
        <f t="shared" si="589"/>
        <v>BypassCheckCodeRules,0,</v>
      </c>
      <c r="BE134" s="31" t="str">
        <f t="shared" si="526"/>
        <v>StoreResultsToModelInput,1,</v>
      </c>
      <c r="BF134" s="31" t="str">
        <f t="shared" si="527"/>
        <v>StoreBEMDetails,0,</v>
      </c>
      <c r="BG134" s="31" t="str">
        <f t="shared" si="528"/>
        <v>ModelRpt_ALL,1,</v>
      </c>
      <c r="BH134" s="31" t="str">
        <f t="shared" si="529"/>
        <v>ExportHourlyResults_All,0,</v>
      </c>
      <c r="BI134" s="31" t="str">
        <f t="shared" si="530"/>
        <v>ComplianceReportPDF,0,</v>
      </c>
      <c r="BJ134" s="31" t="str">
        <f t="shared" si="531"/>
        <v>ComplianceReportXML,0,</v>
      </c>
      <c r="BK134" s="31" t="str">
        <f t="shared" si="532"/>
        <v>QuickAnalysis,0,</v>
      </c>
      <c r="BL134" s="31" t="str">
        <f t="shared" si="532"/>
        <v>PromptUserUMLHWarning,0,</v>
      </c>
      <c r="BM134" s="31" t="str">
        <f t="shared" si="533"/>
        <v>BypassOpenStudio_all,0,</v>
      </c>
      <c r="BN134" s="31" t="str">
        <f t="shared" si="534"/>
        <v>BypassOpenStudio_zp,0,</v>
      </c>
      <c r="BO134" s="31" t="str">
        <f t="shared" si="535"/>
        <v>BypassOpenStudio_zb,0,</v>
      </c>
      <c r="BP134" s="31" t="str">
        <f t="shared" si="536"/>
        <v>BypassOpenStudio_ap,0,</v>
      </c>
      <c r="BQ134" s="31" t="str">
        <f t="shared" si="537"/>
        <v>BypassOpenStudio_ab,0,</v>
      </c>
      <c r="BR134" s="31" t="str">
        <f t="shared" si="538"/>
        <v>BypassOpenStudio_zp,0,</v>
      </c>
      <c r="BS134" s="31" t="str">
        <f t="shared" si="539"/>
        <v>BypassOpenStudio_zb,0,</v>
      </c>
      <c r="BT134" s="31" t="str">
        <f t="shared" si="540"/>
        <v>BypassOpenStudio_ap,0,</v>
      </c>
      <c r="BU134" s="31" t="str">
        <f t="shared" si="541"/>
        <v>BypassOpenStudio_ab,0,</v>
      </c>
    </row>
    <row r="135" spans="1:73" hidden="1" outlineLevel="1" x14ac:dyDescent="0.25">
      <c r="A135" s="39">
        <f t="shared" si="542"/>
        <v>0</v>
      </c>
      <c r="B135" s="27" t="str">
        <f t="shared" si="543"/>
        <v>SoftwareSensitivity2016Tests\DetailedGeometry\x.cibd16</v>
      </c>
      <c r="C135" s="27" t="str">
        <f t="shared" si="544"/>
        <v>BatchOut_171026_r5178_FinalRel-v3-SSTSG_SSTDG\x.cibd16</v>
      </c>
      <c r="D135" s="27" t="str">
        <f t="shared" si="545"/>
        <v>BatchOut_171026_r5178_FinalRel-v3-SSTSG_SSTDG\XML\</v>
      </c>
      <c r="E135" s="9" t="str">
        <f t="shared" si="546"/>
        <v>x</v>
      </c>
      <c r="F135" s="22"/>
      <c r="G135" s="29"/>
      <c r="H135" s="23" t="str">
        <f t="shared" si="547"/>
        <v/>
      </c>
      <c r="I135" s="9" t="s">
        <v>11</v>
      </c>
      <c r="J13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5" s="15" t="s">
        <v>1</v>
      </c>
      <c r="L135" s="36">
        <f t="shared" si="573"/>
        <v>0</v>
      </c>
      <c r="M135" s="91" t="str">
        <f t="shared" si="548"/>
        <v>x</v>
      </c>
      <c r="N135" s="90" t="s">
        <v>149</v>
      </c>
      <c r="O135" s="28" t="str">
        <f t="shared" si="574"/>
        <v>x</v>
      </c>
      <c r="P135" s="36">
        <f t="shared" si="575"/>
        <v>1</v>
      </c>
      <c r="Q135" s="36">
        <f t="shared" si="549"/>
        <v>1</v>
      </c>
      <c r="R135" s="36">
        <f t="shared" si="550"/>
        <v>0</v>
      </c>
      <c r="S135" s="36">
        <f t="shared" si="551"/>
        <v>1</v>
      </c>
      <c r="T135" s="36">
        <f t="shared" si="552"/>
        <v>0</v>
      </c>
      <c r="U135" s="36">
        <f t="shared" si="553"/>
        <v>8</v>
      </c>
      <c r="V135" s="36">
        <f t="shared" si="554"/>
        <v>8</v>
      </c>
      <c r="W135" s="36">
        <f t="shared" si="555"/>
        <v>1</v>
      </c>
      <c r="X135" s="36">
        <f t="shared" si="556"/>
        <v>0</v>
      </c>
      <c r="Y135" s="36">
        <f t="shared" si="557"/>
        <v>0</v>
      </c>
      <c r="Z135" s="36">
        <f t="shared" si="557"/>
        <v>0</v>
      </c>
      <c r="AA135" s="36">
        <f t="shared" si="557"/>
        <v>0</v>
      </c>
      <c r="AB135" s="36">
        <f t="shared" si="557"/>
        <v>1</v>
      </c>
      <c r="AC135" s="36">
        <f t="shared" si="560"/>
        <v>0</v>
      </c>
      <c r="AD135" s="36">
        <f t="shared" si="561"/>
        <v>1</v>
      </c>
      <c r="AE135" s="36">
        <f t="shared" si="561"/>
        <v>0</v>
      </c>
      <c r="AF135" s="36">
        <f t="shared" ref="AF135:AG135" si="618">AF134</f>
        <v>0</v>
      </c>
      <c r="AG135" s="36">
        <f t="shared" si="618"/>
        <v>0</v>
      </c>
      <c r="AH135" s="36">
        <f t="shared" ref="AH135:AI135" si="619">AH134</f>
        <v>0</v>
      </c>
      <c r="AI135" s="36">
        <f t="shared" si="619"/>
        <v>0</v>
      </c>
      <c r="AJ135" s="36">
        <f t="shared" si="564"/>
        <v>0</v>
      </c>
      <c r="AK135" s="36">
        <f t="shared" si="565"/>
        <v>0</v>
      </c>
      <c r="AL135" s="36">
        <f t="shared" si="566"/>
        <v>0</v>
      </c>
      <c r="AM135" s="36">
        <f t="shared" si="567"/>
        <v>0</v>
      </c>
      <c r="AN135" s="36">
        <f t="shared" si="568"/>
        <v>0</v>
      </c>
      <c r="AO135" s="36">
        <f t="shared" si="569"/>
        <v>0</v>
      </c>
      <c r="AP135" s="36">
        <f t="shared" si="570"/>
        <v>0</v>
      </c>
      <c r="AQ135" s="36">
        <f t="shared" si="571"/>
        <v>0</v>
      </c>
      <c r="AR135" s="36">
        <f t="shared" si="572"/>
        <v>0</v>
      </c>
      <c r="AS135" s="31" t="str">
        <f t="shared" si="578"/>
        <v>SimulationStorage,1,</v>
      </c>
      <c r="AT135" s="31" t="str">
        <f t="shared" si="579"/>
        <v>AnalysisStorage,1,</v>
      </c>
      <c r="AU135" s="31" t="str">
        <f t="shared" si="580"/>
        <v>LogRuleEvaluation,0,</v>
      </c>
      <c r="AV135" s="31" t="str">
        <f t="shared" si="581"/>
        <v>ParallelSimulations,1,</v>
      </c>
      <c r="AW135" s="31" t="str">
        <f t="shared" si="582"/>
        <v>DurationStats,0,</v>
      </c>
      <c r="AX135" s="31" t="str">
        <f t="shared" si="583"/>
        <v>AnalysisThruStep,8,</v>
      </c>
      <c r="AY135" s="31" t="str">
        <f t="shared" si="584"/>
        <v>DontAbortOnErrorsThruStep,8,</v>
      </c>
      <c r="AZ135" s="31" t="str">
        <f t="shared" si="585"/>
        <v>BypassValidFileChecks,1,</v>
      </c>
      <c r="BA135" s="31" t="str">
        <f t="shared" si="586"/>
        <v>BypassInputChecks,0,</v>
      </c>
      <c r="BB135" s="31" t="str">
        <f t="shared" si="587"/>
        <v>BypassUMLHChecks,0,</v>
      </c>
      <c r="BC135" s="31" t="str">
        <f t="shared" si="588"/>
        <v>BypassCheckSimRules,0,</v>
      </c>
      <c r="BD135" s="31" t="str">
        <f t="shared" si="589"/>
        <v>BypassCheckCodeRules,0,</v>
      </c>
      <c r="BE135" s="31" t="str">
        <f t="shared" si="526"/>
        <v>StoreResultsToModelInput,1,</v>
      </c>
      <c r="BF135" s="31" t="str">
        <f t="shared" si="527"/>
        <v>StoreBEMDetails,0,</v>
      </c>
      <c r="BG135" s="31" t="str">
        <f t="shared" si="528"/>
        <v>ModelRpt_ALL,1,</v>
      </c>
      <c r="BH135" s="31" t="str">
        <f t="shared" si="529"/>
        <v>ExportHourlyResults_All,0,</v>
      </c>
      <c r="BI135" s="31" t="str">
        <f t="shared" si="530"/>
        <v>ComplianceReportPDF,0,</v>
      </c>
      <c r="BJ135" s="31" t="str">
        <f t="shared" si="531"/>
        <v>ComplianceReportXML,0,</v>
      </c>
      <c r="BK135" s="31" t="str">
        <f t="shared" si="532"/>
        <v>QuickAnalysis,0,</v>
      </c>
      <c r="BL135" s="31" t="str">
        <f t="shared" si="532"/>
        <v>PromptUserUMLHWarning,0,</v>
      </c>
      <c r="BM135" s="31" t="str">
        <f t="shared" si="533"/>
        <v>BypassOpenStudio_all,0,</v>
      </c>
      <c r="BN135" s="31" t="str">
        <f t="shared" si="534"/>
        <v>BypassOpenStudio_zp,0,</v>
      </c>
      <c r="BO135" s="31" t="str">
        <f t="shared" si="535"/>
        <v>BypassOpenStudio_zb,0,</v>
      </c>
      <c r="BP135" s="31" t="str">
        <f t="shared" si="536"/>
        <v>BypassOpenStudio_ap,0,</v>
      </c>
      <c r="BQ135" s="31" t="str">
        <f t="shared" si="537"/>
        <v>BypassOpenStudio_ab,0,</v>
      </c>
      <c r="BR135" s="31" t="str">
        <f t="shared" si="538"/>
        <v>BypassOpenStudio_zp,0,</v>
      </c>
      <c r="BS135" s="31" t="str">
        <f t="shared" si="539"/>
        <v>BypassOpenStudio_zb,0,</v>
      </c>
      <c r="BT135" s="31" t="str">
        <f t="shared" si="540"/>
        <v>BypassOpenStudio_ap,0,</v>
      </c>
      <c r="BU135" s="31" t="str">
        <f t="shared" si="541"/>
        <v>BypassOpenStudio_ab,0,</v>
      </c>
    </row>
    <row r="136" spans="1:73" hidden="1" outlineLevel="1" x14ac:dyDescent="0.25">
      <c r="A136" s="39">
        <f t="shared" si="542"/>
        <v>0</v>
      </c>
      <c r="B136" s="27" t="str">
        <f t="shared" si="543"/>
        <v>SoftwareSensitivity2016Tests\DetailedGeometry\x.cibd16</v>
      </c>
      <c r="C136" s="27" t="str">
        <f t="shared" si="544"/>
        <v>BatchOut_171026_r5178_FinalRel-v3-SSTSG_SSTDG\x.cibd16</v>
      </c>
      <c r="D136" s="27" t="str">
        <f t="shared" si="545"/>
        <v>BatchOut_171026_r5178_FinalRel-v3-SSTSG_SSTDG\XML\</v>
      </c>
      <c r="E136" s="9" t="str">
        <f t="shared" si="546"/>
        <v>x</v>
      </c>
      <c r="F136" s="22"/>
      <c r="G136" s="29"/>
      <c r="H136" s="23" t="str">
        <f t="shared" si="547"/>
        <v/>
      </c>
      <c r="I136" s="9" t="s">
        <v>11</v>
      </c>
      <c r="J13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6" s="15" t="s">
        <v>1</v>
      </c>
      <c r="L136" s="36">
        <f t="shared" si="573"/>
        <v>0</v>
      </c>
      <c r="M136" s="91" t="str">
        <f t="shared" si="548"/>
        <v>x</v>
      </c>
      <c r="N136" s="90" t="s">
        <v>149</v>
      </c>
      <c r="O136" s="28" t="str">
        <f t="shared" si="574"/>
        <v>x</v>
      </c>
      <c r="P136" s="36">
        <f t="shared" si="575"/>
        <v>1</v>
      </c>
      <c r="Q136" s="36">
        <f t="shared" si="549"/>
        <v>1</v>
      </c>
      <c r="R136" s="36">
        <f t="shared" si="550"/>
        <v>0</v>
      </c>
      <c r="S136" s="36">
        <f t="shared" si="551"/>
        <v>1</v>
      </c>
      <c r="T136" s="36">
        <f t="shared" si="552"/>
        <v>0</v>
      </c>
      <c r="U136" s="36">
        <f t="shared" si="553"/>
        <v>8</v>
      </c>
      <c r="V136" s="36">
        <f t="shared" si="554"/>
        <v>8</v>
      </c>
      <c r="W136" s="36">
        <f t="shared" si="555"/>
        <v>1</v>
      </c>
      <c r="X136" s="36">
        <f t="shared" si="556"/>
        <v>0</v>
      </c>
      <c r="Y136" s="36">
        <f t="shared" si="556"/>
        <v>0</v>
      </c>
      <c r="Z136" s="36">
        <f t="shared" si="556"/>
        <v>0</v>
      </c>
      <c r="AA136" s="36">
        <f t="shared" si="556"/>
        <v>0</v>
      </c>
      <c r="AB136" s="36">
        <f t="shared" si="556"/>
        <v>1</v>
      </c>
      <c r="AC136" s="36">
        <f t="shared" si="560"/>
        <v>0</v>
      </c>
      <c r="AD136" s="36">
        <f t="shared" si="561"/>
        <v>1</v>
      </c>
      <c r="AE136" s="36">
        <f t="shared" si="561"/>
        <v>0</v>
      </c>
      <c r="AF136" s="36">
        <f t="shared" ref="AF136:AG136" si="620">AF135</f>
        <v>0</v>
      </c>
      <c r="AG136" s="36">
        <f t="shared" si="620"/>
        <v>0</v>
      </c>
      <c r="AH136" s="36">
        <f t="shared" ref="AH136:AI136" si="621">AH135</f>
        <v>0</v>
      </c>
      <c r="AI136" s="36">
        <f t="shared" si="621"/>
        <v>0</v>
      </c>
      <c r="AJ136" s="36">
        <f t="shared" si="564"/>
        <v>0</v>
      </c>
      <c r="AK136" s="36">
        <f t="shared" si="565"/>
        <v>0</v>
      </c>
      <c r="AL136" s="36">
        <f t="shared" si="566"/>
        <v>0</v>
      </c>
      <c r="AM136" s="36">
        <f t="shared" si="567"/>
        <v>0</v>
      </c>
      <c r="AN136" s="36">
        <f t="shared" si="568"/>
        <v>0</v>
      </c>
      <c r="AO136" s="36">
        <f t="shared" si="569"/>
        <v>0</v>
      </c>
      <c r="AP136" s="36">
        <f t="shared" si="570"/>
        <v>0</v>
      </c>
      <c r="AQ136" s="36">
        <f t="shared" si="571"/>
        <v>0</v>
      </c>
      <c r="AR136" s="36">
        <f t="shared" si="572"/>
        <v>0</v>
      </c>
      <c r="AS136" s="31" t="str">
        <f t="shared" si="578"/>
        <v>SimulationStorage,1,</v>
      </c>
      <c r="AT136" s="31" t="str">
        <f t="shared" si="579"/>
        <v>AnalysisStorage,1,</v>
      </c>
      <c r="AU136" s="31" t="str">
        <f t="shared" si="580"/>
        <v>LogRuleEvaluation,0,</v>
      </c>
      <c r="AV136" s="31" t="str">
        <f t="shared" si="581"/>
        <v>ParallelSimulations,1,</v>
      </c>
      <c r="AW136" s="31" t="str">
        <f t="shared" si="582"/>
        <v>DurationStats,0,</v>
      </c>
      <c r="AX136" s="31" t="str">
        <f t="shared" si="583"/>
        <v>AnalysisThruStep,8,</v>
      </c>
      <c r="AY136" s="31" t="str">
        <f t="shared" si="584"/>
        <v>DontAbortOnErrorsThruStep,8,</v>
      </c>
      <c r="AZ136" s="31" t="str">
        <f t="shared" si="585"/>
        <v>BypassValidFileChecks,1,</v>
      </c>
      <c r="BA136" s="31" t="str">
        <f t="shared" si="586"/>
        <v>BypassInputChecks,0,</v>
      </c>
      <c r="BB136" s="31" t="str">
        <f t="shared" si="587"/>
        <v>BypassUMLHChecks,0,</v>
      </c>
      <c r="BC136" s="31" t="str">
        <f t="shared" si="588"/>
        <v>BypassCheckSimRules,0,</v>
      </c>
      <c r="BD136" s="31" t="str">
        <f t="shared" si="589"/>
        <v>BypassCheckCodeRules,0,</v>
      </c>
      <c r="BE136" s="31" t="str">
        <f t="shared" si="526"/>
        <v>StoreResultsToModelInput,1,</v>
      </c>
      <c r="BF136" s="31" t="str">
        <f t="shared" si="527"/>
        <v>StoreBEMDetails,0,</v>
      </c>
      <c r="BG136" s="31" t="str">
        <f t="shared" si="528"/>
        <v>ModelRpt_ALL,1,</v>
      </c>
      <c r="BH136" s="31" t="str">
        <f t="shared" si="529"/>
        <v>ExportHourlyResults_All,0,</v>
      </c>
      <c r="BI136" s="31" t="str">
        <f t="shared" si="530"/>
        <v>ComplianceReportPDF,0,</v>
      </c>
      <c r="BJ136" s="31" t="str">
        <f t="shared" si="531"/>
        <v>ComplianceReportXML,0,</v>
      </c>
      <c r="BK136" s="31" t="str">
        <f t="shared" si="532"/>
        <v>QuickAnalysis,0,</v>
      </c>
      <c r="BL136" s="31" t="str">
        <f t="shared" si="532"/>
        <v>PromptUserUMLHWarning,0,</v>
      </c>
      <c r="BM136" s="31" t="str">
        <f t="shared" si="533"/>
        <v>BypassOpenStudio_all,0,</v>
      </c>
      <c r="BN136" s="31" t="str">
        <f t="shared" si="534"/>
        <v>BypassOpenStudio_zp,0,</v>
      </c>
      <c r="BO136" s="31" t="str">
        <f t="shared" si="535"/>
        <v>BypassOpenStudio_zb,0,</v>
      </c>
      <c r="BP136" s="31" t="str">
        <f t="shared" si="536"/>
        <v>BypassOpenStudio_ap,0,</v>
      </c>
      <c r="BQ136" s="31" t="str">
        <f t="shared" si="537"/>
        <v>BypassOpenStudio_ab,0,</v>
      </c>
      <c r="BR136" s="31" t="str">
        <f t="shared" si="538"/>
        <v>BypassOpenStudio_zp,0,</v>
      </c>
      <c r="BS136" s="31" t="str">
        <f t="shared" si="539"/>
        <v>BypassOpenStudio_zb,0,</v>
      </c>
      <c r="BT136" s="31" t="str">
        <f t="shared" si="540"/>
        <v>BypassOpenStudio_ap,0,</v>
      </c>
      <c r="BU136" s="31" t="str">
        <f t="shared" si="541"/>
        <v>BypassOpenStudio_ab,0,</v>
      </c>
    </row>
    <row r="137" spans="1:73" hidden="1" outlineLevel="1" x14ac:dyDescent="0.25">
      <c r="A137" s="39">
        <f t="shared" si="542"/>
        <v>0</v>
      </c>
      <c r="B137" s="27" t="str">
        <f t="shared" si="543"/>
        <v>SoftwareSensitivity2016Tests\DetailedGeometry\x.cibd16</v>
      </c>
      <c r="C137" s="27" t="str">
        <f t="shared" si="544"/>
        <v>BatchOut_171026_r5178_FinalRel-v3-SSTSG_SSTDG\x.cibd16</v>
      </c>
      <c r="D137" s="27" t="str">
        <f t="shared" si="545"/>
        <v>BatchOut_171026_r5178_FinalRel-v3-SSTSG_SSTDG\XML\</v>
      </c>
      <c r="E137" s="9" t="str">
        <f t="shared" si="546"/>
        <v>x</v>
      </c>
      <c r="F137" s="22"/>
      <c r="G137" s="29"/>
      <c r="H137" s="23" t="str">
        <f t="shared" si="547"/>
        <v/>
      </c>
      <c r="I137" s="9" t="s">
        <v>11</v>
      </c>
      <c r="J13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7" s="15" t="s">
        <v>1</v>
      </c>
      <c r="L137" s="36">
        <f t="shared" si="573"/>
        <v>0</v>
      </c>
      <c r="M137" s="91" t="str">
        <f t="shared" si="548"/>
        <v>x</v>
      </c>
      <c r="N137" s="90" t="s">
        <v>149</v>
      </c>
      <c r="O137" s="28" t="str">
        <f t="shared" si="574"/>
        <v>x</v>
      </c>
      <c r="P137" s="36">
        <f t="shared" si="575"/>
        <v>1</v>
      </c>
      <c r="Q137" s="36">
        <f t="shared" si="549"/>
        <v>1</v>
      </c>
      <c r="R137" s="36">
        <f t="shared" si="550"/>
        <v>0</v>
      </c>
      <c r="S137" s="36">
        <f t="shared" si="551"/>
        <v>1</v>
      </c>
      <c r="T137" s="36">
        <f t="shared" si="552"/>
        <v>0</v>
      </c>
      <c r="U137" s="36">
        <f t="shared" si="553"/>
        <v>8</v>
      </c>
      <c r="V137" s="36">
        <f t="shared" si="554"/>
        <v>8</v>
      </c>
      <c r="W137" s="36">
        <f t="shared" si="555"/>
        <v>1</v>
      </c>
      <c r="X137" s="36">
        <f t="shared" si="555"/>
        <v>0</v>
      </c>
      <c r="Y137" s="36">
        <f t="shared" si="555"/>
        <v>0</v>
      </c>
      <c r="Z137" s="36">
        <f t="shared" si="555"/>
        <v>0</v>
      </c>
      <c r="AA137" s="36">
        <f t="shared" si="555"/>
        <v>0</v>
      </c>
      <c r="AB137" s="36">
        <f t="shared" si="555"/>
        <v>1</v>
      </c>
      <c r="AC137" s="36">
        <f t="shared" si="560"/>
        <v>0</v>
      </c>
      <c r="AD137" s="36">
        <f t="shared" si="561"/>
        <v>1</v>
      </c>
      <c r="AE137" s="36">
        <f t="shared" si="561"/>
        <v>0</v>
      </c>
      <c r="AF137" s="36">
        <f t="shared" ref="AF137:AG137" si="622">AF136</f>
        <v>0</v>
      </c>
      <c r="AG137" s="36">
        <f t="shared" si="622"/>
        <v>0</v>
      </c>
      <c r="AH137" s="36">
        <f t="shared" ref="AH137:AI137" si="623">AH136</f>
        <v>0</v>
      </c>
      <c r="AI137" s="36">
        <f t="shared" si="623"/>
        <v>0</v>
      </c>
      <c r="AJ137" s="36">
        <f t="shared" si="564"/>
        <v>0</v>
      </c>
      <c r="AK137" s="36">
        <f t="shared" si="565"/>
        <v>0</v>
      </c>
      <c r="AL137" s="36">
        <f t="shared" si="566"/>
        <v>0</v>
      </c>
      <c r="AM137" s="36">
        <f t="shared" si="567"/>
        <v>0</v>
      </c>
      <c r="AN137" s="36">
        <f t="shared" si="568"/>
        <v>0</v>
      </c>
      <c r="AO137" s="36">
        <f t="shared" si="569"/>
        <v>0</v>
      </c>
      <c r="AP137" s="36">
        <f t="shared" si="570"/>
        <v>0</v>
      </c>
      <c r="AQ137" s="36">
        <f t="shared" si="571"/>
        <v>0</v>
      </c>
      <c r="AR137" s="36">
        <f t="shared" si="572"/>
        <v>0</v>
      </c>
      <c r="AS137" s="31" t="str">
        <f t="shared" si="578"/>
        <v>SimulationStorage,1,</v>
      </c>
      <c r="AT137" s="31" t="str">
        <f t="shared" si="579"/>
        <v>AnalysisStorage,1,</v>
      </c>
      <c r="AU137" s="31" t="str">
        <f t="shared" si="580"/>
        <v>LogRuleEvaluation,0,</v>
      </c>
      <c r="AV137" s="31" t="str">
        <f t="shared" si="581"/>
        <v>ParallelSimulations,1,</v>
      </c>
      <c r="AW137" s="31" t="str">
        <f t="shared" si="582"/>
        <v>DurationStats,0,</v>
      </c>
      <c r="AX137" s="31" t="str">
        <f t="shared" si="583"/>
        <v>AnalysisThruStep,8,</v>
      </c>
      <c r="AY137" s="31" t="str">
        <f t="shared" si="584"/>
        <v>DontAbortOnErrorsThruStep,8,</v>
      </c>
      <c r="AZ137" s="31" t="str">
        <f t="shared" si="585"/>
        <v>BypassValidFileChecks,1,</v>
      </c>
      <c r="BA137" s="31" t="str">
        <f t="shared" si="586"/>
        <v>BypassInputChecks,0,</v>
      </c>
      <c r="BB137" s="31" t="str">
        <f t="shared" si="587"/>
        <v>BypassUMLHChecks,0,</v>
      </c>
      <c r="BC137" s="31" t="str">
        <f t="shared" si="588"/>
        <v>BypassCheckSimRules,0,</v>
      </c>
      <c r="BD137" s="31" t="str">
        <f t="shared" si="589"/>
        <v>BypassCheckCodeRules,0,</v>
      </c>
      <c r="BE137" s="31" t="str">
        <f t="shared" si="526"/>
        <v>StoreResultsToModelInput,1,</v>
      </c>
      <c r="BF137" s="31" t="str">
        <f t="shared" si="527"/>
        <v>StoreBEMDetails,0,</v>
      </c>
      <c r="BG137" s="31" t="str">
        <f t="shared" si="528"/>
        <v>ModelRpt_ALL,1,</v>
      </c>
      <c r="BH137" s="31" t="str">
        <f t="shared" si="529"/>
        <v>ExportHourlyResults_All,0,</v>
      </c>
      <c r="BI137" s="31" t="str">
        <f t="shared" si="530"/>
        <v>ComplianceReportPDF,0,</v>
      </c>
      <c r="BJ137" s="31" t="str">
        <f t="shared" si="531"/>
        <v>ComplianceReportXML,0,</v>
      </c>
      <c r="BK137" s="31" t="str">
        <f t="shared" si="532"/>
        <v>QuickAnalysis,0,</v>
      </c>
      <c r="BL137" s="31" t="str">
        <f t="shared" si="532"/>
        <v>PromptUserUMLHWarning,0,</v>
      </c>
      <c r="BM137" s="31" t="str">
        <f t="shared" si="533"/>
        <v>BypassOpenStudio_all,0,</v>
      </c>
      <c r="BN137" s="31" t="str">
        <f t="shared" si="534"/>
        <v>BypassOpenStudio_zp,0,</v>
      </c>
      <c r="BO137" s="31" t="str">
        <f t="shared" si="535"/>
        <v>BypassOpenStudio_zb,0,</v>
      </c>
      <c r="BP137" s="31" t="str">
        <f t="shared" si="536"/>
        <v>BypassOpenStudio_ap,0,</v>
      </c>
      <c r="BQ137" s="31" t="str">
        <f t="shared" si="537"/>
        <v>BypassOpenStudio_ab,0,</v>
      </c>
      <c r="BR137" s="31" t="str">
        <f t="shared" si="538"/>
        <v>BypassOpenStudio_zp,0,</v>
      </c>
      <c r="BS137" s="31" t="str">
        <f t="shared" si="539"/>
        <v>BypassOpenStudio_zb,0,</v>
      </c>
      <c r="BT137" s="31" t="str">
        <f t="shared" si="540"/>
        <v>BypassOpenStudio_ap,0,</v>
      </c>
      <c r="BU137" s="31" t="str">
        <f t="shared" si="541"/>
        <v>BypassOpenStudio_ab,0,</v>
      </c>
    </row>
    <row r="138" spans="1:73" hidden="1" outlineLevel="1" x14ac:dyDescent="0.25">
      <c r="A138" s="39">
        <f t="shared" si="542"/>
        <v>0</v>
      </c>
      <c r="B138" s="27" t="str">
        <f t="shared" si="543"/>
        <v>SoftwareSensitivity2016Tests\DetailedGeometry\x.cibd16</v>
      </c>
      <c r="C138" s="27" t="str">
        <f t="shared" si="544"/>
        <v>BatchOut_171026_r5178_FinalRel-v3-SSTSG_SSTDG\x.cibd16</v>
      </c>
      <c r="D138" s="27" t="str">
        <f t="shared" si="545"/>
        <v>BatchOut_171026_r5178_FinalRel-v3-SSTSG_SSTDG\XML\</v>
      </c>
      <c r="E138" s="9" t="str">
        <f t="shared" si="546"/>
        <v>x</v>
      </c>
      <c r="F138" s="22"/>
      <c r="G138" s="29"/>
      <c r="H138" s="23" t="str">
        <f t="shared" si="547"/>
        <v/>
      </c>
      <c r="I138" s="9" t="s">
        <v>11</v>
      </c>
      <c r="J13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8" s="15" t="s">
        <v>1</v>
      </c>
      <c r="L138" s="36">
        <f t="shared" si="573"/>
        <v>0</v>
      </c>
      <c r="M138" s="91" t="str">
        <f t="shared" si="548"/>
        <v>x</v>
      </c>
      <c r="N138" s="90" t="s">
        <v>149</v>
      </c>
      <c r="O138" s="28" t="str">
        <f t="shared" si="574"/>
        <v>x</v>
      </c>
      <c r="P138" s="36">
        <f t="shared" si="575"/>
        <v>1</v>
      </c>
      <c r="Q138" s="36">
        <f t="shared" si="549"/>
        <v>1</v>
      </c>
      <c r="R138" s="36">
        <f t="shared" si="550"/>
        <v>0</v>
      </c>
      <c r="S138" s="36">
        <f t="shared" si="551"/>
        <v>1</v>
      </c>
      <c r="T138" s="36">
        <f t="shared" si="552"/>
        <v>0</v>
      </c>
      <c r="U138" s="36">
        <f t="shared" si="553"/>
        <v>8</v>
      </c>
      <c r="V138" s="36">
        <f t="shared" si="554"/>
        <v>8</v>
      </c>
      <c r="W138" s="36">
        <f t="shared" si="554"/>
        <v>1</v>
      </c>
      <c r="X138" s="36">
        <f t="shared" si="554"/>
        <v>0</v>
      </c>
      <c r="Y138" s="36">
        <f t="shared" si="554"/>
        <v>0</v>
      </c>
      <c r="Z138" s="36">
        <f t="shared" si="554"/>
        <v>0</v>
      </c>
      <c r="AA138" s="36">
        <f t="shared" si="554"/>
        <v>0</v>
      </c>
      <c r="AB138" s="36">
        <f t="shared" si="554"/>
        <v>1</v>
      </c>
      <c r="AC138" s="36">
        <f t="shared" si="560"/>
        <v>0</v>
      </c>
      <c r="AD138" s="36">
        <f t="shared" si="561"/>
        <v>1</v>
      </c>
      <c r="AE138" s="36">
        <f t="shared" si="561"/>
        <v>0</v>
      </c>
      <c r="AF138" s="36">
        <f t="shared" ref="AF138:AG138" si="624">AF137</f>
        <v>0</v>
      </c>
      <c r="AG138" s="36">
        <f t="shared" si="624"/>
        <v>0</v>
      </c>
      <c r="AH138" s="36">
        <f t="shared" ref="AH138:AI138" si="625">AH137</f>
        <v>0</v>
      </c>
      <c r="AI138" s="36">
        <f t="shared" si="625"/>
        <v>0</v>
      </c>
      <c r="AJ138" s="36">
        <f t="shared" si="564"/>
        <v>0</v>
      </c>
      <c r="AK138" s="36">
        <f t="shared" si="565"/>
        <v>0</v>
      </c>
      <c r="AL138" s="36">
        <f t="shared" si="566"/>
        <v>0</v>
      </c>
      <c r="AM138" s="36">
        <f t="shared" si="567"/>
        <v>0</v>
      </c>
      <c r="AN138" s="36">
        <f t="shared" si="568"/>
        <v>0</v>
      </c>
      <c r="AO138" s="36">
        <f t="shared" si="569"/>
        <v>0</v>
      </c>
      <c r="AP138" s="36">
        <f t="shared" si="570"/>
        <v>0</v>
      </c>
      <c r="AQ138" s="36">
        <f t="shared" si="571"/>
        <v>0</v>
      </c>
      <c r="AR138" s="36">
        <f t="shared" si="572"/>
        <v>0</v>
      </c>
      <c r="AS138" s="31" t="str">
        <f t="shared" si="578"/>
        <v>SimulationStorage,1,</v>
      </c>
      <c r="AT138" s="31" t="str">
        <f t="shared" si="579"/>
        <v>AnalysisStorage,1,</v>
      </c>
      <c r="AU138" s="31" t="str">
        <f t="shared" si="580"/>
        <v>LogRuleEvaluation,0,</v>
      </c>
      <c r="AV138" s="31" t="str">
        <f t="shared" si="581"/>
        <v>ParallelSimulations,1,</v>
      </c>
      <c r="AW138" s="31" t="str">
        <f t="shared" si="582"/>
        <v>DurationStats,0,</v>
      </c>
      <c r="AX138" s="31" t="str">
        <f t="shared" si="583"/>
        <v>AnalysisThruStep,8,</v>
      </c>
      <c r="AY138" s="31" t="str">
        <f t="shared" si="584"/>
        <v>DontAbortOnErrorsThruStep,8,</v>
      </c>
      <c r="AZ138" s="31" t="str">
        <f t="shared" si="585"/>
        <v>BypassValidFileChecks,1,</v>
      </c>
      <c r="BA138" s="31" t="str">
        <f t="shared" si="586"/>
        <v>BypassInputChecks,0,</v>
      </c>
      <c r="BB138" s="31" t="str">
        <f t="shared" si="587"/>
        <v>BypassUMLHChecks,0,</v>
      </c>
      <c r="BC138" s="31" t="str">
        <f t="shared" si="588"/>
        <v>BypassCheckSimRules,0,</v>
      </c>
      <c r="BD138" s="31" t="str">
        <f t="shared" si="589"/>
        <v>BypassCheckCodeRules,0,</v>
      </c>
      <c r="BE138" s="31" t="str">
        <f t="shared" si="526"/>
        <v>StoreResultsToModelInput,1,</v>
      </c>
      <c r="BF138" s="31" t="str">
        <f t="shared" si="527"/>
        <v>StoreBEMDetails,0,</v>
      </c>
      <c r="BG138" s="31" t="str">
        <f t="shared" si="528"/>
        <v>ModelRpt_ALL,1,</v>
      </c>
      <c r="BH138" s="31" t="str">
        <f t="shared" si="529"/>
        <v>ExportHourlyResults_All,0,</v>
      </c>
      <c r="BI138" s="31" t="str">
        <f t="shared" si="530"/>
        <v>ComplianceReportPDF,0,</v>
      </c>
      <c r="BJ138" s="31" t="str">
        <f t="shared" si="531"/>
        <v>ComplianceReportXML,0,</v>
      </c>
      <c r="BK138" s="31" t="str">
        <f t="shared" si="532"/>
        <v>QuickAnalysis,0,</v>
      </c>
      <c r="BL138" s="31" t="str">
        <f t="shared" si="532"/>
        <v>PromptUserUMLHWarning,0,</v>
      </c>
      <c r="BM138" s="31" t="str">
        <f t="shared" si="533"/>
        <v>BypassOpenStudio_all,0,</v>
      </c>
      <c r="BN138" s="31" t="str">
        <f t="shared" si="534"/>
        <v>BypassOpenStudio_zp,0,</v>
      </c>
      <c r="BO138" s="31" t="str">
        <f t="shared" si="535"/>
        <v>BypassOpenStudio_zb,0,</v>
      </c>
      <c r="BP138" s="31" t="str">
        <f t="shared" si="536"/>
        <v>BypassOpenStudio_ap,0,</v>
      </c>
      <c r="BQ138" s="31" t="str">
        <f t="shared" si="537"/>
        <v>BypassOpenStudio_ab,0,</v>
      </c>
      <c r="BR138" s="31" t="str">
        <f t="shared" si="538"/>
        <v>BypassOpenStudio_zp,0,</v>
      </c>
      <c r="BS138" s="31" t="str">
        <f t="shared" si="539"/>
        <v>BypassOpenStudio_zb,0,</v>
      </c>
      <c r="BT138" s="31" t="str">
        <f t="shared" si="540"/>
        <v>BypassOpenStudio_ap,0,</v>
      </c>
      <c r="BU138" s="31" t="str">
        <f t="shared" si="541"/>
        <v>BypassOpenStudio_ab,0,</v>
      </c>
    </row>
    <row r="139" spans="1:73" hidden="1" outlineLevel="1" x14ac:dyDescent="0.25">
      <c r="A139" s="39">
        <f t="shared" si="542"/>
        <v>0</v>
      </c>
      <c r="B139" s="27" t="str">
        <f t="shared" si="543"/>
        <v>SoftwareSensitivity2016Tests\DetailedGeometry\x.cibd16</v>
      </c>
      <c r="C139" s="27" t="str">
        <f t="shared" si="544"/>
        <v>BatchOut_171026_r5178_FinalRel-v3-SSTSG_SSTDG\x.cibd16</v>
      </c>
      <c r="D139" s="27" t="str">
        <f t="shared" si="545"/>
        <v>BatchOut_171026_r5178_FinalRel-v3-SSTSG_SSTDG\XML\</v>
      </c>
      <c r="E139" s="9" t="str">
        <f t="shared" si="546"/>
        <v>x</v>
      </c>
      <c r="F139" s="22"/>
      <c r="G139" s="29"/>
      <c r="H139" s="23" t="str">
        <f t="shared" si="547"/>
        <v/>
      </c>
      <c r="I139" s="9" t="s">
        <v>11</v>
      </c>
      <c r="J13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9" s="15" t="s">
        <v>1</v>
      </c>
      <c r="L139" s="36">
        <f t="shared" si="573"/>
        <v>0</v>
      </c>
      <c r="M139" s="91" t="str">
        <f t="shared" si="548"/>
        <v>x</v>
      </c>
      <c r="N139" s="90" t="s">
        <v>149</v>
      </c>
      <c r="O139" s="28" t="str">
        <f t="shared" si="574"/>
        <v>x</v>
      </c>
      <c r="P139" s="36">
        <f t="shared" si="575"/>
        <v>1</v>
      </c>
      <c r="Q139" s="36">
        <f t="shared" si="549"/>
        <v>1</v>
      </c>
      <c r="R139" s="36">
        <f t="shared" si="550"/>
        <v>0</v>
      </c>
      <c r="S139" s="36">
        <f t="shared" si="551"/>
        <v>1</v>
      </c>
      <c r="T139" s="36">
        <f t="shared" si="552"/>
        <v>0</v>
      </c>
      <c r="U139" s="36">
        <f t="shared" si="553"/>
        <v>8</v>
      </c>
      <c r="V139" s="36">
        <f t="shared" si="553"/>
        <v>8</v>
      </c>
      <c r="W139" s="36">
        <f t="shared" si="553"/>
        <v>1</v>
      </c>
      <c r="X139" s="36">
        <f t="shared" si="553"/>
        <v>0</v>
      </c>
      <c r="Y139" s="36">
        <f t="shared" si="553"/>
        <v>0</v>
      </c>
      <c r="Z139" s="36">
        <f t="shared" si="553"/>
        <v>0</v>
      </c>
      <c r="AA139" s="36">
        <f t="shared" si="553"/>
        <v>0</v>
      </c>
      <c r="AB139" s="36">
        <f t="shared" si="553"/>
        <v>1</v>
      </c>
      <c r="AC139" s="36">
        <f t="shared" si="560"/>
        <v>0</v>
      </c>
      <c r="AD139" s="36">
        <f t="shared" si="561"/>
        <v>1</v>
      </c>
      <c r="AE139" s="36">
        <f t="shared" si="561"/>
        <v>0</v>
      </c>
      <c r="AF139" s="36">
        <f t="shared" ref="AF139:AG139" si="626">AF138</f>
        <v>0</v>
      </c>
      <c r="AG139" s="36">
        <f t="shared" si="626"/>
        <v>0</v>
      </c>
      <c r="AH139" s="36">
        <f t="shared" ref="AH139:AI139" si="627">AH138</f>
        <v>0</v>
      </c>
      <c r="AI139" s="36">
        <f t="shared" si="627"/>
        <v>0</v>
      </c>
      <c r="AJ139" s="36">
        <f t="shared" si="564"/>
        <v>0</v>
      </c>
      <c r="AK139" s="36">
        <f t="shared" si="565"/>
        <v>0</v>
      </c>
      <c r="AL139" s="36">
        <f t="shared" si="566"/>
        <v>0</v>
      </c>
      <c r="AM139" s="36">
        <f t="shared" si="567"/>
        <v>0</v>
      </c>
      <c r="AN139" s="36">
        <f t="shared" si="568"/>
        <v>0</v>
      </c>
      <c r="AO139" s="36">
        <f t="shared" si="569"/>
        <v>0</v>
      </c>
      <c r="AP139" s="36">
        <f t="shared" si="570"/>
        <v>0</v>
      </c>
      <c r="AQ139" s="36">
        <f t="shared" si="571"/>
        <v>0</v>
      </c>
      <c r="AR139" s="36">
        <f t="shared" si="572"/>
        <v>0</v>
      </c>
      <c r="AS139" s="31" t="str">
        <f t="shared" si="578"/>
        <v>SimulationStorage,1,</v>
      </c>
      <c r="AT139" s="31" t="str">
        <f t="shared" si="579"/>
        <v>AnalysisStorage,1,</v>
      </c>
      <c r="AU139" s="31" t="str">
        <f t="shared" si="580"/>
        <v>LogRuleEvaluation,0,</v>
      </c>
      <c r="AV139" s="31" t="str">
        <f t="shared" si="581"/>
        <v>ParallelSimulations,1,</v>
      </c>
      <c r="AW139" s="31" t="str">
        <f t="shared" si="582"/>
        <v>DurationStats,0,</v>
      </c>
      <c r="AX139" s="31" t="str">
        <f t="shared" si="583"/>
        <v>AnalysisThruStep,8,</v>
      </c>
      <c r="AY139" s="31" t="str">
        <f t="shared" si="584"/>
        <v>DontAbortOnErrorsThruStep,8,</v>
      </c>
      <c r="AZ139" s="31" t="str">
        <f t="shared" si="585"/>
        <v>BypassValidFileChecks,1,</v>
      </c>
      <c r="BA139" s="31" t="str">
        <f t="shared" si="586"/>
        <v>BypassInputChecks,0,</v>
      </c>
      <c r="BB139" s="31" t="str">
        <f t="shared" si="587"/>
        <v>BypassUMLHChecks,0,</v>
      </c>
      <c r="BC139" s="31" t="str">
        <f t="shared" si="588"/>
        <v>BypassCheckSimRules,0,</v>
      </c>
      <c r="BD139" s="31" t="str">
        <f t="shared" si="589"/>
        <v>BypassCheckCodeRules,0,</v>
      </c>
      <c r="BE139" s="31" t="str">
        <f t="shared" si="526"/>
        <v>StoreResultsToModelInput,1,</v>
      </c>
      <c r="BF139" s="31" t="str">
        <f t="shared" si="527"/>
        <v>StoreBEMDetails,0,</v>
      </c>
      <c r="BG139" s="31" t="str">
        <f t="shared" si="528"/>
        <v>ModelRpt_ALL,1,</v>
      </c>
      <c r="BH139" s="31" t="str">
        <f t="shared" si="529"/>
        <v>ExportHourlyResults_All,0,</v>
      </c>
      <c r="BI139" s="31" t="str">
        <f t="shared" si="530"/>
        <v>ComplianceReportPDF,0,</v>
      </c>
      <c r="BJ139" s="31" t="str">
        <f t="shared" si="531"/>
        <v>ComplianceReportXML,0,</v>
      </c>
      <c r="BK139" s="31" t="str">
        <f t="shared" si="532"/>
        <v>QuickAnalysis,0,</v>
      </c>
      <c r="BL139" s="31" t="str">
        <f t="shared" si="532"/>
        <v>PromptUserUMLHWarning,0,</v>
      </c>
      <c r="BM139" s="31" t="str">
        <f t="shared" si="533"/>
        <v>BypassOpenStudio_all,0,</v>
      </c>
      <c r="BN139" s="31" t="str">
        <f t="shared" si="534"/>
        <v>BypassOpenStudio_zp,0,</v>
      </c>
      <c r="BO139" s="31" t="str">
        <f t="shared" si="535"/>
        <v>BypassOpenStudio_zb,0,</v>
      </c>
      <c r="BP139" s="31" t="str">
        <f t="shared" si="536"/>
        <v>BypassOpenStudio_ap,0,</v>
      </c>
      <c r="BQ139" s="31" t="str">
        <f t="shared" si="537"/>
        <v>BypassOpenStudio_ab,0,</v>
      </c>
      <c r="BR139" s="31" t="str">
        <f t="shared" si="538"/>
        <v>BypassOpenStudio_zp,0,</v>
      </c>
      <c r="BS139" s="31" t="str">
        <f t="shared" si="539"/>
        <v>BypassOpenStudio_zb,0,</v>
      </c>
      <c r="BT139" s="31" t="str">
        <f t="shared" si="540"/>
        <v>BypassOpenStudio_ap,0,</v>
      </c>
      <c r="BU139" s="31" t="str">
        <f t="shared" si="541"/>
        <v>BypassOpenStudio_ab,0,</v>
      </c>
    </row>
    <row r="140" spans="1:73" hidden="1" outlineLevel="1" x14ac:dyDescent="0.25">
      <c r="A140" s="39">
        <f t="shared" si="542"/>
        <v>0</v>
      </c>
      <c r="B140" s="27" t="str">
        <f t="shared" si="543"/>
        <v>SoftwareSensitivity2016Tests\DetailedGeometry\x.cibd16</v>
      </c>
      <c r="C140" s="27" t="str">
        <f t="shared" si="544"/>
        <v>BatchOut_171026_r5178_FinalRel-v3-SSTSG_SSTDG\x.cibd16</v>
      </c>
      <c r="D140" s="27" t="str">
        <f t="shared" si="545"/>
        <v>BatchOut_171026_r5178_FinalRel-v3-SSTSG_SSTDG\XML\</v>
      </c>
      <c r="E140" s="9" t="str">
        <f t="shared" si="546"/>
        <v>x</v>
      </c>
      <c r="F140" s="22"/>
      <c r="G140" s="29"/>
      <c r="H140" s="23" t="str">
        <f t="shared" si="547"/>
        <v/>
      </c>
      <c r="I140" s="9" t="s">
        <v>11</v>
      </c>
      <c r="J14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0" s="15" t="s">
        <v>1</v>
      </c>
      <c r="L140" s="36">
        <f t="shared" si="573"/>
        <v>0</v>
      </c>
      <c r="M140" s="91" t="str">
        <f t="shared" si="548"/>
        <v>x</v>
      </c>
      <c r="N140" s="90" t="s">
        <v>149</v>
      </c>
      <c r="O140" s="28" t="str">
        <f t="shared" si="574"/>
        <v>x</v>
      </c>
      <c r="P140" s="36">
        <f t="shared" si="575"/>
        <v>1</v>
      </c>
      <c r="Q140" s="36">
        <f t="shared" si="549"/>
        <v>1</v>
      </c>
      <c r="R140" s="36">
        <f t="shared" si="550"/>
        <v>0</v>
      </c>
      <c r="S140" s="36">
        <f t="shared" si="551"/>
        <v>1</v>
      </c>
      <c r="T140" s="36">
        <f t="shared" si="552"/>
        <v>0</v>
      </c>
      <c r="U140" s="36">
        <f t="shared" si="552"/>
        <v>8</v>
      </c>
      <c r="V140" s="36">
        <f t="shared" si="552"/>
        <v>8</v>
      </c>
      <c r="W140" s="36">
        <f t="shared" si="552"/>
        <v>1</v>
      </c>
      <c r="X140" s="36">
        <f t="shared" si="552"/>
        <v>0</v>
      </c>
      <c r="Y140" s="36">
        <f t="shared" si="552"/>
        <v>0</v>
      </c>
      <c r="Z140" s="36">
        <f t="shared" si="552"/>
        <v>0</v>
      </c>
      <c r="AA140" s="36">
        <f t="shared" si="552"/>
        <v>0</v>
      </c>
      <c r="AB140" s="36">
        <f t="shared" si="552"/>
        <v>1</v>
      </c>
      <c r="AC140" s="36">
        <f t="shared" si="560"/>
        <v>0</v>
      </c>
      <c r="AD140" s="36">
        <f t="shared" si="561"/>
        <v>1</v>
      </c>
      <c r="AE140" s="36">
        <f t="shared" si="561"/>
        <v>0</v>
      </c>
      <c r="AF140" s="36">
        <f t="shared" ref="AF140:AG140" si="628">AF139</f>
        <v>0</v>
      </c>
      <c r="AG140" s="36">
        <f t="shared" si="628"/>
        <v>0</v>
      </c>
      <c r="AH140" s="36">
        <f t="shared" ref="AH140:AI140" si="629">AH139</f>
        <v>0</v>
      </c>
      <c r="AI140" s="36">
        <f t="shared" si="629"/>
        <v>0</v>
      </c>
      <c r="AJ140" s="36">
        <f t="shared" si="564"/>
        <v>0</v>
      </c>
      <c r="AK140" s="36">
        <f t="shared" si="565"/>
        <v>0</v>
      </c>
      <c r="AL140" s="36">
        <f t="shared" si="566"/>
        <v>0</v>
      </c>
      <c r="AM140" s="36">
        <f t="shared" si="567"/>
        <v>0</v>
      </c>
      <c r="AN140" s="36">
        <f t="shared" si="568"/>
        <v>0</v>
      </c>
      <c r="AO140" s="36">
        <f t="shared" si="569"/>
        <v>0</v>
      </c>
      <c r="AP140" s="36">
        <f t="shared" si="570"/>
        <v>0</v>
      </c>
      <c r="AQ140" s="36">
        <f t="shared" si="571"/>
        <v>0</v>
      </c>
      <c r="AR140" s="36">
        <f t="shared" si="572"/>
        <v>0</v>
      </c>
      <c r="AS140" s="31" t="str">
        <f t="shared" si="578"/>
        <v>SimulationStorage,1,</v>
      </c>
      <c r="AT140" s="31" t="str">
        <f t="shared" si="579"/>
        <v>AnalysisStorage,1,</v>
      </c>
      <c r="AU140" s="31" t="str">
        <f t="shared" si="580"/>
        <v>LogRuleEvaluation,0,</v>
      </c>
      <c r="AV140" s="31" t="str">
        <f t="shared" si="581"/>
        <v>ParallelSimulations,1,</v>
      </c>
      <c r="AW140" s="31" t="str">
        <f t="shared" si="582"/>
        <v>DurationStats,0,</v>
      </c>
      <c r="AX140" s="31" t="str">
        <f t="shared" si="583"/>
        <v>AnalysisThruStep,8,</v>
      </c>
      <c r="AY140" s="31" t="str">
        <f t="shared" si="584"/>
        <v>DontAbortOnErrorsThruStep,8,</v>
      </c>
      <c r="AZ140" s="31" t="str">
        <f t="shared" si="585"/>
        <v>BypassValidFileChecks,1,</v>
      </c>
      <c r="BA140" s="31" t="str">
        <f t="shared" si="586"/>
        <v>BypassInputChecks,0,</v>
      </c>
      <c r="BB140" s="31" t="str">
        <f t="shared" si="587"/>
        <v>BypassUMLHChecks,0,</v>
      </c>
      <c r="BC140" s="31" t="str">
        <f t="shared" si="588"/>
        <v>BypassCheckSimRules,0,</v>
      </c>
      <c r="BD140" s="31" t="str">
        <f t="shared" si="589"/>
        <v>BypassCheckCodeRules,0,</v>
      </c>
      <c r="BE140" s="31" t="str">
        <f t="shared" si="526"/>
        <v>StoreResultsToModelInput,1,</v>
      </c>
      <c r="BF140" s="31" t="str">
        <f t="shared" si="527"/>
        <v>StoreBEMDetails,0,</v>
      </c>
      <c r="BG140" s="31" t="str">
        <f t="shared" si="528"/>
        <v>ModelRpt_ALL,1,</v>
      </c>
      <c r="BH140" s="31" t="str">
        <f t="shared" si="529"/>
        <v>ExportHourlyResults_All,0,</v>
      </c>
      <c r="BI140" s="31" t="str">
        <f t="shared" si="530"/>
        <v>ComplianceReportPDF,0,</v>
      </c>
      <c r="BJ140" s="31" t="str">
        <f t="shared" si="531"/>
        <v>ComplianceReportXML,0,</v>
      </c>
      <c r="BK140" s="31" t="str">
        <f t="shared" si="532"/>
        <v>QuickAnalysis,0,</v>
      </c>
      <c r="BL140" s="31" t="str">
        <f t="shared" si="532"/>
        <v>PromptUserUMLHWarning,0,</v>
      </c>
      <c r="BM140" s="31" t="str">
        <f t="shared" si="533"/>
        <v>BypassOpenStudio_all,0,</v>
      </c>
      <c r="BN140" s="31" t="str">
        <f t="shared" si="534"/>
        <v>BypassOpenStudio_zp,0,</v>
      </c>
      <c r="BO140" s="31" t="str">
        <f t="shared" si="535"/>
        <v>BypassOpenStudio_zb,0,</v>
      </c>
      <c r="BP140" s="31" t="str">
        <f t="shared" si="536"/>
        <v>BypassOpenStudio_ap,0,</v>
      </c>
      <c r="BQ140" s="31" t="str">
        <f t="shared" si="537"/>
        <v>BypassOpenStudio_ab,0,</v>
      </c>
      <c r="BR140" s="31" t="str">
        <f t="shared" si="538"/>
        <v>BypassOpenStudio_zp,0,</v>
      </c>
      <c r="BS140" s="31" t="str">
        <f t="shared" si="539"/>
        <v>BypassOpenStudio_zb,0,</v>
      </c>
      <c r="BT140" s="31" t="str">
        <f t="shared" si="540"/>
        <v>BypassOpenStudio_ap,0,</v>
      </c>
      <c r="BU140" s="31" t="str">
        <f t="shared" si="541"/>
        <v>BypassOpenStudio_ab,0,</v>
      </c>
    </row>
    <row r="141" spans="1:73" hidden="1" outlineLevel="1" x14ac:dyDescent="0.25">
      <c r="A141" s="39">
        <f t="shared" si="542"/>
        <v>0</v>
      </c>
      <c r="B141" s="27" t="str">
        <f t="shared" si="543"/>
        <v>SoftwareSensitivity2016Tests\DetailedGeometry\x.cibd16</v>
      </c>
      <c r="C141" s="27" t="str">
        <f t="shared" si="544"/>
        <v>BatchOut_171026_r5178_FinalRel-v3-SSTSG_SSTDG\x.cibd16</v>
      </c>
      <c r="D141" s="27" t="str">
        <f t="shared" si="545"/>
        <v>BatchOut_171026_r5178_FinalRel-v3-SSTSG_SSTDG\XML\</v>
      </c>
      <c r="E141" s="9" t="str">
        <f t="shared" si="546"/>
        <v>x</v>
      </c>
      <c r="F141" s="22"/>
      <c r="G141" s="29"/>
      <c r="H141" s="23" t="str">
        <f t="shared" si="547"/>
        <v/>
      </c>
      <c r="I141" s="9" t="s">
        <v>11</v>
      </c>
      <c r="J14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1" s="15" t="s">
        <v>1</v>
      </c>
      <c r="L141" s="36">
        <f t="shared" si="573"/>
        <v>0</v>
      </c>
      <c r="M141" s="91" t="str">
        <f t="shared" si="548"/>
        <v>x</v>
      </c>
      <c r="N141" s="90" t="s">
        <v>149</v>
      </c>
      <c r="O141" s="28" t="str">
        <f t="shared" si="574"/>
        <v>x</v>
      </c>
      <c r="P141" s="36">
        <f t="shared" si="575"/>
        <v>1</v>
      </c>
      <c r="Q141" s="36">
        <f t="shared" si="549"/>
        <v>1</v>
      </c>
      <c r="R141" s="36">
        <f t="shared" si="550"/>
        <v>0</v>
      </c>
      <c r="S141" s="36">
        <f t="shared" si="551"/>
        <v>1</v>
      </c>
      <c r="T141" s="36">
        <f t="shared" si="551"/>
        <v>0</v>
      </c>
      <c r="U141" s="36">
        <f t="shared" si="551"/>
        <v>8</v>
      </c>
      <c r="V141" s="36">
        <f t="shared" si="551"/>
        <v>8</v>
      </c>
      <c r="W141" s="36">
        <f t="shared" si="551"/>
        <v>1</v>
      </c>
      <c r="X141" s="36">
        <f t="shared" si="551"/>
        <v>0</v>
      </c>
      <c r="Y141" s="36">
        <f t="shared" si="551"/>
        <v>0</v>
      </c>
      <c r="Z141" s="36">
        <f t="shared" si="551"/>
        <v>0</v>
      </c>
      <c r="AA141" s="36">
        <f t="shared" si="551"/>
        <v>0</v>
      </c>
      <c r="AB141" s="36">
        <f t="shared" si="551"/>
        <v>1</v>
      </c>
      <c r="AC141" s="36">
        <f t="shared" si="560"/>
        <v>0</v>
      </c>
      <c r="AD141" s="36">
        <f t="shared" si="561"/>
        <v>1</v>
      </c>
      <c r="AE141" s="36">
        <f t="shared" si="561"/>
        <v>0</v>
      </c>
      <c r="AF141" s="36">
        <f t="shared" ref="AF141:AG141" si="630">AF140</f>
        <v>0</v>
      </c>
      <c r="AG141" s="36">
        <f t="shared" si="630"/>
        <v>0</v>
      </c>
      <c r="AH141" s="36">
        <f t="shared" ref="AH141:AI141" si="631">AH140</f>
        <v>0</v>
      </c>
      <c r="AI141" s="36">
        <f t="shared" si="631"/>
        <v>0</v>
      </c>
      <c r="AJ141" s="36">
        <f t="shared" si="564"/>
        <v>0</v>
      </c>
      <c r="AK141" s="36">
        <f t="shared" si="565"/>
        <v>0</v>
      </c>
      <c r="AL141" s="36">
        <f t="shared" si="566"/>
        <v>0</v>
      </c>
      <c r="AM141" s="36">
        <f t="shared" si="567"/>
        <v>0</v>
      </c>
      <c r="AN141" s="36">
        <f t="shared" si="568"/>
        <v>0</v>
      </c>
      <c r="AO141" s="36">
        <f t="shared" si="569"/>
        <v>0</v>
      </c>
      <c r="AP141" s="36">
        <f t="shared" si="570"/>
        <v>0</v>
      </c>
      <c r="AQ141" s="36">
        <f t="shared" si="571"/>
        <v>0</v>
      </c>
      <c r="AR141" s="36">
        <f t="shared" si="572"/>
        <v>0</v>
      </c>
      <c r="AS141" s="31" t="str">
        <f t="shared" si="578"/>
        <v>SimulationStorage,1,</v>
      </c>
      <c r="AT141" s="31" t="str">
        <f t="shared" si="579"/>
        <v>AnalysisStorage,1,</v>
      </c>
      <c r="AU141" s="31" t="str">
        <f t="shared" si="580"/>
        <v>LogRuleEvaluation,0,</v>
      </c>
      <c r="AV141" s="31" t="str">
        <f t="shared" si="581"/>
        <v>ParallelSimulations,1,</v>
      </c>
      <c r="AW141" s="31" t="str">
        <f t="shared" si="582"/>
        <v>DurationStats,0,</v>
      </c>
      <c r="AX141" s="31" t="str">
        <f t="shared" si="583"/>
        <v>AnalysisThruStep,8,</v>
      </c>
      <c r="AY141" s="31" t="str">
        <f t="shared" si="584"/>
        <v>DontAbortOnErrorsThruStep,8,</v>
      </c>
      <c r="AZ141" s="31" t="str">
        <f t="shared" si="585"/>
        <v>BypassValidFileChecks,1,</v>
      </c>
      <c r="BA141" s="31" t="str">
        <f t="shared" si="586"/>
        <v>BypassInputChecks,0,</v>
      </c>
      <c r="BB141" s="31" t="str">
        <f t="shared" si="587"/>
        <v>BypassUMLHChecks,0,</v>
      </c>
      <c r="BC141" s="31" t="str">
        <f t="shared" si="588"/>
        <v>BypassCheckSimRules,0,</v>
      </c>
      <c r="BD141" s="31" t="str">
        <f t="shared" si="589"/>
        <v>BypassCheckCodeRules,0,</v>
      </c>
      <c r="BE141" s="31" t="str">
        <f t="shared" si="526"/>
        <v>StoreResultsToModelInput,1,</v>
      </c>
      <c r="BF141" s="31" t="str">
        <f t="shared" si="527"/>
        <v>StoreBEMDetails,0,</v>
      </c>
      <c r="BG141" s="31" t="str">
        <f t="shared" si="528"/>
        <v>ModelRpt_ALL,1,</v>
      </c>
      <c r="BH141" s="31" t="str">
        <f t="shared" si="529"/>
        <v>ExportHourlyResults_All,0,</v>
      </c>
      <c r="BI141" s="31" t="str">
        <f t="shared" si="530"/>
        <v>ComplianceReportPDF,0,</v>
      </c>
      <c r="BJ141" s="31" t="str">
        <f t="shared" si="531"/>
        <v>ComplianceReportXML,0,</v>
      </c>
      <c r="BK141" s="31" t="str">
        <f t="shared" si="532"/>
        <v>QuickAnalysis,0,</v>
      </c>
      <c r="BL141" s="31" t="str">
        <f t="shared" si="532"/>
        <v>PromptUserUMLHWarning,0,</v>
      </c>
      <c r="BM141" s="31" t="str">
        <f t="shared" si="533"/>
        <v>BypassOpenStudio_all,0,</v>
      </c>
      <c r="BN141" s="31" t="str">
        <f t="shared" si="534"/>
        <v>BypassOpenStudio_zp,0,</v>
      </c>
      <c r="BO141" s="31" t="str">
        <f t="shared" si="535"/>
        <v>BypassOpenStudio_zb,0,</v>
      </c>
      <c r="BP141" s="31" t="str">
        <f t="shared" si="536"/>
        <v>BypassOpenStudio_ap,0,</v>
      </c>
      <c r="BQ141" s="31" t="str">
        <f t="shared" si="537"/>
        <v>BypassOpenStudio_ab,0,</v>
      </c>
      <c r="BR141" s="31" t="str">
        <f t="shared" si="538"/>
        <v>BypassOpenStudio_zp,0,</v>
      </c>
      <c r="BS141" s="31" t="str">
        <f t="shared" si="539"/>
        <v>BypassOpenStudio_zb,0,</v>
      </c>
      <c r="BT141" s="31" t="str">
        <f t="shared" si="540"/>
        <v>BypassOpenStudio_ap,0,</v>
      </c>
      <c r="BU141" s="31" t="str">
        <f t="shared" si="541"/>
        <v>BypassOpenStudio_ab,0,</v>
      </c>
    </row>
    <row r="142" spans="1:73" hidden="1" outlineLevel="1" x14ac:dyDescent="0.25">
      <c r="A142" s="39">
        <f t="shared" si="542"/>
        <v>0</v>
      </c>
      <c r="B142" s="27" t="str">
        <f t="shared" si="543"/>
        <v>SoftwareSensitivity2016Tests\DetailedGeometry\x.cibd16</v>
      </c>
      <c r="C142" s="27" t="str">
        <f t="shared" si="544"/>
        <v>BatchOut_171026_r5178_FinalRel-v3-SSTSG_SSTDG\x.cibd16</v>
      </c>
      <c r="D142" s="27" t="str">
        <f t="shared" si="545"/>
        <v>BatchOut_171026_r5178_FinalRel-v3-SSTSG_SSTDG\XML\</v>
      </c>
      <c r="E142" s="9" t="str">
        <f t="shared" si="546"/>
        <v>x</v>
      </c>
      <c r="F142" s="22"/>
      <c r="G142" s="29"/>
      <c r="H142" s="23" t="str">
        <f t="shared" si="547"/>
        <v/>
      </c>
      <c r="I142" s="9" t="s">
        <v>11</v>
      </c>
      <c r="J14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2" s="15" t="s">
        <v>1</v>
      </c>
      <c r="L142" s="36">
        <f t="shared" si="573"/>
        <v>0</v>
      </c>
      <c r="M142" s="91" t="str">
        <f t="shared" si="548"/>
        <v>x</v>
      </c>
      <c r="N142" s="90" t="s">
        <v>149</v>
      </c>
      <c r="O142" s="28" t="str">
        <f t="shared" si="574"/>
        <v>x</v>
      </c>
      <c r="P142" s="36">
        <f t="shared" si="575"/>
        <v>1</v>
      </c>
      <c r="Q142" s="36">
        <f t="shared" si="549"/>
        <v>1</v>
      </c>
      <c r="R142" s="36">
        <f t="shared" si="550"/>
        <v>0</v>
      </c>
      <c r="S142" s="36">
        <f t="shared" si="550"/>
        <v>1</v>
      </c>
      <c r="T142" s="36">
        <f t="shared" si="550"/>
        <v>0</v>
      </c>
      <c r="U142" s="36">
        <f t="shared" si="550"/>
        <v>8</v>
      </c>
      <c r="V142" s="36">
        <f t="shared" si="550"/>
        <v>8</v>
      </c>
      <c r="W142" s="36">
        <f t="shared" si="550"/>
        <v>1</v>
      </c>
      <c r="X142" s="36">
        <f t="shared" si="550"/>
        <v>0</v>
      </c>
      <c r="Y142" s="36">
        <f t="shared" si="550"/>
        <v>0</v>
      </c>
      <c r="Z142" s="36">
        <f t="shared" si="550"/>
        <v>0</v>
      </c>
      <c r="AA142" s="36">
        <f t="shared" si="550"/>
        <v>0</v>
      </c>
      <c r="AB142" s="36">
        <f t="shared" si="550"/>
        <v>1</v>
      </c>
      <c r="AC142" s="36">
        <f t="shared" si="560"/>
        <v>0</v>
      </c>
      <c r="AD142" s="36">
        <f t="shared" si="561"/>
        <v>1</v>
      </c>
      <c r="AE142" s="36">
        <f t="shared" si="561"/>
        <v>0</v>
      </c>
      <c r="AF142" s="36">
        <f t="shared" ref="AF142:AG142" si="632">AF141</f>
        <v>0</v>
      </c>
      <c r="AG142" s="36">
        <f t="shared" si="632"/>
        <v>0</v>
      </c>
      <c r="AH142" s="36">
        <f t="shared" ref="AH142:AI142" si="633">AH141</f>
        <v>0</v>
      </c>
      <c r="AI142" s="36">
        <f t="shared" si="633"/>
        <v>0</v>
      </c>
      <c r="AJ142" s="36">
        <f t="shared" si="564"/>
        <v>0</v>
      </c>
      <c r="AK142" s="36">
        <f t="shared" si="565"/>
        <v>0</v>
      </c>
      <c r="AL142" s="36">
        <f t="shared" si="566"/>
        <v>0</v>
      </c>
      <c r="AM142" s="36">
        <f t="shared" si="567"/>
        <v>0</v>
      </c>
      <c r="AN142" s="36">
        <f t="shared" si="568"/>
        <v>0</v>
      </c>
      <c r="AO142" s="36">
        <f t="shared" si="569"/>
        <v>0</v>
      </c>
      <c r="AP142" s="36">
        <f t="shared" si="570"/>
        <v>0</v>
      </c>
      <c r="AQ142" s="36">
        <f t="shared" si="571"/>
        <v>0</v>
      </c>
      <c r="AR142" s="36">
        <f t="shared" si="572"/>
        <v>0</v>
      </c>
      <c r="AS142" s="31" t="str">
        <f t="shared" si="578"/>
        <v>SimulationStorage,1,</v>
      </c>
      <c r="AT142" s="31" t="str">
        <f t="shared" si="579"/>
        <v>AnalysisStorage,1,</v>
      </c>
      <c r="AU142" s="31" t="str">
        <f t="shared" si="580"/>
        <v>LogRuleEvaluation,0,</v>
      </c>
      <c r="AV142" s="31" t="str">
        <f t="shared" si="581"/>
        <v>ParallelSimulations,1,</v>
      </c>
      <c r="AW142" s="31" t="str">
        <f t="shared" si="582"/>
        <v>DurationStats,0,</v>
      </c>
      <c r="AX142" s="31" t="str">
        <f t="shared" si="583"/>
        <v>AnalysisThruStep,8,</v>
      </c>
      <c r="AY142" s="31" t="str">
        <f t="shared" si="584"/>
        <v>DontAbortOnErrorsThruStep,8,</v>
      </c>
      <c r="AZ142" s="31" t="str">
        <f t="shared" si="585"/>
        <v>BypassValidFileChecks,1,</v>
      </c>
      <c r="BA142" s="31" t="str">
        <f t="shared" si="586"/>
        <v>BypassInputChecks,0,</v>
      </c>
      <c r="BB142" s="31" t="str">
        <f t="shared" si="587"/>
        <v>BypassUMLHChecks,0,</v>
      </c>
      <c r="BC142" s="31" t="str">
        <f t="shared" si="588"/>
        <v>BypassCheckSimRules,0,</v>
      </c>
      <c r="BD142" s="31" t="str">
        <f t="shared" si="589"/>
        <v>BypassCheckCodeRules,0,</v>
      </c>
      <c r="BE142" s="31" t="str">
        <f t="shared" si="526"/>
        <v>StoreResultsToModelInput,1,</v>
      </c>
      <c r="BF142" s="31" t="str">
        <f t="shared" si="527"/>
        <v>StoreBEMDetails,0,</v>
      </c>
      <c r="BG142" s="31" t="str">
        <f t="shared" si="528"/>
        <v>ModelRpt_ALL,1,</v>
      </c>
      <c r="BH142" s="31" t="str">
        <f t="shared" si="529"/>
        <v>ExportHourlyResults_All,0,</v>
      </c>
      <c r="BI142" s="31" t="str">
        <f t="shared" si="530"/>
        <v>ComplianceReportPDF,0,</v>
      </c>
      <c r="BJ142" s="31" t="str">
        <f t="shared" si="531"/>
        <v>ComplianceReportXML,0,</v>
      </c>
      <c r="BK142" s="31" t="str">
        <f t="shared" si="532"/>
        <v>QuickAnalysis,0,</v>
      </c>
      <c r="BL142" s="31" t="str">
        <f t="shared" si="532"/>
        <v>PromptUserUMLHWarning,0,</v>
      </c>
      <c r="BM142" s="31" t="str">
        <f t="shared" si="533"/>
        <v>BypassOpenStudio_all,0,</v>
      </c>
      <c r="BN142" s="31" t="str">
        <f t="shared" si="534"/>
        <v>BypassOpenStudio_zp,0,</v>
      </c>
      <c r="BO142" s="31" t="str">
        <f t="shared" si="535"/>
        <v>BypassOpenStudio_zb,0,</v>
      </c>
      <c r="BP142" s="31" t="str">
        <f t="shared" si="536"/>
        <v>BypassOpenStudio_ap,0,</v>
      </c>
      <c r="BQ142" s="31" t="str">
        <f t="shared" si="537"/>
        <v>BypassOpenStudio_ab,0,</v>
      </c>
      <c r="BR142" s="31" t="str">
        <f t="shared" si="538"/>
        <v>BypassOpenStudio_zp,0,</v>
      </c>
      <c r="BS142" s="31" t="str">
        <f t="shared" si="539"/>
        <v>BypassOpenStudio_zb,0,</v>
      </c>
      <c r="BT142" s="31" t="str">
        <f t="shared" si="540"/>
        <v>BypassOpenStudio_ap,0,</v>
      </c>
      <c r="BU142" s="31" t="str">
        <f t="shared" si="541"/>
        <v>BypassOpenStudio_ab,0,</v>
      </c>
    </row>
    <row r="143" spans="1:73" hidden="1" outlineLevel="1" x14ac:dyDescent="0.25">
      <c r="A143" s="39">
        <f t="shared" si="542"/>
        <v>0</v>
      </c>
      <c r="B143" s="27" t="str">
        <f t="shared" si="543"/>
        <v>SoftwareSensitivity2016Tests\DetailedGeometry\x.cibd16</v>
      </c>
      <c r="C143" s="27" t="str">
        <f t="shared" si="544"/>
        <v>BatchOut_171026_r5178_FinalRel-v3-SSTSG_SSTDG\x.cibd16</v>
      </c>
      <c r="D143" s="27" t="str">
        <f t="shared" si="545"/>
        <v>BatchOut_171026_r5178_FinalRel-v3-SSTSG_SSTDG\XML\</v>
      </c>
      <c r="E143" s="9" t="str">
        <f t="shared" si="546"/>
        <v>x</v>
      </c>
      <c r="F143" s="22"/>
      <c r="G143" s="29"/>
      <c r="H143" s="23" t="str">
        <f t="shared" si="547"/>
        <v/>
      </c>
      <c r="I143" s="9" t="s">
        <v>11</v>
      </c>
      <c r="J14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3" s="15" t="s">
        <v>1</v>
      </c>
      <c r="L143" s="36">
        <f t="shared" si="573"/>
        <v>0</v>
      </c>
      <c r="M143" s="91" t="str">
        <f t="shared" si="548"/>
        <v>x</v>
      </c>
      <c r="N143" s="90" t="s">
        <v>149</v>
      </c>
      <c r="O143" s="28" t="str">
        <f t="shared" si="574"/>
        <v>x</v>
      </c>
      <c r="P143" s="36">
        <f t="shared" si="575"/>
        <v>1</v>
      </c>
      <c r="Q143" s="36">
        <f t="shared" si="549"/>
        <v>1</v>
      </c>
      <c r="R143" s="36">
        <f t="shared" si="549"/>
        <v>0</v>
      </c>
      <c r="S143" s="36">
        <f t="shared" si="549"/>
        <v>1</v>
      </c>
      <c r="T143" s="36">
        <f t="shared" si="549"/>
        <v>0</v>
      </c>
      <c r="U143" s="36">
        <f t="shared" si="549"/>
        <v>8</v>
      </c>
      <c r="V143" s="36">
        <f t="shared" si="549"/>
        <v>8</v>
      </c>
      <c r="W143" s="36">
        <f t="shared" si="549"/>
        <v>1</v>
      </c>
      <c r="X143" s="36">
        <f t="shared" si="549"/>
        <v>0</v>
      </c>
      <c r="Y143" s="36">
        <f t="shared" si="549"/>
        <v>0</v>
      </c>
      <c r="Z143" s="36">
        <f t="shared" si="549"/>
        <v>0</v>
      </c>
      <c r="AA143" s="36">
        <f t="shared" si="549"/>
        <v>0</v>
      </c>
      <c r="AB143" s="36">
        <f t="shared" si="549"/>
        <v>1</v>
      </c>
      <c r="AC143" s="36">
        <f t="shared" si="560"/>
        <v>0</v>
      </c>
      <c r="AD143" s="36">
        <f t="shared" si="561"/>
        <v>1</v>
      </c>
      <c r="AE143" s="36">
        <f t="shared" si="561"/>
        <v>0</v>
      </c>
      <c r="AF143" s="36">
        <f t="shared" ref="AF143:AG143" si="634">AF142</f>
        <v>0</v>
      </c>
      <c r="AG143" s="36">
        <f t="shared" si="634"/>
        <v>0</v>
      </c>
      <c r="AH143" s="36">
        <f t="shared" ref="AH143:AI143" si="635">AH142</f>
        <v>0</v>
      </c>
      <c r="AI143" s="36">
        <f t="shared" si="635"/>
        <v>0</v>
      </c>
      <c r="AJ143" s="36">
        <f t="shared" si="564"/>
        <v>0</v>
      </c>
      <c r="AK143" s="36">
        <f t="shared" si="565"/>
        <v>0</v>
      </c>
      <c r="AL143" s="36">
        <f t="shared" si="566"/>
        <v>0</v>
      </c>
      <c r="AM143" s="36">
        <f t="shared" si="567"/>
        <v>0</v>
      </c>
      <c r="AN143" s="36">
        <f t="shared" si="568"/>
        <v>0</v>
      </c>
      <c r="AO143" s="36">
        <f t="shared" si="569"/>
        <v>0</v>
      </c>
      <c r="AP143" s="36">
        <f t="shared" si="570"/>
        <v>0</v>
      </c>
      <c r="AQ143" s="36">
        <f t="shared" si="571"/>
        <v>0</v>
      </c>
      <c r="AR143" s="36">
        <f t="shared" si="572"/>
        <v>0</v>
      </c>
      <c r="AS143" s="31" t="str">
        <f t="shared" si="578"/>
        <v>SimulationStorage,1,</v>
      </c>
      <c r="AT143" s="31" t="str">
        <f t="shared" si="579"/>
        <v>AnalysisStorage,1,</v>
      </c>
      <c r="AU143" s="31" t="str">
        <f t="shared" si="580"/>
        <v>LogRuleEvaluation,0,</v>
      </c>
      <c r="AV143" s="31" t="str">
        <f t="shared" si="581"/>
        <v>ParallelSimulations,1,</v>
      </c>
      <c r="AW143" s="31" t="str">
        <f t="shared" si="582"/>
        <v>DurationStats,0,</v>
      </c>
      <c r="AX143" s="31" t="str">
        <f t="shared" si="583"/>
        <v>AnalysisThruStep,8,</v>
      </c>
      <c r="AY143" s="31" t="str">
        <f t="shared" si="584"/>
        <v>DontAbortOnErrorsThruStep,8,</v>
      </c>
      <c r="AZ143" s="31" t="str">
        <f t="shared" si="585"/>
        <v>BypassValidFileChecks,1,</v>
      </c>
      <c r="BA143" s="31" t="str">
        <f t="shared" si="586"/>
        <v>BypassInputChecks,0,</v>
      </c>
      <c r="BB143" s="31" t="str">
        <f t="shared" si="587"/>
        <v>BypassUMLHChecks,0,</v>
      </c>
      <c r="BC143" s="31" t="str">
        <f t="shared" si="588"/>
        <v>BypassCheckSimRules,0,</v>
      </c>
      <c r="BD143" s="31" t="str">
        <f t="shared" si="589"/>
        <v>BypassCheckCodeRules,0,</v>
      </c>
      <c r="BE143" s="31" t="str">
        <f t="shared" si="526"/>
        <v>StoreResultsToModelInput,1,</v>
      </c>
      <c r="BF143" s="31" t="str">
        <f t="shared" si="527"/>
        <v>StoreBEMDetails,0,</v>
      </c>
      <c r="BG143" s="31" t="str">
        <f t="shared" si="528"/>
        <v>ModelRpt_ALL,1,</v>
      </c>
      <c r="BH143" s="31" t="str">
        <f t="shared" si="529"/>
        <v>ExportHourlyResults_All,0,</v>
      </c>
      <c r="BI143" s="31" t="str">
        <f t="shared" si="530"/>
        <v>ComplianceReportPDF,0,</v>
      </c>
      <c r="BJ143" s="31" t="str">
        <f t="shared" si="531"/>
        <v>ComplianceReportXML,0,</v>
      </c>
      <c r="BK143" s="31" t="str">
        <f t="shared" si="532"/>
        <v>QuickAnalysis,0,</v>
      </c>
      <c r="BL143" s="31" t="str">
        <f t="shared" si="532"/>
        <v>PromptUserUMLHWarning,0,</v>
      </c>
      <c r="BM143" s="31" t="str">
        <f t="shared" si="533"/>
        <v>BypassOpenStudio_all,0,</v>
      </c>
      <c r="BN143" s="31" t="str">
        <f t="shared" si="534"/>
        <v>BypassOpenStudio_zp,0,</v>
      </c>
      <c r="BO143" s="31" t="str">
        <f t="shared" si="535"/>
        <v>BypassOpenStudio_zb,0,</v>
      </c>
      <c r="BP143" s="31" t="str">
        <f t="shared" si="536"/>
        <v>BypassOpenStudio_ap,0,</v>
      </c>
      <c r="BQ143" s="31" t="str">
        <f t="shared" si="537"/>
        <v>BypassOpenStudio_ab,0,</v>
      </c>
      <c r="BR143" s="31" t="str">
        <f t="shared" si="538"/>
        <v>BypassOpenStudio_zp,0,</v>
      </c>
      <c r="BS143" s="31" t="str">
        <f t="shared" si="539"/>
        <v>BypassOpenStudio_zb,0,</v>
      </c>
      <c r="BT143" s="31" t="str">
        <f t="shared" si="540"/>
        <v>BypassOpenStudio_ap,0,</v>
      </c>
      <c r="BU143" s="31" t="str">
        <f t="shared" si="541"/>
        <v>BypassOpenStudio_ab,0,</v>
      </c>
    </row>
    <row r="144" spans="1:73" hidden="1" outlineLevel="1" x14ac:dyDescent="0.25">
      <c r="A144" s="39">
        <f t="shared" si="542"/>
        <v>0</v>
      </c>
      <c r="B144" s="27" t="str">
        <f t="shared" si="543"/>
        <v>SoftwareSensitivity2016Tests\DetailedGeometry\x.cibd16</v>
      </c>
      <c r="C144" s="27" t="str">
        <f t="shared" si="544"/>
        <v>BatchOut_171026_r5178_FinalRel-v3-SSTSG_SSTDG\x.cibd16</v>
      </c>
      <c r="D144" s="27" t="str">
        <f t="shared" si="545"/>
        <v>BatchOut_171026_r5178_FinalRel-v3-SSTSG_SSTDG\XML\</v>
      </c>
      <c r="E144" s="9" t="str">
        <f t="shared" si="546"/>
        <v>x</v>
      </c>
      <c r="F144" s="22"/>
      <c r="G144" s="29"/>
      <c r="H144" s="23" t="str">
        <f t="shared" si="547"/>
        <v/>
      </c>
      <c r="I144" s="9" t="s">
        <v>11</v>
      </c>
      <c r="J14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4" s="15" t="s">
        <v>1</v>
      </c>
      <c r="L144" s="36">
        <f t="shared" si="573"/>
        <v>0</v>
      </c>
      <c r="M144" s="91" t="str">
        <f t="shared" si="548"/>
        <v>x</v>
      </c>
      <c r="N144" s="90" t="s">
        <v>149</v>
      </c>
      <c r="O144" s="28" t="str">
        <f t="shared" si="574"/>
        <v>x</v>
      </c>
      <c r="P144" s="36">
        <f t="shared" si="575"/>
        <v>1</v>
      </c>
      <c r="Q144" s="36">
        <f t="shared" si="575"/>
        <v>1</v>
      </c>
      <c r="R144" s="36">
        <f t="shared" si="575"/>
        <v>0</v>
      </c>
      <c r="S144" s="36">
        <f t="shared" si="575"/>
        <v>1</v>
      </c>
      <c r="T144" s="36">
        <f t="shared" si="575"/>
        <v>0</v>
      </c>
      <c r="U144" s="36">
        <f t="shared" si="575"/>
        <v>8</v>
      </c>
      <c r="V144" s="36">
        <f t="shared" si="575"/>
        <v>8</v>
      </c>
      <c r="W144" s="36">
        <f t="shared" si="575"/>
        <v>1</v>
      </c>
      <c r="X144" s="36">
        <f t="shared" si="575"/>
        <v>0</v>
      </c>
      <c r="Y144" s="36">
        <f t="shared" si="575"/>
        <v>0</v>
      </c>
      <c r="Z144" s="36">
        <f t="shared" si="575"/>
        <v>0</v>
      </c>
      <c r="AA144" s="36">
        <f t="shared" si="575"/>
        <v>0</v>
      </c>
      <c r="AB144" s="36">
        <f t="shared" si="575"/>
        <v>1</v>
      </c>
      <c r="AC144" s="36">
        <f t="shared" si="560"/>
        <v>0</v>
      </c>
      <c r="AD144" s="36">
        <f t="shared" si="561"/>
        <v>1</v>
      </c>
      <c r="AE144" s="36">
        <f t="shared" si="561"/>
        <v>0</v>
      </c>
      <c r="AF144" s="36">
        <f t="shared" ref="AF144:AG144" si="636">AF143</f>
        <v>0</v>
      </c>
      <c r="AG144" s="36">
        <f t="shared" si="636"/>
        <v>0</v>
      </c>
      <c r="AH144" s="36">
        <f t="shared" ref="AH144:AI144" si="637">AH143</f>
        <v>0</v>
      </c>
      <c r="AI144" s="36">
        <f t="shared" si="637"/>
        <v>0</v>
      </c>
      <c r="AJ144" s="36">
        <f t="shared" si="564"/>
        <v>0</v>
      </c>
      <c r="AK144" s="36">
        <f t="shared" si="565"/>
        <v>0</v>
      </c>
      <c r="AL144" s="36">
        <f t="shared" si="566"/>
        <v>0</v>
      </c>
      <c r="AM144" s="36">
        <f t="shared" si="567"/>
        <v>0</v>
      </c>
      <c r="AN144" s="36">
        <f t="shared" si="568"/>
        <v>0</v>
      </c>
      <c r="AO144" s="36">
        <f t="shared" si="569"/>
        <v>0</v>
      </c>
      <c r="AP144" s="36">
        <f t="shared" si="570"/>
        <v>0</v>
      </c>
      <c r="AQ144" s="36">
        <f t="shared" si="571"/>
        <v>0</v>
      </c>
      <c r="AR144" s="36">
        <f t="shared" si="572"/>
        <v>0</v>
      </c>
      <c r="AS144" s="31" t="str">
        <f t="shared" si="578"/>
        <v>SimulationStorage,1,</v>
      </c>
      <c r="AT144" s="31" t="str">
        <f t="shared" si="579"/>
        <v>AnalysisStorage,1,</v>
      </c>
      <c r="AU144" s="31" t="str">
        <f t="shared" si="580"/>
        <v>LogRuleEvaluation,0,</v>
      </c>
      <c r="AV144" s="31" t="str">
        <f t="shared" si="581"/>
        <v>ParallelSimulations,1,</v>
      </c>
      <c r="AW144" s="31" t="str">
        <f t="shared" si="582"/>
        <v>DurationStats,0,</v>
      </c>
      <c r="AX144" s="31" t="str">
        <f t="shared" si="583"/>
        <v>AnalysisThruStep,8,</v>
      </c>
      <c r="AY144" s="31" t="str">
        <f t="shared" si="584"/>
        <v>DontAbortOnErrorsThruStep,8,</v>
      </c>
      <c r="AZ144" s="31" t="str">
        <f t="shared" si="585"/>
        <v>BypassValidFileChecks,1,</v>
      </c>
      <c r="BA144" s="31" t="str">
        <f t="shared" si="586"/>
        <v>BypassInputChecks,0,</v>
      </c>
      <c r="BB144" s="31" t="str">
        <f t="shared" si="587"/>
        <v>BypassUMLHChecks,0,</v>
      </c>
      <c r="BC144" s="31" t="str">
        <f t="shared" si="588"/>
        <v>BypassCheckSimRules,0,</v>
      </c>
      <c r="BD144" s="31" t="str">
        <f t="shared" si="589"/>
        <v>BypassCheckCodeRules,0,</v>
      </c>
      <c r="BE144" s="31" t="str">
        <f t="shared" si="526"/>
        <v>StoreResultsToModelInput,1,</v>
      </c>
      <c r="BF144" s="31" t="str">
        <f t="shared" si="527"/>
        <v>StoreBEMDetails,0,</v>
      </c>
      <c r="BG144" s="31" t="str">
        <f t="shared" si="528"/>
        <v>ModelRpt_ALL,1,</v>
      </c>
      <c r="BH144" s="31" t="str">
        <f t="shared" si="529"/>
        <v>ExportHourlyResults_All,0,</v>
      </c>
      <c r="BI144" s="31" t="str">
        <f t="shared" si="530"/>
        <v>ComplianceReportPDF,0,</v>
      </c>
      <c r="BJ144" s="31" t="str">
        <f t="shared" si="531"/>
        <v>ComplianceReportXML,0,</v>
      </c>
      <c r="BK144" s="31" t="str">
        <f t="shared" si="532"/>
        <v>QuickAnalysis,0,</v>
      </c>
      <c r="BL144" s="31" t="str">
        <f t="shared" si="532"/>
        <v>PromptUserUMLHWarning,0,</v>
      </c>
      <c r="BM144" s="31" t="str">
        <f t="shared" si="533"/>
        <v>BypassOpenStudio_all,0,</v>
      </c>
      <c r="BN144" s="31" t="str">
        <f t="shared" si="534"/>
        <v>BypassOpenStudio_zp,0,</v>
      </c>
      <c r="BO144" s="31" t="str">
        <f t="shared" si="535"/>
        <v>BypassOpenStudio_zb,0,</v>
      </c>
      <c r="BP144" s="31" t="str">
        <f t="shared" si="536"/>
        <v>BypassOpenStudio_ap,0,</v>
      </c>
      <c r="BQ144" s="31" t="str">
        <f t="shared" si="537"/>
        <v>BypassOpenStudio_ab,0,</v>
      </c>
      <c r="BR144" s="31" t="str">
        <f t="shared" si="538"/>
        <v>BypassOpenStudio_zp,0,</v>
      </c>
      <c r="BS144" s="31" t="str">
        <f t="shared" si="539"/>
        <v>BypassOpenStudio_zb,0,</v>
      </c>
      <c r="BT144" s="31" t="str">
        <f t="shared" si="540"/>
        <v>BypassOpenStudio_ap,0,</v>
      </c>
      <c r="BU144" s="31" t="str">
        <f t="shared" si="541"/>
        <v>BypassOpenStudio_ab,0,</v>
      </c>
    </row>
    <row r="145" spans="1:73" hidden="1" outlineLevel="1" x14ac:dyDescent="0.25">
      <c r="A145" s="39">
        <f t="shared" si="542"/>
        <v>0</v>
      </c>
      <c r="B145" s="27" t="str">
        <f t="shared" si="543"/>
        <v>SoftwareSensitivity2016Tests\DetailedGeometry\x.cibd16</v>
      </c>
      <c r="C145" s="27" t="str">
        <f t="shared" si="544"/>
        <v>BatchOut_171026_r5178_FinalRel-v3-SSTSG_SSTDG\x.cibd16</v>
      </c>
      <c r="D145" s="27" t="str">
        <f t="shared" si="545"/>
        <v>BatchOut_171026_r5178_FinalRel-v3-SSTSG_SSTDG\XML\</v>
      </c>
      <c r="E145" s="9" t="str">
        <f t="shared" si="546"/>
        <v>x</v>
      </c>
      <c r="F145" s="22"/>
      <c r="G145" s="29"/>
      <c r="H145" s="23" t="str">
        <f t="shared" si="547"/>
        <v/>
      </c>
      <c r="I145" s="9" t="s">
        <v>11</v>
      </c>
      <c r="J14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5" s="15" t="s">
        <v>1</v>
      </c>
      <c r="L145" s="36">
        <f t="shared" si="573"/>
        <v>0</v>
      </c>
      <c r="M145" s="91" t="str">
        <f t="shared" si="548"/>
        <v>x</v>
      </c>
      <c r="N145" s="90" t="s">
        <v>149</v>
      </c>
      <c r="O145" s="28" t="str">
        <f t="shared" si="574"/>
        <v>x</v>
      </c>
      <c r="P145" s="36">
        <f t="shared" si="575"/>
        <v>1</v>
      </c>
      <c r="Q145" s="36">
        <f t="shared" si="575"/>
        <v>1</v>
      </c>
      <c r="R145" s="36">
        <f t="shared" si="575"/>
        <v>0</v>
      </c>
      <c r="S145" s="36">
        <f t="shared" si="575"/>
        <v>1</v>
      </c>
      <c r="T145" s="36">
        <f t="shared" si="575"/>
        <v>0</v>
      </c>
      <c r="U145" s="36">
        <f t="shared" si="575"/>
        <v>8</v>
      </c>
      <c r="V145" s="36">
        <f t="shared" si="575"/>
        <v>8</v>
      </c>
      <c r="W145" s="36">
        <f t="shared" si="575"/>
        <v>1</v>
      </c>
      <c r="X145" s="36">
        <f t="shared" si="575"/>
        <v>0</v>
      </c>
      <c r="Y145" s="36">
        <f t="shared" si="575"/>
        <v>0</v>
      </c>
      <c r="Z145" s="36">
        <f t="shared" si="575"/>
        <v>0</v>
      </c>
      <c r="AA145" s="36">
        <f t="shared" si="575"/>
        <v>0</v>
      </c>
      <c r="AB145" s="36">
        <f t="shared" si="575"/>
        <v>1</v>
      </c>
      <c r="AC145" s="36">
        <f t="shared" si="560"/>
        <v>0</v>
      </c>
      <c r="AD145" s="36">
        <f t="shared" si="561"/>
        <v>1</v>
      </c>
      <c r="AE145" s="36">
        <f t="shared" si="561"/>
        <v>0</v>
      </c>
      <c r="AF145" s="36">
        <f t="shared" ref="AF145:AG145" si="638">AF144</f>
        <v>0</v>
      </c>
      <c r="AG145" s="36">
        <f t="shared" si="638"/>
        <v>0</v>
      </c>
      <c r="AH145" s="36">
        <f t="shared" ref="AH145:AI145" si="639">AH144</f>
        <v>0</v>
      </c>
      <c r="AI145" s="36">
        <f t="shared" si="639"/>
        <v>0</v>
      </c>
      <c r="AJ145" s="36">
        <f t="shared" si="564"/>
        <v>0</v>
      </c>
      <c r="AK145" s="36">
        <f t="shared" si="565"/>
        <v>0</v>
      </c>
      <c r="AL145" s="36">
        <f t="shared" si="566"/>
        <v>0</v>
      </c>
      <c r="AM145" s="36">
        <f t="shared" si="567"/>
        <v>0</v>
      </c>
      <c r="AN145" s="36">
        <f t="shared" si="568"/>
        <v>0</v>
      </c>
      <c r="AO145" s="36">
        <f t="shared" si="569"/>
        <v>0</v>
      </c>
      <c r="AP145" s="36">
        <f t="shared" si="570"/>
        <v>0</v>
      </c>
      <c r="AQ145" s="36">
        <f t="shared" si="571"/>
        <v>0</v>
      </c>
      <c r="AR145" s="36">
        <f t="shared" si="572"/>
        <v>0</v>
      </c>
      <c r="AS145" s="31" t="str">
        <f t="shared" si="578"/>
        <v>SimulationStorage,1,</v>
      </c>
      <c r="AT145" s="31" t="str">
        <f t="shared" si="579"/>
        <v>AnalysisStorage,1,</v>
      </c>
      <c r="AU145" s="31" t="str">
        <f t="shared" si="580"/>
        <v>LogRuleEvaluation,0,</v>
      </c>
      <c r="AV145" s="31" t="str">
        <f t="shared" si="581"/>
        <v>ParallelSimulations,1,</v>
      </c>
      <c r="AW145" s="31" t="str">
        <f t="shared" si="582"/>
        <v>DurationStats,0,</v>
      </c>
      <c r="AX145" s="31" t="str">
        <f t="shared" si="583"/>
        <v>AnalysisThruStep,8,</v>
      </c>
      <c r="AY145" s="31" t="str">
        <f t="shared" si="584"/>
        <v>DontAbortOnErrorsThruStep,8,</v>
      </c>
      <c r="AZ145" s="31" t="str">
        <f t="shared" si="585"/>
        <v>BypassValidFileChecks,1,</v>
      </c>
      <c r="BA145" s="31" t="str">
        <f t="shared" si="586"/>
        <v>BypassInputChecks,0,</v>
      </c>
      <c r="BB145" s="31" t="str">
        <f t="shared" si="587"/>
        <v>BypassUMLHChecks,0,</v>
      </c>
      <c r="BC145" s="31" t="str">
        <f t="shared" si="588"/>
        <v>BypassCheckSimRules,0,</v>
      </c>
      <c r="BD145" s="31" t="str">
        <f t="shared" si="589"/>
        <v>BypassCheckCodeRules,0,</v>
      </c>
      <c r="BE145" s="31" t="str">
        <f t="shared" si="526"/>
        <v>StoreResultsToModelInput,1,</v>
      </c>
      <c r="BF145" s="31" t="str">
        <f t="shared" si="527"/>
        <v>StoreBEMDetails,0,</v>
      </c>
      <c r="BG145" s="31" t="str">
        <f t="shared" si="528"/>
        <v>ModelRpt_ALL,1,</v>
      </c>
      <c r="BH145" s="31" t="str">
        <f t="shared" si="529"/>
        <v>ExportHourlyResults_All,0,</v>
      </c>
      <c r="BI145" s="31" t="str">
        <f t="shared" si="530"/>
        <v>ComplianceReportPDF,0,</v>
      </c>
      <c r="BJ145" s="31" t="str">
        <f t="shared" si="531"/>
        <v>ComplianceReportXML,0,</v>
      </c>
      <c r="BK145" s="31" t="str">
        <f t="shared" si="532"/>
        <v>QuickAnalysis,0,</v>
      </c>
      <c r="BL145" s="31" t="str">
        <f t="shared" si="532"/>
        <v>PromptUserUMLHWarning,0,</v>
      </c>
      <c r="BM145" s="31" t="str">
        <f t="shared" si="533"/>
        <v>BypassOpenStudio_all,0,</v>
      </c>
      <c r="BN145" s="31" t="str">
        <f t="shared" si="534"/>
        <v>BypassOpenStudio_zp,0,</v>
      </c>
      <c r="BO145" s="31" t="str">
        <f t="shared" si="535"/>
        <v>BypassOpenStudio_zb,0,</v>
      </c>
      <c r="BP145" s="31" t="str">
        <f t="shared" si="536"/>
        <v>BypassOpenStudio_ap,0,</v>
      </c>
      <c r="BQ145" s="31" t="str">
        <f t="shared" si="537"/>
        <v>BypassOpenStudio_ab,0,</v>
      </c>
      <c r="BR145" s="31" t="str">
        <f t="shared" si="538"/>
        <v>BypassOpenStudio_zp,0,</v>
      </c>
      <c r="BS145" s="31" t="str">
        <f t="shared" si="539"/>
        <v>BypassOpenStudio_zb,0,</v>
      </c>
      <c r="BT145" s="31" t="str">
        <f t="shared" si="540"/>
        <v>BypassOpenStudio_ap,0,</v>
      </c>
      <c r="BU145" s="31" t="str">
        <f t="shared" si="541"/>
        <v>BypassOpenStudio_ab,0,</v>
      </c>
    </row>
    <row r="146" spans="1:73" hidden="1" outlineLevel="1" x14ac:dyDescent="0.25">
      <c r="A146" s="39">
        <f t="shared" si="542"/>
        <v>0</v>
      </c>
      <c r="B146" s="27" t="str">
        <f t="shared" si="543"/>
        <v>SoftwareSensitivity2016Tests\DetailedGeometry\x.cibd16</v>
      </c>
      <c r="C146" s="27" t="str">
        <f t="shared" si="544"/>
        <v>BatchOut_171026_r5178_FinalRel-v3-SSTSG_SSTDG\x.cibd16</v>
      </c>
      <c r="D146" s="27" t="str">
        <f t="shared" si="545"/>
        <v>BatchOut_171026_r5178_FinalRel-v3-SSTSG_SSTDG\XML\</v>
      </c>
      <c r="E146" s="9" t="str">
        <f t="shared" si="546"/>
        <v>x</v>
      </c>
      <c r="F146" s="22"/>
      <c r="G146" s="29"/>
      <c r="H146" s="23" t="str">
        <f t="shared" si="547"/>
        <v/>
      </c>
      <c r="I146" s="9" t="s">
        <v>11</v>
      </c>
      <c r="J14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6" s="15" t="s">
        <v>1</v>
      </c>
      <c r="L146" s="36">
        <f t="shared" si="573"/>
        <v>0</v>
      </c>
      <c r="M146" s="91" t="str">
        <f t="shared" si="548"/>
        <v>x</v>
      </c>
      <c r="N146" s="90" t="s">
        <v>149</v>
      </c>
      <c r="O146" s="28" t="str">
        <f t="shared" si="574"/>
        <v>x</v>
      </c>
      <c r="P146" s="36">
        <f t="shared" si="575"/>
        <v>1</v>
      </c>
      <c r="Q146" s="36">
        <f t="shared" si="575"/>
        <v>1</v>
      </c>
      <c r="R146" s="36">
        <f t="shared" si="575"/>
        <v>0</v>
      </c>
      <c r="S146" s="36">
        <f t="shared" si="575"/>
        <v>1</v>
      </c>
      <c r="T146" s="36">
        <f t="shared" si="575"/>
        <v>0</v>
      </c>
      <c r="U146" s="36">
        <f t="shared" si="575"/>
        <v>8</v>
      </c>
      <c r="V146" s="36">
        <f t="shared" si="575"/>
        <v>8</v>
      </c>
      <c r="W146" s="36">
        <f t="shared" si="575"/>
        <v>1</v>
      </c>
      <c r="X146" s="36">
        <f t="shared" si="575"/>
        <v>0</v>
      </c>
      <c r="Y146" s="36">
        <f t="shared" si="575"/>
        <v>0</v>
      </c>
      <c r="Z146" s="36">
        <f t="shared" si="575"/>
        <v>0</v>
      </c>
      <c r="AA146" s="36">
        <f t="shared" si="575"/>
        <v>0</v>
      </c>
      <c r="AB146" s="36">
        <f t="shared" si="575"/>
        <v>1</v>
      </c>
      <c r="AC146" s="36">
        <f t="shared" si="560"/>
        <v>0</v>
      </c>
      <c r="AD146" s="36">
        <f t="shared" si="561"/>
        <v>1</v>
      </c>
      <c r="AE146" s="36">
        <f t="shared" si="561"/>
        <v>0</v>
      </c>
      <c r="AF146" s="36">
        <f t="shared" ref="AF146:AG146" si="640">AF145</f>
        <v>0</v>
      </c>
      <c r="AG146" s="36">
        <f t="shared" si="640"/>
        <v>0</v>
      </c>
      <c r="AH146" s="36">
        <f t="shared" ref="AH146:AI146" si="641">AH145</f>
        <v>0</v>
      </c>
      <c r="AI146" s="36">
        <f t="shared" si="641"/>
        <v>0</v>
      </c>
      <c r="AJ146" s="36">
        <f t="shared" si="564"/>
        <v>0</v>
      </c>
      <c r="AK146" s="36">
        <f t="shared" si="565"/>
        <v>0</v>
      </c>
      <c r="AL146" s="36">
        <f t="shared" si="566"/>
        <v>0</v>
      </c>
      <c r="AM146" s="36">
        <f t="shared" si="567"/>
        <v>0</v>
      </c>
      <c r="AN146" s="36">
        <f t="shared" si="568"/>
        <v>0</v>
      </c>
      <c r="AO146" s="36">
        <f t="shared" si="569"/>
        <v>0</v>
      </c>
      <c r="AP146" s="36">
        <f t="shared" si="570"/>
        <v>0</v>
      </c>
      <c r="AQ146" s="36">
        <f t="shared" si="571"/>
        <v>0</v>
      </c>
      <c r="AR146" s="36">
        <f t="shared" si="572"/>
        <v>0</v>
      </c>
      <c r="AS146" s="31" t="str">
        <f t="shared" si="578"/>
        <v>SimulationStorage,1,</v>
      </c>
      <c r="AT146" s="31" t="str">
        <f t="shared" si="579"/>
        <v>AnalysisStorage,1,</v>
      </c>
      <c r="AU146" s="31" t="str">
        <f t="shared" si="580"/>
        <v>LogRuleEvaluation,0,</v>
      </c>
      <c r="AV146" s="31" t="str">
        <f t="shared" si="581"/>
        <v>ParallelSimulations,1,</v>
      </c>
      <c r="AW146" s="31" t="str">
        <f t="shared" si="582"/>
        <v>DurationStats,0,</v>
      </c>
      <c r="AX146" s="31" t="str">
        <f t="shared" si="583"/>
        <v>AnalysisThruStep,8,</v>
      </c>
      <c r="AY146" s="31" t="str">
        <f t="shared" si="584"/>
        <v>DontAbortOnErrorsThruStep,8,</v>
      </c>
      <c r="AZ146" s="31" t="str">
        <f t="shared" si="585"/>
        <v>BypassValidFileChecks,1,</v>
      </c>
      <c r="BA146" s="31" t="str">
        <f t="shared" si="586"/>
        <v>BypassInputChecks,0,</v>
      </c>
      <c r="BB146" s="31" t="str">
        <f t="shared" si="587"/>
        <v>BypassUMLHChecks,0,</v>
      </c>
      <c r="BC146" s="31" t="str">
        <f t="shared" si="588"/>
        <v>BypassCheckSimRules,0,</v>
      </c>
      <c r="BD146" s="31" t="str">
        <f t="shared" si="589"/>
        <v>BypassCheckCodeRules,0,</v>
      </c>
      <c r="BE146" s="31" t="str">
        <f t="shared" si="526"/>
        <v>StoreResultsToModelInput,1,</v>
      </c>
      <c r="BF146" s="31" t="str">
        <f t="shared" si="527"/>
        <v>StoreBEMDetails,0,</v>
      </c>
      <c r="BG146" s="31" t="str">
        <f t="shared" si="528"/>
        <v>ModelRpt_ALL,1,</v>
      </c>
      <c r="BH146" s="31" t="str">
        <f t="shared" si="529"/>
        <v>ExportHourlyResults_All,0,</v>
      </c>
      <c r="BI146" s="31" t="str">
        <f t="shared" si="530"/>
        <v>ComplianceReportPDF,0,</v>
      </c>
      <c r="BJ146" s="31" t="str">
        <f t="shared" si="531"/>
        <v>ComplianceReportXML,0,</v>
      </c>
      <c r="BK146" s="31" t="str">
        <f t="shared" si="532"/>
        <v>QuickAnalysis,0,</v>
      </c>
      <c r="BL146" s="31" t="str">
        <f t="shared" si="532"/>
        <v>PromptUserUMLHWarning,0,</v>
      </c>
      <c r="BM146" s="31" t="str">
        <f t="shared" si="533"/>
        <v>BypassOpenStudio_all,0,</v>
      </c>
      <c r="BN146" s="31" t="str">
        <f t="shared" si="534"/>
        <v>BypassOpenStudio_zp,0,</v>
      </c>
      <c r="BO146" s="31" t="str">
        <f t="shared" si="535"/>
        <v>BypassOpenStudio_zb,0,</v>
      </c>
      <c r="BP146" s="31" t="str">
        <f t="shared" si="536"/>
        <v>BypassOpenStudio_ap,0,</v>
      </c>
      <c r="BQ146" s="31" t="str">
        <f t="shared" si="537"/>
        <v>BypassOpenStudio_ab,0,</v>
      </c>
      <c r="BR146" s="31" t="str">
        <f t="shared" si="538"/>
        <v>BypassOpenStudio_zp,0,</v>
      </c>
      <c r="BS146" s="31" t="str">
        <f t="shared" si="539"/>
        <v>BypassOpenStudio_zb,0,</v>
      </c>
      <c r="BT146" s="31" t="str">
        <f t="shared" si="540"/>
        <v>BypassOpenStudio_ap,0,</v>
      </c>
      <c r="BU146" s="31" t="str">
        <f t="shared" si="541"/>
        <v>BypassOpenStudio_ab,0,</v>
      </c>
    </row>
    <row r="147" spans="1:73" hidden="1" outlineLevel="1" x14ac:dyDescent="0.25">
      <c r="A147" s="39">
        <f t="shared" si="542"/>
        <v>0</v>
      </c>
      <c r="B147" s="27" t="str">
        <f t="shared" si="543"/>
        <v>SoftwareSensitivity2016Tests\DetailedGeometry\x.cibd16</v>
      </c>
      <c r="C147" s="27" t="str">
        <f t="shared" si="544"/>
        <v>BatchOut_171026_r5178_FinalRel-v3-SSTSG_SSTDG\x.cibd16</v>
      </c>
      <c r="D147" s="27" t="str">
        <f t="shared" si="545"/>
        <v>BatchOut_171026_r5178_FinalRel-v3-SSTSG_SSTDG\XML\</v>
      </c>
      <c r="E147" s="9" t="str">
        <f t="shared" si="546"/>
        <v>x</v>
      </c>
      <c r="F147" s="22"/>
      <c r="G147" s="29"/>
      <c r="H147" s="23" t="str">
        <f t="shared" si="547"/>
        <v/>
      </c>
      <c r="I147" s="9" t="s">
        <v>11</v>
      </c>
      <c r="J14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7" s="15" t="s">
        <v>1</v>
      </c>
      <c r="L147" s="36">
        <f t="shared" si="573"/>
        <v>0</v>
      </c>
      <c r="M147" s="91" t="str">
        <f t="shared" si="548"/>
        <v>x</v>
      </c>
      <c r="N147" s="90" t="s">
        <v>149</v>
      </c>
      <c r="O147" s="28" t="str">
        <f t="shared" si="574"/>
        <v>x</v>
      </c>
      <c r="P147" s="36">
        <f t="shared" si="575"/>
        <v>1</v>
      </c>
      <c r="Q147" s="36">
        <f t="shared" si="575"/>
        <v>1</v>
      </c>
      <c r="R147" s="36">
        <f t="shared" si="575"/>
        <v>0</v>
      </c>
      <c r="S147" s="36">
        <f t="shared" si="575"/>
        <v>1</v>
      </c>
      <c r="T147" s="36">
        <f t="shared" si="575"/>
        <v>0</v>
      </c>
      <c r="U147" s="36">
        <f t="shared" si="575"/>
        <v>8</v>
      </c>
      <c r="V147" s="36">
        <f t="shared" si="575"/>
        <v>8</v>
      </c>
      <c r="W147" s="36">
        <f t="shared" si="575"/>
        <v>1</v>
      </c>
      <c r="X147" s="36">
        <f t="shared" si="575"/>
        <v>0</v>
      </c>
      <c r="Y147" s="36">
        <f t="shared" si="575"/>
        <v>0</v>
      </c>
      <c r="Z147" s="36">
        <f t="shared" si="575"/>
        <v>0</v>
      </c>
      <c r="AA147" s="36">
        <f t="shared" si="575"/>
        <v>0</v>
      </c>
      <c r="AB147" s="36">
        <f t="shared" si="575"/>
        <v>1</v>
      </c>
      <c r="AC147" s="36">
        <f t="shared" si="560"/>
        <v>0</v>
      </c>
      <c r="AD147" s="36">
        <f t="shared" si="561"/>
        <v>1</v>
      </c>
      <c r="AE147" s="36">
        <f t="shared" si="561"/>
        <v>0</v>
      </c>
      <c r="AF147" s="36">
        <f t="shared" ref="AF147:AG147" si="642">AF146</f>
        <v>0</v>
      </c>
      <c r="AG147" s="36">
        <f t="shared" si="642"/>
        <v>0</v>
      </c>
      <c r="AH147" s="36">
        <f t="shared" ref="AH147:AI147" si="643">AH146</f>
        <v>0</v>
      </c>
      <c r="AI147" s="36">
        <f t="shared" si="643"/>
        <v>0</v>
      </c>
      <c r="AJ147" s="36">
        <f t="shared" si="564"/>
        <v>0</v>
      </c>
      <c r="AK147" s="36">
        <f t="shared" si="565"/>
        <v>0</v>
      </c>
      <c r="AL147" s="36">
        <f t="shared" si="566"/>
        <v>0</v>
      </c>
      <c r="AM147" s="36">
        <f t="shared" si="567"/>
        <v>0</v>
      </c>
      <c r="AN147" s="36">
        <f t="shared" si="568"/>
        <v>0</v>
      </c>
      <c r="AO147" s="36">
        <f t="shared" si="569"/>
        <v>0</v>
      </c>
      <c r="AP147" s="36">
        <f t="shared" si="570"/>
        <v>0</v>
      </c>
      <c r="AQ147" s="36">
        <f t="shared" si="571"/>
        <v>0</v>
      </c>
      <c r="AR147" s="36">
        <f t="shared" si="572"/>
        <v>0</v>
      </c>
      <c r="AS147" s="31" t="str">
        <f t="shared" si="578"/>
        <v>SimulationStorage,1,</v>
      </c>
      <c r="AT147" s="31" t="str">
        <f t="shared" si="579"/>
        <v>AnalysisStorage,1,</v>
      </c>
      <c r="AU147" s="31" t="str">
        <f t="shared" si="580"/>
        <v>LogRuleEvaluation,0,</v>
      </c>
      <c r="AV147" s="31" t="str">
        <f t="shared" si="581"/>
        <v>ParallelSimulations,1,</v>
      </c>
      <c r="AW147" s="31" t="str">
        <f t="shared" si="582"/>
        <v>DurationStats,0,</v>
      </c>
      <c r="AX147" s="31" t="str">
        <f t="shared" si="583"/>
        <v>AnalysisThruStep,8,</v>
      </c>
      <c r="AY147" s="31" t="str">
        <f t="shared" si="584"/>
        <v>DontAbortOnErrorsThruStep,8,</v>
      </c>
      <c r="AZ147" s="31" t="str">
        <f t="shared" si="585"/>
        <v>BypassValidFileChecks,1,</v>
      </c>
      <c r="BA147" s="31" t="str">
        <f t="shared" si="586"/>
        <v>BypassInputChecks,0,</v>
      </c>
      <c r="BB147" s="31" t="str">
        <f t="shared" si="587"/>
        <v>BypassUMLHChecks,0,</v>
      </c>
      <c r="BC147" s="31" t="str">
        <f t="shared" si="588"/>
        <v>BypassCheckSimRules,0,</v>
      </c>
      <c r="BD147" s="31" t="str">
        <f t="shared" si="589"/>
        <v>BypassCheckCodeRules,0,</v>
      </c>
      <c r="BE147" s="31" t="str">
        <f t="shared" si="526"/>
        <v>StoreResultsToModelInput,1,</v>
      </c>
      <c r="BF147" s="31" t="str">
        <f t="shared" si="527"/>
        <v>StoreBEMDetails,0,</v>
      </c>
      <c r="BG147" s="31" t="str">
        <f t="shared" si="528"/>
        <v>ModelRpt_ALL,1,</v>
      </c>
      <c r="BH147" s="31" t="str">
        <f t="shared" si="529"/>
        <v>ExportHourlyResults_All,0,</v>
      </c>
      <c r="BI147" s="31" t="str">
        <f t="shared" si="530"/>
        <v>ComplianceReportPDF,0,</v>
      </c>
      <c r="BJ147" s="31" t="str">
        <f t="shared" si="531"/>
        <v>ComplianceReportXML,0,</v>
      </c>
      <c r="BK147" s="31" t="str">
        <f t="shared" si="532"/>
        <v>QuickAnalysis,0,</v>
      </c>
      <c r="BL147" s="31" t="str">
        <f t="shared" si="532"/>
        <v>PromptUserUMLHWarning,0,</v>
      </c>
      <c r="BM147" s="31" t="str">
        <f t="shared" si="533"/>
        <v>BypassOpenStudio_all,0,</v>
      </c>
      <c r="BN147" s="31" t="str">
        <f t="shared" si="534"/>
        <v>BypassOpenStudio_zp,0,</v>
      </c>
      <c r="BO147" s="31" t="str">
        <f t="shared" si="535"/>
        <v>BypassOpenStudio_zb,0,</v>
      </c>
      <c r="BP147" s="31" t="str">
        <f t="shared" si="536"/>
        <v>BypassOpenStudio_ap,0,</v>
      </c>
      <c r="BQ147" s="31" t="str">
        <f t="shared" si="537"/>
        <v>BypassOpenStudio_ab,0,</v>
      </c>
      <c r="BR147" s="31" t="str">
        <f t="shared" si="538"/>
        <v>BypassOpenStudio_zp,0,</v>
      </c>
      <c r="BS147" s="31" t="str">
        <f t="shared" si="539"/>
        <v>BypassOpenStudio_zb,0,</v>
      </c>
      <c r="BT147" s="31" t="str">
        <f t="shared" si="540"/>
        <v>BypassOpenStudio_ap,0,</v>
      </c>
      <c r="BU147" s="31" t="str">
        <f t="shared" si="541"/>
        <v>BypassOpenStudio_ab,0,</v>
      </c>
    </row>
    <row r="148" spans="1:73" hidden="1" outlineLevel="1" x14ac:dyDescent="0.25">
      <c r="A148" s="39">
        <f t="shared" si="542"/>
        <v>0</v>
      </c>
      <c r="B148" s="27" t="str">
        <f t="shared" si="543"/>
        <v>SoftwareSensitivity2016Tests\DetailedGeometry\x.cibd16</v>
      </c>
      <c r="C148" s="27" t="str">
        <f t="shared" si="544"/>
        <v>BatchOut_171026_r5178_FinalRel-v3-SSTSG_SSTDG\x.cibd16</v>
      </c>
      <c r="D148" s="27" t="str">
        <f t="shared" si="545"/>
        <v>BatchOut_171026_r5178_FinalRel-v3-SSTSG_SSTDG\XML\</v>
      </c>
      <c r="E148" s="9" t="str">
        <f t="shared" si="546"/>
        <v>x</v>
      </c>
      <c r="F148" s="22"/>
      <c r="G148" s="29"/>
      <c r="H148" s="23" t="str">
        <f t="shared" si="547"/>
        <v/>
      </c>
      <c r="I148" s="9" t="s">
        <v>11</v>
      </c>
      <c r="J14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8" s="15" t="s">
        <v>1</v>
      </c>
      <c r="L148" s="36">
        <f t="shared" si="573"/>
        <v>0</v>
      </c>
      <c r="M148" s="91" t="str">
        <f t="shared" si="548"/>
        <v>x</v>
      </c>
      <c r="N148" s="90" t="s">
        <v>149</v>
      </c>
      <c r="O148" s="28" t="str">
        <f t="shared" si="574"/>
        <v>x</v>
      </c>
      <c r="P148" s="36">
        <f t="shared" si="575"/>
        <v>1</v>
      </c>
      <c r="Q148" s="36">
        <f t="shared" si="575"/>
        <v>1</v>
      </c>
      <c r="R148" s="36">
        <f t="shared" si="575"/>
        <v>0</v>
      </c>
      <c r="S148" s="36">
        <f t="shared" si="575"/>
        <v>1</v>
      </c>
      <c r="T148" s="36">
        <f t="shared" si="575"/>
        <v>0</v>
      </c>
      <c r="U148" s="36">
        <f t="shared" si="575"/>
        <v>8</v>
      </c>
      <c r="V148" s="36">
        <f t="shared" si="575"/>
        <v>8</v>
      </c>
      <c r="W148" s="36">
        <f t="shared" si="575"/>
        <v>1</v>
      </c>
      <c r="X148" s="36">
        <f t="shared" si="575"/>
        <v>0</v>
      </c>
      <c r="Y148" s="36">
        <f t="shared" si="575"/>
        <v>0</v>
      </c>
      <c r="Z148" s="36">
        <f t="shared" si="575"/>
        <v>0</v>
      </c>
      <c r="AA148" s="36">
        <f t="shared" si="575"/>
        <v>0</v>
      </c>
      <c r="AB148" s="36">
        <f t="shared" si="575"/>
        <v>1</v>
      </c>
      <c r="AC148" s="36">
        <f t="shared" si="560"/>
        <v>0</v>
      </c>
      <c r="AD148" s="36">
        <f t="shared" si="561"/>
        <v>1</v>
      </c>
      <c r="AE148" s="36">
        <f t="shared" si="561"/>
        <v>0</v>
      </c>
      <c r="AF148" s="36">
        <f t="shared" ref="AF148:AG148" si="644">AF147</f>
        <v>0</v>
      </c>
      <c r="AG148" s="36">
        <f t="shared" si="644"/>
        <v>0</v>
      </c>
      <c r="AH148" s="36">
        <f t="shared" ref="AH148:AI148" si="645">AH147</f>
        <v>0</v>
      </c>
      <c r="AI148" s="36">
        <f t="shared" si="645"/>
        <v>0</v>
      </c>
      <c r="AJ148" s="36">
        <f t="shared" si="564"/>
        <v>0</v>
      </c>
      <c r="AK148" s="36">
        <f t="shared" si="565"/>
        <v>0</v>
      </c>
      <c r="AL148" s="36">
        <f t="shared" si="566"/>
        <v>0</v>
      </c>
      <c r="AM148" s="36">
        <f t="shared" si="567"/>
        <v>0</v>
      </c>
      <c r="AN148" s="36">
        <f t="shared" si="568"/>
        <v>0</v>
      </c>
      <c r="AO148" s="36">
        <f t="shared" si="569"/>
        <v>0</v>
      </c>
      <c r="AP148" s="36">
        <f t="shared" si="570"/>
        <v>0</v>
      </c>
      <c r="AQ148" s="36">
        <f t="shared" si="571"/>
        <v>0</v>
      </c>
      <c r="AR148" s="36">
        <f t="shared" si="572"/>
        <v>0</v>
      </c>
      <c r="AS148" s="31" t="str">
        <f t="shared" si="578"/>
        <v>SimulationStorage,1,</v>
      </c>
      <c r="AT148" s="31" t="str">
        <f t="shared" si="579"/>
        <v>AnalysisStorage,1,</v>
      </c>
      <c r="AU148" s="31" t="str">
        <f t="shared" si="580"/>
        <v>LogRuleEvaluation,0,</v>
      </c>
      <c r="AV148" s="31" t="str">
        <f t="shared" si="581"/>
        <v>ParallelSimulations,1,</v>
      </c>
      <c r="AW148" s="31" t="str">
        <f t="shared" si="582"/>
        <v>DurationStats,0,</v>
      </c>
      <c r="AX148" s="31" t="str">
        <f t="shared" si="583"/>
        <v>AnalysisThruStep,8,</v>
      </c>
      <c r="AY148" s="31" t="str">
        <f t="shared" si="584"/>
        <v>DontAbortOnErrorsThruStep,8,</v>
      </c>
      <c r="AZ148" s="31" t="str">
        <f t="shared" si="585"/>
        <v>BypassValidFileChecks,1,</v>
      </c>
      <c r="BA148" s="31" t="str">
        <f t="shared" si="586"/>
        <v>BypassInputChecks,0,</v>
      </c>
      <c r="BB148" s="31" t="str">
        <f t="shared" si="587"/>
        <v>BypassUMLHChecks,0,</v>
      </c>
      <c r="BC148" s="31" t="str">
        <f t="shared" si="588"/>
        <v>BypassCheckSimRules,0,</v>
      </c>
      <c r="BD148" s="31" t="str">
        <f t="shared" si="589"/>
        <v>BypassCheckCodeRules,0,</v>
      </c>
      <c r="BE148" s="31" t="str">
        <f t="shared" si="526"/>
        <v>StoreResultsToModelInput,1,</v>
      </c>
      <c r="BF148" s="31" t="str">
        <f t="shared" si="527"/>
        <v>StoreBEMDetails,0,</v>
      </c>
      <c r="BG148" s="31" t="str">
        <f t="shared" si="528"/>
        <v>ModelRpt_ALL,1,</v>
      </c>
      <c r="BH148" s="31" t="str">
        <f t="shared" si="529"/>
        <v>ExportHourlyResults_All,0,</v>
      </c>
      <c r="BI148" s="31" t="str">
        <f t="shared" si="530"/>
        <v>ComplianceReportPDF,0,</v>
      </c>
      <c r="BJ148" s="31" t="str">
        <f t="shared" si="531"/>
        <v>ComplianceReportXML,0,</v>
      </c>
      <c r="BK148" s="31" t="str">
        <f t="shared" si="532"/>
        <v>QuickAnalysis,0,</v>
      </c>
      <c r="BL148" s="31" t="str">
        <f t="shared" si="532"/>
        <v>PromptUserUMLHWarning,0,</v>
      </c>
      <c r="BM148" s="31" t="str">
        <f t="shared" si="533"/>
        <v>BypassOpenStudio_all,0,</v>
      </c>
      <c r="BN148" s="31" t="str">
        <f t="shared" si="534"/>
        <v>BypassOpenStudio_zp,0,</v>
      </c>
      <c r="BO148" s="31" t="str">
        <f t="shared" si="535"/>
        <v>BypassOpenStudio_zb,0,</v>
      </c>
      <c r="BP148" s="31" t="str">
        <f t="shared" si="536"/>
        <v>BypassOpenStudio_ap,0,</v>
      </c>
      <c r="BQ148" s="31" t="str">
        <f t="shared" si="537"/>
        <v>BypassOpenStudio_ab,0,</v>
      </c>
      <c r="BR148" s="31" t="str">
        <f t="shared" si="538"/>
        <v>BypassOpenStudio_zp,0,</v>
      </c>
      <c r="BS148" s="31" t="str">
        <f t="shared" si="539"/>
        <v>BypassOpenStudio_zb,0,</v>
      </c>
      <c r="BT148" s="31" t="str">
        <f t="shared" si="540"/>
        <v>BypassOpenStudio_ap,0,</v>
      </c>
      <c r="BU148" s="31" t="str">
        <f t="shared" si="541"/>
        <v>BypassOpenStudio_ab,0,</v>
      </c>
    </row>
    <row r="149" spans="1:73" hidden="1" outlineLevel="1" x14ac:dyDescent="0.25">
      <c r="A149" s="39">
        <f t="shared" si="542"/>
        <v>0</v>
      </c>
      <c r="B149" s="27" t="str">
        <f t="shared" si="543"/>
        <v>SoftwareSensitivity2016Tests\DetailedGeometry\x.cibd16</v>
      </c>
      <c r="C149" s="27" t="str">
        <f t="shared" si="544"/>
        <v>BatchOut_171026_r5178_FinalRel-v3-SSTSG_SSTDG\x.cibd16</v>
      </c>
      <c r="D149" s="27" t="str">
        <f t="shared" si="545"/>
        <v>BatchOut_171026_r5178_FinalRel-v3-SSTSG_SSTDG\XML\</v>
      </c>
      <c r="E149" s="9" t="str">
        <f t="shared" si="546"/>
        <v>x</v>
      </c>
      <c r="F149" s="22"/>
      <c r="G149" s="29"/>
      <c r="H149" s="23" t="str">
        <f t="shared" si="547"/>
        <v/>
      </c>
      <c r="I149" s="9" t="s">
        <v>11</v>
      </c>
      <c r="J14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9" s="15" t="s">
        <v>1</v>
      </c>
      <c r="L149" s="36">
        <f t="shared" si="573"/>
        <v>0</v>
      </c>
      <c r="M149" s="91" t="str">
        <f t="shared" si="548"/>
        <v>x</v>
      </c>
      <c r="N149" s="90" t="s">
        <v>149</v>
      </c>
      <c r="O149" s="28" t="str">
        <f t="shared" si="574"/>
        <v>x</v>
      </c>
      <c r="P149" s="36">
        <f t="shared" si="575"/>
        <v>1</v>
      </c>
      <c r="Q149" s="36">
        <f t="shared" si="575"/>
        <v>1</v>
      </c>
      <c r="R149" s="36">
        <f t="shared" si="575"/>
        <v>0</v>
      </c>
      <c r="S149" s="36">
        <f t="shared" si="575"/>
        <v>1</v>
      </c>
      <c r="T149" s="36">
        <f t="shared" si="575"/>
        <v>0</v>
      </c>
      <c r="U149" s="36">
        <f t="shared" si="575"/>
        <v>8</v>
      </c>
      <c r="V149" s="36">
        <f t="shared" si="575"/>
        <v>8</v>
      </c>
      <c r="W149" s="36">
        <f t="shared" si="575"/>
        <v>1</v>
      </c>
      <c r="X149" s="36">
        <f t="shared" si="575"/>
        <v>0</v>
      </c>
      <c r="Y149" s="36">
        <f t="shared" si="575"/>
        <v>0</v>
      </c>
      <c r="Z149" s="36">
        <f t="shared" si="575"/>
        <v>0</v>
      </c>
      <c r="AA149" s="36">
        <f t="shared" si="575"/>
        <v>0</v>
      </c>
      <c r="AB149" s="36">
        <f t="shared" si="575"/>
        <v>1</v>
      </c>
      <c r="AC149" s="36">
        <f t="shared" si="560"/>
        <v>0</v>
      </c>
      <c r="AD149" s="36">
        <f t="shared" si="561"/>
        <v>1</v>
      </c>
      <c r="AE149" s="36">
        <f t="shared" si="561"/>
        <v>0</v>
      </c>
      <c r="AF149" s="36">
        <f t="shared" ref="AF149:AG149" si="646">AF148</f>
        <v>0</v>
      </c>
      <c r="AG149" s="36">
        <f t="shared" si="646"/>
        <v>0</v>
      </c>
      <c r="AH149" s="36">
        <f t="shared" ref="AH149:AI149" si="647">AH148</f>
        <v>0</v>
      </c>
      <c r="AI149" s="36">
        <f t="shared" si="647"/>
        <v>0</v>
      </c>
      <c r="AJ149" s="36">
        <f t="shared" si="564"/>
        <v>0</v>
      </c>
      <c r="AK149" s="36">
        <f t="shared" si="565"/>
        <v>0</v>
      </c>
      <c r="AL149" s="36">
        <f t="shared" si="566"/>
        <v>0</v>
      </c>
      <c r="AM149" s="36">
        <f t="shared" si="567"/>
        <v>0</v>
      </c>
      <c r="AN149" s="36">
        <f t="shared" si="568"/>
        <v>0</v>
      </c>
      <c r="AO149" s="36">
        <f t="shared" si="569"/>
        <v>0</v>
      </c>
      <c r="AP149" s="36">
        <f t="shared" si="570"/>
        <v>0</v>
      </c>
      <c r="AQ149" s="36">
        <f t="shared" si="571"/>
        <v>0</v>
      </c>
      <c r="AR149" s="36">
        <f t="shared" si="572"/>
        <v>0</v>
      </c>
      <c r="AS149" s="31" t="str">
        <f t="shared" si="578"/>
        <v>SimulationStorage,1,</v>
      </c>
      <c r="AT149" s="31" t="str">
        <f t="shared" si="579"/>
        <v>AnalysisStorage,1,</v>
      </c>
      <c r="AU149" s="31" t="str">
        <f t="shared" si="580"/>
        <v>LogRuleEvaluation,0,</v>
      </c>
      <c r="AV149" s="31" t="str">
        <f t="shared" si="581"/>
        <v>ParallelSimulations,1,</v>
      </c>
      <c r="AW149" s="31" t="str">
        <f t="shared" si="582"/>
        <v>DurationStats,0,</v>
      </c>
      <c r="AX149" s="31" t="str">
        <f t="shared" si="583"/>
        <v>AnalysisThruStep,8,</v>
      </c>
      <c r="AY149" s="31" t="str">
        <f t="shared" si="584"/>
        <v>DontAbortOnErrorsThruStep,8,</v>
      </c>
      <c r="AZ149" s="31" t="str">
        <f t="shared" si="585"/>
        <v>BypassValidFileChecks,1,</v>
      </c>
      <c r="BA149" s="31" t="str">
        <f t="shared" si="586"/>
        <v>BypassInputChecks,0,</v>
      </c>
      <c r="BB149" s="31" t="str">
        <f t="shared" si="587"/>
        <v>BypassUMLHChecks,0,</v>
      </c>
      <c r="BC149" s="31" t="str">
        <f t="shared" si="588"/>
        <v>BypassCheckSimRules,0,</v>
      </c>
      <c r="BD149" s="31" t="str">
        <f t="shared" si="589"/>
        <v>BypassCheckCodeRules,0,</v>
      </c>
      <c r="BE149" s="31" t="str">
        <f t="shared" si="526"/>
        <v>StoreResultsToModelInput,1,</v>
      </c>
      <c r="BF149" s="31" t="str">
        <f t="shared" si="527"/>
        <v>StoreBEMDetails,0,</v>
      </c>
      <c r="BG149" s="31" t="str">
        <f t="shared" si="528"/>
        <v>ModelRpt_ALL,1,</v>
      </c>
      <c r="BH149" s="31" t="str">
        <f t="shared" si="529"/>
        <v>ExportHourlyResults_All,0,</v>
      </c>
      <c r="BI149" s="31" t="str">
        <f t="shared" si="530"/>
        <v>ComplianceReportPDF,0,</v>
      </c>
      <c r="BJ149" s="31" t="str">
        <f t="shared" si="531"/>
        <v>ComplianceReportXML,0,</v>
      </c>
      <c r="BK149" s="31" t="str">
        <f t="shared" si="532"/>
        <v>QuickAnalysis,0,</v>
      </c>
      <c r="BL149" s="31" t="str">
        <f t="shared" si="532"/>
        <v>PromptUserUMLHWarning,0,</v>
      </c>
      <c r="BM149" s="31" t="str">
        <f t="shared" si="533"/>
        <v>BypassOpenStudio_all,0,</v>
      </c>
      <c r="BN149" s="31" t="str">
        <f t="shared" si="534"/>
        <v>BypassOpenStudio_zp,0,</v>
      </c>
      <c r="BO149" s="31" t="str">
        <f t="shared" si="535"/>
        <v>BypassOpenStudio_zb,0,</v>
      </c>
      <c r="BP149" s="31" t="str">
        <f t="shared" si="536"/>
        <v>BypassOpenStudio_ap,0,</v>
      </c>
      <c r="BQ149" s="31" t="str">
        <f t="shared" si="537"/>
        <v>BypassOpenStudio_ab,0,</v>
      </c>
      <c r="BR149" s="31" t="str">
        <f t="shared" si="538"/>
        <v>BypassOpenStudio_zp,0,</v>
      </c>
      <c r="BS149" s="31" t="str">
        <f t="shared" si="539"/>
        <v>BypassOpenStudio_zb,0,</v>
      </c>
      <c r="BT149" s="31" t="str">
        <f t="shared" si="540"/>
        <v>BypassOpenStudio_ap,0,</v>
      </c>
      <c r="BU149" s="31" t="str">
        <f t="shared" si="541"/>
        <v>BypassOpenStudio_ab,0,</v>
      </c>
    </row>
    <row r="150" spans="1:73" hidden="1" outlineLevel="1" x14ac:dyDescent="0.25">
      <c r="A150" s="39">
        <f t="shared" si="542"/>
        <v>0</v>
      </c>
      <c r="B150" s="27" t="str">
        <f t="shared" si="543"/>
        <v>SoftwareSensitivity2016Tests\DetailedGeometry\x.cibd16</v>
      </c>
      <c r="C150" s="27" t="str">
        <f t="shared" si="544"/>
        <v>BatchOut_171026_r5178_FinalRel-v3-SSTSG_SSTDG\x.cibd16</v>
      </c>
      <c r="D150" s="27" t="str">
        <f t="shared" si="545"/>
        <v>BatchOut_171026_r5178_FinalRel-v3-SSTSG_SSTDG\XML\</v>
      </c>
      <c r="E150" s="9" t="str">
        <f t="shared" si="546"/>
        <v>x</v>
      </c>
      <c r="F150" s="22"/>
      <c r="G150" s="29"/>
      <c r="H150" s="23" t="str">
        <f t="shared" si="547"/>
        <v/>
      </c>
      <c r="I150" s="9" t="s">
        <v>11</v>
      </c>
      <c r="J15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0" s="15" t="s">
        <v>1</v>
      </c>
      <c r="L150" s="36">
        <f t="shared" si="573"/>
        <v>0</v>
      </c>
      <c r="M150" s="91" t="str">
        <f t="shared" si="548"/>
        <v>x</v>
      </c>
      <c r="N150" s="90" t="s">
        <v>149</v>
      </c>
      <c r="O150" s="28" t="str">
        <f t="shared" si="574"/>
        <v>x</v>
      </c>
      <c r="P150" s="36">
        <f t="shared" si="575"/>
        <v>1</v>
      </c>
      <c r="Q150" s="36">
        <f t="shared" si="575"/>
        <v>1</v>
      </c>
      <c r="R150" s="36">
        <f t="shared" si="575"/>
        <v>0</v>
      </c>
      <c r="S150" s="36">
        <f t="shared" si="575"/>
        <v>1</v>
      </c>
      <c r="T150" s="36">
        <f t="shared" si="575"/>
        <v>0</v>
      </c>
      <c r="U150" s="36">
        <f t="shared" si="575"/>
        <v>8</v>
      </c>
      <c r="V150" s="36">
        <f t="shared" si="575"/>
        <v>8</v>
      </c>
      <c r="W150" s="36">
        <f t="shared" si="575"/>
        <v>1</v>
      </c>
      <c r="X150" s="36">
        <f t="shared" si="575"/>
        <v>0</v>
      </c>
      <c r="Y150" s="36">
        <f t="shared" si="575"/>
        <v>0</v>
      </c>
      <c r="Z150" s="36">
        <f t="shared" si="575"/>
        <v>0</v>
      </c>
      <c r="AA150" s="36">
        <f t="shared" si="575"/>
        <v>0</v>
      </c>
      <c r="AB150" s="36">
        <f t="shared" si="575"/>
        <v>1</v>
      </c>
      <c r="AC150" s="36">
        <f t="shared" si="560"/>
        <v>0</v>
      </c>
      <c r="AD150" s="36">
        <f t="shared" si="561"/>
        <v>1</v>
      </c>
      <c r="AE150" s="36">
        <f t="shared" si="561"/>
        <v>0</v>
      </c>
      <c r="AF150" s="36">
        <f t="shared" ref="AF150:AG150" si="648">AF149</f>
        <v>0</v>
      </c>
      <c r="AG150" s="36">
        <f t="shared" si="648"/>
        <v>0</v>
      </c>
      <c r="AH150" s="36">
        <f t="shared" ref="AH150:AI150" si="649">AH149</f>
        <v>0</v>
      </c>
      <c r="AI150" s="36">
        <f t="shared" si="649"/>
        <v>0</v>
      </c>
      <c r="AJ150" s="36">
        <f t="shared" si="564"/>
        <v>0</v>
      </c>
      <c r="AK150" s="36">
        <f t="shared" si="565"/>
        <v>0</v>
      </c>
      <c r="AL150" s="36">
        <f t="shared" si="566"/>
        <v>0</v>
      </c>
      <c r="AM150" s="36">
        <f t="shared" si="567"/>
        <v>0</v>
      </c>
      <c r="AN150" s="36">
        <f t="shared" si="568"/>
        <v>0</v>
      </c>
      <c r="AO150" s="36">
        <f t="shared" si="569"/>
        <v>0</v>
      </c>
      <c r="AP150" s="36">
        <f t="shared" si="570"/>
        <v>0</v>
      </c>
      <c r="AQ150" s="36">
        <f t="shared" si="571"/>
        <v>0</v>
      </c>
      <c r="AR150" s="36">
        <f t="shared" si="572"/>
        <v>0</v>
      </c>
      <c r="AS150" s="31" t="str">
        <f t="shared" si="578"/>
        <v>SimulationStorage,1,</v>
      </c>
      <c r="AT150" s="31" t="str">
        <f t="shared" si="579"/>
        <v>AnalysisStorage,1,</v>
      </c>
      <c r="AU150" s="31" t="str">
        <f t="shared" si="580"/>
        <v>LogRuleEvaluation,0,</v>
      </c>
      <c r="AV150" s="31" t="str">
        <f t="shared" si="581"/>
        <v>ParallelSimulations,1,</v>
      </c>
      <c r="AW150" s="31" t="str">
        <f t="shared" si="582"/>
        <v>DurationStats,0,</v>
      </c>
      <c r="AX150" s="31" t="str">
        <f t="shared" si="583"/>
        <v>AnalysisThruStep,8,</v>
      </c>
      <c r="AY150" s="31" t="str">
        <f t="shared" si="584"/>
        <v>DontAbortOnErrorsThruStep,8,</v>
      </c>
      <c r="AZ150" s="31" t="str">
        <f t="shared" si="585"/>
        <v>BypassValidFileChecks,1,</v>
      </c>
      <c r="BA150" s="31" t="str">
        <f t="shared" si="586"/>
        <v>BypassInputChecks,0,</v>
      </c>
      <c r="BB150" s="31" t="str">
        <f t="shared" si="587"/>
        <v>BypassUMLHChecks,0,</v>
      </c>
      <c r="BC150" s="31" t="str">
        <f t="shared" si="588"/>
        <v>BypassCheckSimRules,0,</v>
      </c>
      <c r="BD150" s="31" t="str">
        <f t="shared" si="589"/>
        <v>BypassCheckCodeRules,0,</v>
      </c>
      <c r="BE150" s="31" t="str">
        <f t="shared" si="526"/>
        <v>StoreResultsToModelInput,1,</v>
      </c>
      <c r="BF150" s="31" t="str">
        <f t="shared" si="527"/>
        <v>StoreBEMDetails,0,</v>
      </c>
      <c r="BG150" s="31" t="str">
        <f t="shared" si="528"/>
        <v>ModelRpt_ALL,1,</v>
      </c>
      <c r="BH150" s="31" t="str">
        <f t="shared" si="529"/>
        <v>ExportHourlyResults_All,0,</v>
      </c>
      <c r="BI150" s="31" t="str">
        <f t="shared" si="530"/>
        <v>ComplianceReportPDF,0,</v>
      </c>
      <c r="BJ150" s="31" t="str">
        <f t="shared" si="531"/>
        <v>ComplianceReportXML,0,</v>
      </c>
      <c r="BK150" s="31" t="str">
        <f t="shared" si="532"/>
        <v>QuickAnalysis,0,</v>
      </c>
      <c r="BL150" s="31" t="str">
        <f t="shared" si="532"/>
        <v>PromptUserUMLHWarning,0,</v>
      </c>
      <c r="BM150" s="31" t="str">
        <f t="shared" si="533"/>
        <v>BypassOpenStudio_all,0,</v>
      </c>
      <c r="BN150" s="31" t="str">
        <f t="shared" si="534"/>
        <v>BypassOpenStudio_zp,0,</v>
      </c>
      <c r="BO150" s="31" t="str">
        <f t="shared" si="535"/>
        <v>BypassOpenStudio_zb,0,</v>
      </c>
      <c r="BP150" s="31" t="str">
        <f t="shared" si="536"/>
        <v>BypassOpenStudio_ap,0,</v>
      </c>
      <c r="BQ150" s="31" t="str">
        <f t="shared" si="537"/>
        <v>BypassOpenStudio_ab,0,</v>
      </c>
      <c r="BR150" s="31" t="str">
        <f t="shared" si="538"/>
        <v>BypassOpenStudio_zp,0,</v>
      </c>
      <c r="BS150" s="31" t="str">
        <f t="shared" si="539"/>
        <v>BypassOpenStudio_zb,0,</v>
      </c>
      <c r="BT150" s="31" t="str">
        <f t="shared" si="540"/>
        <v>BypassOpenStudio_ap,0,</v>
      </c>
      <c r="BU150" s="31" t="str">
        <f t="shared" si="541"/>
        <v>BypassOpenStudio_ab,0,</v>
      </c>
    </row>
    <row r="151" spans="1:73" hidden="1" outlineLevel="1" x14ac:dyDescent="0.25">
      <c r="A151" s="39">
        <f t="shared" si="542"/>
        <v>0</v>
      </c>
      <c r="B151" s="27" t="str">
        <f t="shared" si="543"/>
        <v>SoftwareSensitivity2016Tests\DetailedGeometry\x.cibd16</v>
      </c>
      <c r="C151" s="27" t="str">
        <f t="shared" si="544"/>
        <v>BatchOut_171026_r5178_FinalRel-v3-SSTSG_SSTDG\x.cibd16</v>
      </c>
      <c r="D151" s="27" t="str">
        <f t="shared" si="545"/>
        <v>BatchOut_171026_r5178_FinalRel-v3-SSTSG_SSTDG\XML\</v>
      </c>
      <c r="E151" s="9" t="str">
        <f t="shared" si="546"/>
        <v>x</v>
      </c>
      <c r="F151" s="22"/>
      <c r="G151" s="29"/>
      <c r="H151" s="23" t="str">
        <f t="shared" si="547"/>
        <v/>
      </c>
      <c r="I151" s="9" t="s">
        <v>11</v>
      </c>
      <c r="J15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1" s="15" t="s">
        <v>1</v>
      </c>
      <c r="L151" s="36">
        <f t="shared" si="573"/>
        <v>0</v>
      </c>
      <c r="M151" s="91" t="str">
        <f t="shared" si="548"/>
        <v>x</v>
      </c>
      <c r="N151" s="90" t="s">
        <v>149</v>
      </c>
      <c r="O151" s="28" t="str">
        <f t="shared" si="574"/>
        <v>x</v>
      </c>
      <c r="P151" s="36">
        <f t="shared" si="575"/>
        <v>1</v>
      </c>
      <c r="Q151" s="36">
        <f t="shared" si="575"/>
        <v>1</v>
      </c>
      <c r="R151" s="36">
        <f t="shared" si="575"/>
        <v>0</v>
      </c>
      <c r="S151" s="36">
        <f t="shared" si="575"/>
        <v>1</v>
      </c>
      <c r="T151" s="36">
        <f t="shared" si="575"/>
        <v>0</v>
      </c>
      <c r="U151" s="36">
        <f t="shared" si="575"/>
        <v>8</v>
      </c>
      <c r="V151" s="36">
        <f t="shared" si="575"/>
        <v>8</v>
      </c>
      <c r="W151" s="36">
        <f t="shared" si="575"/>
        <v>1</v>
      </c>
      <c r="X151" s="36">
        <f t="shared" si="575"/>
        <v>0</v>
      </c>
      <c r="Y151" s="36">
        <f t="shared" si="575"/>
        <v>0</v>
      </c>
      <c r="Z151" s="36">
        <f t="shared" si="575"/>
        <v>0</v>
      </c>
      <c r="AA151" s="36">
        <f t="shared" si="575"/>
        <v>0</v>
      </c>
      <c r="AB151" s="36">
        <f t="shared" si="575"/>
        <v>1</v>
      </c>
      <c r="AC151" s="36">
        <f t="shared" si="560"/>
        <v>0</v>
      </c>
      <c r="AD151" s="36">
        <f t="shared" si="561"/>
        <v>1</v>
      </c>
      <c r="AE151" s="36">
        <f t="shared" si="561"/>
        <v>0</v>
      </c>
      <c r="AF151" s="36">
        <f t="shared" ref="AF151:AG151" si="650">AF150</f>
        <v>0</v>
      </c>
      <c r="AG151" s="36">
        <f t="shared" si="650"/>
        <v>0</v>
      </c>
      <c r="AH151" s="36">
        <f t="shared" ref="AH151:AI151" si="651">AH150</f>
        <v>0</v>
      </c>
      <c r="AI151" s="36">
        <f t="shared" si="651"/>
        <v>0</v>
      </c>
      <c r="AJ151" s="36">
        <f t="shared" si="564"/>
        <v>0</v>
      </c>
      <c r="AK151" s="36">
        <f t="shared" si="565"/>
        <v>0</v>
      </c>
      <c r="AL151" s="36">
        <f t="shared" si="566"/>
        <v>0</v>
      </c>
      <c r="AM151" s="36">
        <f t="shared" si="567"/>
        <v>0</v>
      </c>
      <c r="AN151" s="36">
        <f t="shared" si="568"/>
        <v>0</v>
      </c>
      <c r="AO151" s="36">
        <f t="shared" si="569"/>
        <v>0</v>
      </c>
      <c r="AP151" s="36">
        <f t="shared" si="570"/>
        <v>0</v>
      </c>
      <c r="AQ151" s="36">
        <f t="shared" si="571"/>
        <v>0</v>
      </c>
      <c r="AR151" s="36">
        <f t="shared" si="572"/>
        <v>0</v>
      </c>
      <c r="AS151" s="31" t="str">
        <f t="shared" si="578"/>
        <v>SimulationStorage,1,</v>
      </c>
      <c r="AT151" s="31" t="str">
        <f t="shared" si="579"/>
        <v>AnalysisStorage,1,</v>
      </c>
      <c r="AU151" s="31" t="str">
        <f t="shared" si="580"/>
        <v>LogRuleEvaluation,0,</v>
      </c>
      <c r="AV151" s="31" t="str">
        <f t="shared" si="581"/>
        <v>ParallelSimulations,1,</v>
      </c>
      <c r="AW151" s="31" t="str">
        <f t="shared" si="582"/>
        <v>DurationStats,0,</v>
      </c>
      <c r="AX151" s="31" t="str">
        <f t="shared" si="583"/>
        <v>AnalysisThruStep,8,</v>
      </c>
      <c r="AY151" s="31" t="str">
        <f t="shared" si="584"/>
        <v>DontAbortOnErrorsThruStep,8,</v>
      </c>
      <c r="AZ151" s="31" t="str">
        <f t="shared" si="585"/>
        <v>BypassValidFileChecks,1,</v>
      </c>
      <c r="BA151" s="31" t="str">
        <f t="shared" si="586"/>
        <v>BypassInputChecks,0,</v>
      </c>
      <c r="BB151" s="31" t="str">
        <f t="shared" si="587"/>
        <v>BypassUMLHChecks,0,</v>
      </c>
      <c r="BC151" s="31" t="str">
        <f t="shared" si="588"/>
        <v>BypassCheckSimRules,0,</v>
      </c>
      <c r="BD151" s="31" t="str">
        <f t="shared" si="589"/>
        <v>BypassCheckCodeRules,0,</v>
      </c>
      <c r="BE151" s="31" t="str">
        <f t="shared" si="526"/>
        <v>StoreResultsToModelInput,1,</v>
      </c>
      <c r="BF151" s="31" t="str">
        <f t="shared" si="527"/>
        <v>StoreBEMDetails,0,</v>
      </c>
      <c r="BG151" s="31" t="str">
        <f t="shared" si="528"/>
        <v>ModelRpt_ALL,1,</v>
      </c>
      <c r="BH151" s="31" t="str">
        <f t="shared" si="529"/>
        <v>ExportHourlyResults_All,0,</v>
      </c>
      <c r="BI151" s="31" t="str">
        <f t="shared" si="530"/>
        <v>ComplianceReportPDF,0,</v>
      </c>
      <c r="BJ151" s="31" t="str">
        <f t="shared" si="531"/>
        <v>ComplianceReportXML,0,</v>
      </c>
      <c r="BK151" s="31" t="str">
        <f t="shared" si="532"/>
        <v>QuickAnalysis,0,</v>
      </c>
      <c r="BL151" s="31" t="str">
        <f t="shared" si="532"/>
        <v>PromptUserUMLHWarning,0,</v>
      </c>
      <c r="BM151" s="31" t="str">
        <f t="shared" si="533"/>
        <v>BypassOpenStudio_all,0,</v>
      </c>
      <c r="BN151" s="31" t="str">
        <f t="shared" si="534"/>
        <v>BypassOpenStudio_zp,0,</v>
      </c>
      <c r="BO151" s="31" t="str">
        <f t="shared" si="535"/>
        <v>BypassOpenStudio_zb,0,</v>
      </c>
      <c r="BP151" s="31" t="str">
        <f t="shared" si="536"/>
        <v>BypassOpenStudio_ap,0,</v>
      </c>
      <c r="BQ151" s="31" t="str">
        <f t="shared" si="537"/>
        <v>BypassOpenStudio_ab,0,</v>
      </c>
      <c r="BR151" s="31" t="str">
        <f t="shared" si="538"/>
        <v>BypassOpenStudio_zp,0,</v>
      </c>
      <c r="BS151" s="31" t="str">
        <f t="shared" si="539"/>
        <v>BypassOpenStudio_zb,0,</v>
      </c>
      <c r="BT151" s="31" t="str">
        <f t="shared" si="540"/>
        <v>BypassOpenStudio_ap,0,</v>
      </c>
      <c r="BU151" s="31" t="str">
        <f t="shared" si="541"/>
        <v>BypassOpenStudio_ab,0,</v>
      </c>
    </row>
    <row r="152" spans="1:73" hidden="1" outlineLevel="1" x14ac:dyDescent="0.25">
      <c r="A152" s="39">
        <f t="shared" si="542"/>
        <v>0</v>
      </c>
      <c r="B152" s="27" t="str">
        <f t="shared" si="543"/>
        <v>SoftwareSensitivity2016Tests\DetailedGeometry\x.cibd16</v>
      </c>
      <c r="C152" s="27" t="str">
        <f t="shared" si="544"/>
        <v>BatchOut_171026_r5178_FinalRel-v3-SSTSG_SSTDG\x.cibd16</v>
      </c>
      <c r="D152" s="27" t="str">
        <f t="shared" si="545"/>
        <v>BatchOut_171026_r5178_FinalRel-v3-SSTSG_SSTDG\XML\</v>
      </c>
      <c r="E152" s="9" t="str">
        <f t="shared" si="546"/>
        <v>x</v>
      </c>
      <c r="F152" s="22"/>
      <c r="G152" s="29"/>
      <c r="H152" s="23" t="str">
        <f t="shared" si="547"/>
        <v/>
      </c>
      <c r="I152" s="9" t="s">
        <v>11</v>
      </c>
      <c r="J15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2" s="15" t="s">
        <v>1</v>
      </c>
      <c r="L152" s="36">
        <f t="shared" si="573"/>
        <v>0</v>
      </c>
      <c r="M152" s="91" t="str">
        <f t="shared" si="548"/>
        <v>x</v>
      </c>
      <c r="N152" s="90" t="s">
        <v>149</v>
      </c>
      <c r="O152" s="28" t="str">
        <f t="shared" si="574"/>
        <v>x</v>
      </c>
      <c r="P152" s="36">
        <f t="shared" ref="P152:AB171" si="652">P151</f>
        <v>1</v>
      </c>
      <c r="Q152" s="36">
        <f t="shared" si="652"/>
        <v>1</v>
      </c>
      <c r="R152" s="36">
        <f t="shared" si="652"/>
        <v>0</v>
      </c>
      <c r="S152" s="36">
        <f t="shared" si="652"/>
        <v>1</v>
      </c>
      <c r="T152" s="36">
        <f t="shared" si="652"/>
        <v>0</v>
      </c>
      <c r="U152" s="36">
        <f t="shared" si="652"/>
        <v>8</v>
      </c>
      <c r="V152" s="36">
        <f t="shared" si="652"/>
        <v>8</v>
      </c>
      <c r="W152" s="36">
        <f t="shared" si="652"/>
        <v>1</v>
      </c>
      <c r="X152" s="36">
        <f t="shared" si="652"/>
        <v>0</v>
      </c>
      <c r="Y152" s="36">
        <f t="shared" si="652"/>
        <v>0</v>
      </c>
      <c r="Z152" s="36">
        <f t="shared" si="652"/>
        <v>0</v>
      </c>
      <c r="AA152" s="36">
        <f t="shared" si="652"/>
        <v>0</v>
      </c>
      <c r="AB152" s="36">
        <f t="shared" si="652"/>
        <v>1</v>
      </c>
      <c r="AC152" s="36">
        <f t="shared" si="560"/>
        <v>0</v>
      </c>
      <c r="AD152" s="36">
        <f t="shared" si="561"/>
        <v>1</v>
      </c>
      <c r="AE152" s="36">
        <f t="shared" si="561"/>
        <v>0</v>
      </c>
      <c r="AF152" s="36">
        <f t="shared" ref="AF152:AG152" si="653">AF151</f>
        <v>0</v>
      </c>
      <c r="AG152" s="36">
        <f t="shared" si="653"/>
        <v>0</v>
      </c>
      <c r="AH152" s="36">
        <f t="shared" ref="AH152:AI152" si="654">AH151</f>
        <v>0</v>
      </c>
      <c r="AI152" s="36">
        <f t="shared" si="654"/>
        <v>0</v>
      </c>
      <c r="AJ152" s="36">
        <f t="shared" si="564"/>
        <v>0</v>
      </c>
      <c r="AK152" s="36">
        <f t="shared" si="565"/>
        <v>0</v>
      </c>
      <c r="AL152" s="36">
        <f t="shared" si="566"/>
        <v>0</v>
      </c>
      <c r="AM152" s="36">
        <f t="shared" si="567"/>
        <v>0</v>
      </c>
      <c r="AN152" s="36">
        <f t="shared" si="568"/>
        <v>0</v>
      </c>
      <c r="AO152" s="36">
        <f t="shared" si="569"/>
        <v>0</v>
      </c>
      <c r="AP152" s="36">
        <f t="shared" si="570"/>
        <v>0</v>
      </c>
      <c r="AQ152" s="36">
        <f t="shared" si="571"/>
        <v>0</v>
      </c>
      <c r="AR152" s="36">
        <f t="shared" si="572"/>
        <v>0</v>
      </c>
      <c r="AS152" s="31" t="str">
        <f t="shared" si="578"/>
        <v>SimulationStorage,1,</v>
      </c>
      <c r="AT152" s="31" t="str">
        <f t="shared" si="579"/>
        <v>AnalysisStorage,1,</v>
      </c>
      <c r="AU152" s="31" t="str">
        <f t="shared" si="580"/>
        <v>LogRuleEvaluation,0,</v>
      </c>
      <c r="AV152" s="31" t="str">
        <f t="shared" si="581"/>
        <v>ParallelSimulations,1,</v>
      </c>
      <c r="AW152" s="31" t="str">
        <f t="shared" si="582"/>
        <v>DurationStats,0,</v>
      </c>
      <c r="AX152" s="31" t="str">
        <f t="shared" si="583"/>
        <v>AnalysisThruStep,8,</v>
      </c>
      <c r="AY152" s="31" t="str">
        <f t="shared" si="584"/>
        <v>DontAbortOnErrorsThruStep,8,</v>
      </c>
      <c r="AZ152" s="31" t="str">
        <f t="shared" si="585"/>
        <v>BypassValidFileChecks,1,</v>
      </c>
      <c r="BA152" s="31" t="str">
        <f t="shared" si="586"/>
        <v>BypassInputChecks,0,</v>
      </c>
      <c r="BB152" s="31" t="str">
        <f t="shared" si="587"/>
        <v>BypassUMLHChecks,0,</v>
      </c>
      <c r="BC152" s="31" t="str">
        <f t="shared" si="588"/>
        <v>BypassCheckSimRules,0,</v>
      </c>
      <c r="BD152" s="31" t="str">
        <f t="shared" si="589"/>
        <v>BypassCheckCodeRules,0,</v>
      </c>
      <c r="BE152" s="31" t="str">
        <f t="shared" si="526"/>
        <v>StoreResultsToModelInput,1,</v>
      </c>
      <c r="BF152" s="31" t="str">
        <f t="shared" si="527"/>
        <v>StoreBEMDetails,0,</v>
      </c>
      <c r="BG152" s="31" t="str">
        <f t="shared" si="528"/>
        <v>ModelRpt_ALL,1,</v>
      </c>
      <c r="BH152" s="31" t="str">
        <f t="shared" si="529"/>
        <v>ExportHourlyResults_All,0,</v>
      </c>
      <c r="BI152" s="31" t="str">
        <f t="shared" si="530"/>
        <v>ComplianceReportPDF,0,</v>
      </c>
      <c r="BJ152" s="31" t="str">
        <f t="shared" si="531"/>
        <v>ComplianceReportXML,0,</v>
      </c>
      <c r="BK152" s="31" t="str">
        <f t="shared" si="532"/>
        <v>QuickAnalysis,0,</v>
      </c>
      <c r="BL152" s="31" t="str">
        <f t="shared" si="532"/>
        <v>PromptUserUMLHWarning,0,</v>
      </c>
      <c r="BM152" s="31" t="str">
        <f t="shared" si="533"/>
        <v>BypassOpenStudio_all,0,</v>
      </c>
      <c r="BN152" s="31" t="str">
        <f t="shared" si="534"/>
        <v>BypassOpenStudio_zp,0,</v>
      </c>
      <c r="BO152" s="31" t="str">
        <f t="shared" si="535"/>
        <v>BypassOpenStudio_zb,0,</v>
      </c>
      <c r="BP152" s="31" t="str">
        <f t="shared" si="536"/>
        <v>BypassOpenStudio_ap,0,</v>
      </c>
      <c r="BQ152" s="31" t="str">
        <f t="shared" si="537"/>
        <v>BypassOpenStudio_ab,0,</v>
      </c>
      <c r="BR152" s="31" t="str">
        <f t="shared" si="538"/>
        <v>BypassOpenStudio_zp,0,</v>
      </c>
      <c r="BS152" s="31" t="str">
        <f t="shared" si="539"/>
        <v>BypassOpenStudio_zb,0,</v>
      </c>
      <c r="BT152" s="31" t="str">
        <f t="shared" si="540"/>
        <v>BypassOpenStudio_ap,0,</v>
      </c>
      <c r="BU152" s="31" t="str">
        <f t="shared" si="541"/>
        <v>BypassOpenStudio_ab,0,</v>
      </c>
    </row>
    <row r="153" spans="1:73" hidden="1" outlineLevel="1" x14ac:dyDescent="0.25">
      <c r="A153" s="39">
        <f t="shared" si="542"/>
        <v>0</v>
      </c>
      <c r="B153" s="27" t="str">
        <f t="shared" si="543"/>
        <v>SoftwareSensitivity2016Tests\DetailedGeometry\x.cibd16</v>
      </c>
      <c r="C153" s="27" t="str">
        <f t="shared" si="544"/>
        <v>BatchOut_171026_r5178_FinalRel-v3-SSTSG_SSTDG\x.cibd16</v>
      </c>
      <c r="D153" s="27" t="str">
        <f t="shared" si="545"/>
        <v>BatchOut_171026_r5178_FinalRel-v3-SSTSG_SSTDG\XML\</v>
      </c>
      <c r="E153" s="9" t="str">
        <f t="shared" si="546"/>
        <v>x</v>
      </c>
      <c r="F153" s="22"/>
      <c r="G153" s="29"/>
      <c r="H153" s="23" t="str">
        <f t="shared" si="547"/>
        <v/>
      </c>
      <c r="I153" s="9" t="s">
        <v>11</v>
      </c>
      <c r="J15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3" s="15" t="s">
        <v>1</v>
      </c>
      <c r="L153" s="36">
        <f t="shared" si="573"/>
        <v>0</v>
      </c>
      <c r="M153" s="91" t="str">
        <f t="shared" si="548"/>
        <v>x</v>
      </c>
      <c r="N153" s="90" t="s">
        <v>149</v>
      </c>
      <c r="O153" s="28" t="str">
        <f t="shared" si="574"/>
        <v>x</v>
      </c>
      <c r="P153" s="36">
        <f t="shared" si="652"/>
        <v>1</v>
      </c>
      <c r="Q153" s="36">
        <f t="shared" si="652"/>
        <v>1</v>
      </c>
      <c r="R153" s="36">
        <f t="shared" si="652"/>
        <v>0</v>
      </c>
      <c r="S153" s="36">
        <f t="shared" si="652"/>
        <v>1</v>
      </c>
      <c r="T153" s="36">
        <f t="shared" si="652"/>
        <v>0</v>
      </c>
      <c r="U153" s="36">
        <f t="shared" si="652"/>
        <v>8</v>
      </c>
      <c r="V153" s="36">
        <f t="shared" si="652"/>
        <v>8</v>
      </c>
      <c r="W153" s="36">
        <f t="shared" si="652"/>
        <v>1</v>
      </c>
      <c r="X153" s="36">
        <f t="shared" si="652"/>
        <v>0</v>
      </c>
      <c r="Y153" s="36">
        <f t="shared" si="652"/>
        <v>0</v>
      </c>
      <c r="Z153" s="36">
        <f t="shared" si="652"/>
        <v>0</v>
      </c>
      <c r="AA153" s="36">
        <f t="shared" si="652"/>
        <v>0</v>
      </c>
      <c r="AB153" s="36">
        <f t="shared" si="652"/>
        <v>1</v>
      </c>
      <c r="AC153" s="36">
        <f t="shared" si="560"/>
        <v>0</v>
      </c>
      <c r="AD153" s="36">
        <f t="shared" si="561"/>
        <v>1</v>
      </c>
      <c r="AE153" s="36">
        <f t="shared" si="561"/>
        <v>0</v>
      </c>
      <c r="AF153" s="36">
        <f t="shared" ref="AF153:AG153" si="655">AF152</f>
        <v>0</v>
      </c>
      <c r="AG153" s="36">
        <f t="shared" si="655"/>
        <v>0</v>
      </c>
      <c r="AH153" s="36">
        <f t="shared" ref="AH153:AI153" si="656">AH152</f>
        <v>0</v>
      </c>
      <c r="AI153" s="36">
        <f t="shared" si="656"/>
        <v>0</v>
      </c>
      <c r="AJ153" s="36">
        <f t="shared" si="564"/>
        <v>0</v>
      </c>
      <c r="AK153" s="36">
        <f t="shared" si="565"/>
        <v>0</v>
      </c>
      <c r="AL153" s="36">
        <f t="shared" si="566"/>
        <v>0</v>
      </c>
      <c r="AM153" s="36">
        <f t="shared" si="567"/>
        <v>0</v>
      </c>
      <c r="AN153" s="36">
        <f t="shared" si="568"/>
        <v>0</v>
      </c>
      <c r="AO153" s="36">
        <f t="shared" si="569"/>
        <v>0</v>
      </c>
      <c r="AP153" s="36">
        <f t="shared" si="570"/>
        <v>0</v>
      </c>
      <c r="AQ153" s="36">
        <f t="shared" si="571"/>
        <v>0</v>
      </c>
      <c r="AR153" s="36">
        <f t="shared" si="572"/>
        <v>0</v>
      </c>
      <c r="AS153" s="31" t="str">
        <f t="shared" si="578"/>
        <v>SimulationStorage,1,</v>
      </c>
      <c r="AT153" s="31" t="str">
        <f t="shared" si="579"/>
        <v>AnalysisStorage,1,</v>
      </c>
      <c r="AU153" s="31" t="str">
        <f t="shared" si="580"/>
        <v>LogRuleEvaluation,0,</v>
      </c>
      <c r="AV153" s="31" t="str">
        <f t="shared" si="581"/>
        <v>ParallelSimulations,1,</v>
      </c>
      <c r="AW153" s="31" t="str">
        <f t="shared" si="582"/>
        <v>DurationStats,0,</v>
      </c>
      <c r="AX153" s="31" t="str">
        <f t="shared" si="583"/>
        <v>AnalysisThruStep,8,</v>
      </c>
      <c r="AY153" s="31" t="str">
        <f t="shared" si="584"/>
        <v>DontAbortOnErrorsThruStep,8,</v>
      </c>
      <c r="AZ153" s="31" t="str">
        <f t="shared" si="585"/>
        <v>BypassValidFileChecks,1,</v>
      </c>
      <c r="BA153" s="31" t="str">
        <f t="shared" si="586"/>
        <v>BypassInputChecks,0,</v>
      </c>
      <c r="BB153" s="31" t="str">
        <f t="shared" si="587"/>
        <v>BypassUMLHChecks,0,</v>
      </c>
      <c r="BC153" s="31" t="str">
        <f t="shared" si="588"/>
        <v>BypassCheckSimRules,0,</v>
      </c>
      <c r="BD153" s="31" t="str">
        <f t="shared" si="589"/>
        <v>BypassCheckCodeRules,0,</v>
      </c>
      <c r="BE153" s="31" t="str">
        <f t="shared" si="526"/>
        <v>StoreResultsToModelInput,1,</v>
      </c>
      <c r="BF153" s="31" t="str">
        <f t="shared" si="527"/>
        <v>StoreBEMDetails,0,</v>
      </c>
      <c r="BG153" s="31" t="str">
        <f t="shared" si="528"/>
        <v>ModelRpt_ALL,1,</v>
      </c>
      <c r="BH153" s="31" t="str">
        <f t="shared" si="529"/>
        <v>ExportHourlyResults_All,0,</v>
      </c>
      <c r="BI153" s="31" t="str">
        <f t="shared" si="530"/>
        <v>ComplianceReportPDF,0,</v>
      </c>
      <c r="BJ153" s="31" t="str">
        <f t="shared" si="531"/>
        <v>ComplianceReportXML,0,</v>
      </c>
      <c r="BK153" s="31" t="str">
        <f t="shared" si="532"/>
        <v>QuickAnalysis,0,</v>
      </c>
      <c r="BL153" s="31" t="str">
        <f t="shared" si="532"/>
        <v>PromptUserUMLHWarning,0,</v>
      </c>
      <c r="BM153" s="31" t="str">
        <f t="shared" si="533"/>
        <v>BypassOpenStudio_all,0,</v>
      </c>
      <c r="BN153" s="31" t="str">
        <f t="shared" si="534"/>
        <v>BypassOpenStudio_zp,0,</v>
      </c>
      <c r="BO153" s="31" t="str">
        <f t="shared" si="535"/>
        <v>BypassOpenStudio_zb,0,</v>
      </c>
      <c r="BP153" s="31" t="str">
        <f t="shared" si="536"/>
        <v>BypassOpenStudio_ap,0,</v>
      </c>
      <c r="BQ153" s="31" t="str">
        <f t="shared" si="537"/>
        <v>BypassOpenStudio_ab,0,</v>
      </c>
      <c r="BR153" s="31" t="str">
        <f t="shared" si="538"/>
        <v>BypassOpenStudio_zp,0,</v>
      </c>
      <c r="BS153" s="31" t="str">
        <f t="shared" si="539"/>
        <v>BypassOpenStudio_zb,0,</v>
      </c>
      <c r="BT153" s="31" t="str">
        <f t="shared" si="540"/>
        <v>BypassOpenStudio_ap,0,</v>
      </c>
      <c r="BU153" s="31" t="str">
        <f t="shared" si="541"/>
        <v>BypassOpenStudio_ab,0,</v>
      </c>
    </row>
    <row r="154" spans="1:73" hidden="1" outlineLevel="1" x14ac:dyDescent="0.25">
      <c r="A154" s="39">
        <f t="shared" si="542"/>
        <v>0</v>
      </c>
      <c r="B154" s="27" t="str">
        <f t="shared" si="543"/>
        <v>SoftwareSensitivity2016Tests\DetailedGeometry\x.cibd16</v>
      </c>
      <c r="C154" s="27" t="str">
        <f t="shared" si="544"/>
        <v>BatchOut_171026_r5178_FinalRel-v3-SSTSG_SSTDG\x.cibd16</v>
      </c>
      <c r="D154" s="27" t="str">
        <f t="shared" si="545"/>
        <v>BatchOut_171026_r5178_FinalRel-v3-SSTSG_SSTDG\XML\</v>
      </c>
      <c r="E154" s="9" t="str">
        <f t="shared" si="546"/>
        <v>x</v>
      </c>
      <c r="F154" s="22"/>
      <c r="G154" s="29"/>
      <c r="H154" s="23" t="str">
        <f t="shared" si="547"/>
        <v/>
      </c>
      <c r="I154" s="9" t="s">
        <v>11</v>
      </c>
      <c r="J15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4" s="15" t="s">
        <v>1</v>
      </c>
      <c r="L154" s="36">
        <f t="shared" si="573"/>
        <v>0</v>
      </c>
      <c r="M154" s="91" t="str">
        <f t="shared" si="548"/>
        <v>x</v>
      </c>
      <c r="N154" s="90" t="s">
        <v>149</v>
      </c>
      <c r="O154" s="28" t="str">
        <f t="shared" si="574"/>
        <v>x</v>
      </c>
      <c r="P154" s="36">
        <f t="shared" si="652"/>
        <v>1</v>
      </c>
      <c r="Q154" s="36">
        <f t="shared" si="652"/>
        <v>1</v>
      </c>
      <c r="R154" s="36">
        <f t="shared" si="652"/>
        <v>0</v>
      </c>
      <c r="S154" s="36">
        <f t="shared" si="652"/>
        <v>1</v>
      </c>
      <c r="T154" s="36">
        <f t="shared" si="652"/>
        <v>0</v>
      </c>
      <c r="U154" s="36">
        <f t="shared" si="652"/>
        <v>8</v>
      </c>
      <c r="V154" s="36">
        <f t="shared" si="652"/>
        <v>8</v>
      </c>
      <c r="W154" s="36">
        <f t="shared" si="652"/>
        <v>1</v>
      </c>
      <c r="X154" s="36">
        <f t="shared" si="652"/>
        <v>0</v>
      </c>
      <c r="Y154" s="36">
        <f t="shared" si="652"/>
        <v>0</v>
      </c>
      <c r="Z154" s="36">
        <f t="shared" si="652"/>
        <v>0</v>
      </c>
      <c r="AA154" s="36">
        <f t="shared" si="652"/>
        <v>0</v>
      </c>
      <c r="AB154" s="36">
        <f t="shared" si="652"/>
        <v>1</v>
      </c>
      <c r="AC154" s="36">
        <f t="shared" si="560"/>
        <v>0</v>
      </c>
      <c r="AD154" s="36">
        <f t="shared" si="561"/>
        <v>1</v>
      </c>
      <c r="AE154" s="36">
        <f t="shared" si="561"/>
        <v>0</v>
      </c>
      <c r="AF154" s="36">
        <f t="shared" ref="AF154:AG154" si="657">AF153</f>
        <v>0</v>
      </c>
      <c r="AG154" s="36">
        <f t="shared" si="657"/>
        <v>0</v>
      </c>
      <c r="AH154" s="36">
        <f t="shared" ref="AH154:AI154" si="658">AH153</f>
        <v>0</v>
      </c>
      <c r="AI154" s="36">
        <f t="shared" si="658"/>
        <v>0</v>
      </c>
      <c r="AJ154" s="36">
        <f t="shared" si="564"/>
        <v>0</v>
      </c>
      <c r="AK154" s="36">
        <f t="shared" si="565"/>
        <v>0</v>
      </c>
      <c r="AL154" s="36">
        <f t="shared" si="566"/>
        <v>0</v>
      </c>
      <c r="AM154" s="36">
        <f t="shared" si="567"/>
        <v>0</v>
      </c>
      <c r="AN154" s="36">
        <f t="shared" si="568"/>
        <v>0</v>
      </c>
      <c r="AO154" s="36">
        <f t="shared" si="569"/>
        <v>0</v>
      </c>
      <c r="AP154" s="36">
        <f t="shared" si="570"/>
        <v>0</v>
      </c>
      <c r="AQ154" s="36">
        <f t="shared" si="571"/>
        <v>0</v>
      </c>
      <c r="AR154" s="36">
        <f t="shared" si="572"/>
        <v>0</v>
      </c>
      <c r="AS154" s="31" t="str">
        <f t="shared" si="578"/>
        <v>SimulationStorage,1,</v>
      </c>
      <c r="AT154" s="31" t="str">
        <f t="shared" si="579"/>
        <v>AnalysisStorage,1,</v>
      </c>
      <c r="AU154" s="31" t="str">
        <f t="shared" si="580"/>
        <v>LogRuleEvaluation,0,</v>
      </c>
      <c r="AV154" s="31" t="str">
        <f t="shared" si="581"/>
        <v>ParallelSimulations,1,</v>
      </c>
      <c r="AW154" s="31" t="str">
        <f t="shared" si="582"/>
        <v>DurationStats,0,</v>
      </c>
      <c r="AX154" s="31" t="str">
        <f t="shared" si="583"/>
        <v>AnalysisThruStep,8,</v>
      </c>
      <c r="AY154" s="31" t="str">
        <f t="shared" si="584"/>
        <v>DontAbortOnErrorsThruStep,8,</v>
      </c>
      <c r="AZ154" s="31" t="str">
        <f t="shared" si="585"/>
        <v>BypassValidFileChecks,1,</v>
      </c>
      <c r="BA154" s="31" t="str">
        <f t="shared" si="586"/>
        <v>BypassInputChecks,0,</v>
      </c>
      <c r="BB154" s="31" t="str">
        <f t="shared" si="587"/>
        <v>BypassUMLHChecks,0,</v>
      </c>
      <c r="BC154" s="31" t="str">
        <f t="shared" si="588"/>
        <v>BypassCheckSimRules,0,</v>
      </c>
      <c r="BD154" s="31" t="str">
        <f t="shared" si="589"/>
        <v>BypassCheckCodeRules,0,</v>
      </c>
      <c r="BE154" s="31" t="str">
        <f t="shared" si="526"/>
        <v>StoreResultsToModelInput,1,</v>
      </c>
      <c r="BF154" s="31" t="str">
        <f t="shared" si="527"/>
        <v>StoreBEMDetails,0,</v>
      </c>
      <c r="BG154" s="31" t="str">
        <f t="shared" si="528"/>
        <v>ModelRpt_ALL,1,</v>
      </c>
      <c r="BH154" s="31" t="str">
        <f t="shared" si="529"/>
        <v>ExportHourlyResults_All,0,</v>
      </c>
      <c r="BI154" s="31" t="str">
        <f t="shared" si="530"/>
        <v>ComplianceReportPDF,0,</v>
      </c>
      <c r="BJ154" s="31" t="str">
        <f t="shared" si="531"/>
        <v>ComplianceReportXML,0,</v>
      </c>
      <c r="BK154" s="31" t="str">
        <f t="shared" si="532"/>
        <v>QuickAnalysis,0,</v>
      </c>
      <c r="BL154" s="31" t="str">
        <f t="shared" si="532"/>
        <v>PromptUserUMLHWarning,0,</v>
      </c>
      <c r="BM154" s="31" t="str">
        <f t="shared" si="533"/>
        <v>BypassOpenStudio_all,0,</v>
      </c>
      <c r="BN154" s="31" t="str">
        <f t="shared" si="534"/>
        <v>BypassOpenStudio_zp,0,</v>
      </c>
      <c r="BO154" s="31" t="str">
        <f t="shared" si="535"/>
        <v>BypassOpenStudio_zb,0,</v>
      </c>
      <c r="BP154" s="31" t="str">
        <f t="shared" si="536"/>
        <v>BypassOpenStudio_ap,0,</v>
      </c>
      <c r="BQ154" s="31" t="str">
        <f t="shared" si="537"/>
        <v>BypassOpenStudio_ab,0,</v>
      </c>
      <c r="BR154" s="31" t="str">
        <f t="shared" si="538"/>
        <v>BypassOpenStudio_zp,0,</v>
      </c>
      <c r="BS154" s="31" t="str">
        <f t="shared" si="539"/>
        <v>BypassOpenStudio_zb,0,</v>
      </c>
      <c r="BT154" s="31" t="str">
        <f t="shared" si="540"/>
        <v>BypassOpenStudio_ap,0,</v>
      </c>
      <c r="BU154" s="31" t="str">
        <f t="shared" si="541"/>
        <v>BypassOpenStudio_ab,0,</v>
      </c>
    </row>
    <row r="155" spans="1:73" hidden="1" outlineLevel="1" x14ac:dyDescent="0.25">
      <c r="A155" s="39">
        <f t="shared" si="542"/>
        <v>0</v>
      </c>
      <c r="B155" s="27" t="str">
        <f t="shared" si="543"/>
        <v>SoftwareSensitivity2016Tests\DetailedGeometry\x.cibd16</v>
      </c>
      <c r="C155" s="27" t="str">
        <f t="shared" si="544"/>
        <v>BatchOut_171026_r5178_FinalRel-v3-SSTSG_SSTDG\x.cibd16</v>
      </c>
      <c r="D155" s="27" t="str">
        <f t="shared" si="545"/>
        <v>BatchOut_171026_r5178_FinalRel-v3-SSTSG_SSTDG\XML\</v>
      </c>
      <c r="E155" s="9" t="str">
        <f t="shared" si="546"/>
        <v>x</v>
      </c>
      <c r="F155" s="22"/>
      <c r="G155" s="29"/>
      <c r="H155" s="23" t="str">
        <f t="shared" si="547"/>
        <v/>
      </c>
      <c r="I155" s="9" t="s">
        <v>11</v>
      </c>
      <c r="J15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5" s="15" t="s">
        <v>1</v>
      </c>
      <c r="L155" s="36">
        <f t="shared" si="573"/>
        <v>0</v>
      </c>
      <c r="M155" s="91" t="str">
        <f t="shared" si="548"/>
        <v>x</v>
      </c>
      <c r="N155" s="90" t="s">
        <v>149</v>
      </c>
      <c r="O155" s="28" t="str">
        <f t="shared" si="574"/>
        <v>x</v>
      </c>
      <c r="P155" s="36">
        <f t="shared" si="652"/>
        <v>1</v>
      </c>
      <c r="Q155" s="36">
        <f t="shared" si="652"/>
        <v>1</v>
      </c>
      <c r="R155" s="36">
        <f t="shared" si="652"/>
        <v>0</v>
      </c>
      <c r="S155" s="36">
        <f t="shared" si="652"/>
        <v>1</v>
      </c>
      <c r="T155" s="36">
        <f t="shared" si="652"/>
        <v>0</v>
      </c>
      <c r="U155" s="36">
        <f t="shared" si="652"/>
        <v>8</v>
      </c>
      <c r="V155" s="36">
        <f t="shared" si="652"/>
        <v>8</v>
      </c>
      <c r="W155" s="36">
        <f t="shared" si="652"/>
        <v>1</v>
      </c>
      <c r="X155" s="36">
        <f t="shared" si="652"/>
        <v>0</v>
      </c>
      <c r="Y155" s="36">
        <f t="shared" si="652"/>
        <v>0</v>
      </c>
      <c r="Z155" s="36">
        <f t="shared" si="652"/>
        <v>0</v>
      </c>
      <c r="AA155" s="36">
        <f t="shared" si="652"/>
        <v>0</v>
      </c>
      <c r="AB155" s="36">
        <f t="shared" si="652"/>
        <v>1</v>
      </c>
      <c r="AC155" s="36">
        <f t="shared" si="560"/>
        <v>0</v>
      </c>
      <c r="AD155" s="36">
        <f t="shared" si="561"/>
        <v>1</v>
      </c>
      <c r="AE155" s="36">
        <f t="shared" si="561"/>
        <v>0</v>
      </c>
      <c r="AF155" s="36">
        <f t="shared" ref="AF155:AG155" si="659">AF154</f>
        <v>0</v>
      </c>
      <c r="AG155" s="36">
        <f t="shared" si="659"/>
        <v>0</v>
      </c>
      <c r="AH155" s="36">
        <f t="shared" ref="AH155:AI155" si="660">AH154</f>
        <v>0</v>
      </c>
      <c r="AI155" s="36">
        <f t="shared" si="660"/>
        <v>0</v>
      </c>
      <c r="AJ155" s="36">
        <f t="shared" si="564"/>
        <v>0</v>
      </c>
      <c r="AK155" s="36">
        <f t="shared" si="565"/>
        <v>0</v>
      </c>
      <c r="AL155" s="36">
        <f t="shared" si="566"/>
        <v>0</v>
      </c>
      <c r="AM155" s="36">
        <f t="shared" si="567"/>
        <v>0</v>
      </c>
      <c r="AN155" s="36">
        <f t="shared" si="568"/>
        <v>0</v>
      </c>
      <c r="AO155" s="36">
        <f t="shared" si="569"/>
        <v>0</v>
      </c>
      <c r="AP155" s="36">
        <f t="shared" si="570"/>
        <v>0</v>
      </c>
      <c r="AQ155" s="36">
        <f t="shared" si="571"/>
        <v>0</v>
      </c>
      <c r="AR155" s="36">
        <f t="shared" si="572"/>
        <v>0</v>
      </c>
      <c r="AS155" s="31" t="str">
        <f t="shared" si="578"/>
        <v>SimulationStorage,1,</v>
      </c>
      <c r="AT155" s="31" t="str">
        <f t="shared" si="579"/>
        <v>AnalysisStorage,1,</v>
      </c>
      <c r="AU155" s="31" t="str">
        <f t="shared" si="580"/>
        <v>LogRuleEvaluation,0,</v>
      </c>
      <c r="AV155" s="31" t="str">
        <f t="shared" si="581"/>
        <v>ParallelSimulations,1,</v>
      </c>
      <c r="AW155" s="31" t="str">
        <f t="shared" si="582"/>
        <v>DurationStats,0,</v>
      </c>
      <c r="AX155" s="31" t="str">
        <f t="shared" si="583"/>
        <v>AnalysisThruStep,8,</v>
      </c>
      <c r="AY155" s="31" t="str">
        <f t="shared" si="584"/>
        <v>DontAbortOnErrorsThruStep,8,</v>
      </c>
      <c r="AZ155" s="31" t="str">
        <f t="shared" si="585"/>
        <v>BypassValidFileChecks,1,</v>
      </c>
      <c r="BA155" s="31" t="str">
        <f t="shared" si="586"/>
        <v>BypassInputChecks,0,</v>
      </c>
      <c r="BB155" s="31" t="str">
        <f t="shared" si="587"/>
        <v>BypassUMLHChecks,0,</v>
      </c>
      <c r="BC155" s="31" t="str">
        <f t="shared" si="588"/>
        <v>BypassCheckSimRules,0,</v>
      </c>
      <c r="BD155" s="31" t="str">
        <f t="shared" si="589"/>
        <v>BypassCheckCodeRules,0,</v>
      </c>
      <c r="BE155" s="31" t="str">
        <f t="shared" si="526"/>
        <v>StoreResultsToModelInput,1,</v>
      </c>
      <c r="BF155" s="31" t="str">
        <f t="shared" si="527"/>
        <v>StoreBEMDetails,0,</v>
      </c>
      <c r="BG155" s="31" t="str">
        <f t="shared" si="528"/>
        <v>ModelRpt_ALL,1,</v>
      </c>
      <c r="BH155" s="31" t="str">
        <f t="shared" si="529"/>
        <v>ExportHourlyResults_All,0,</v>
      </c>
      <c r="BI155" s="31" t="str">
        <f t="shared" si="530"/>
        <v>ComplianceReportPDF,0,</v>
      </c>
      <c r="BJ155" s="31" t="str">
        <f t="shared" si="531"/>
        <v>ComplianceReportXML,0,</v>
      </c>
      <c r="BK155" s="31" t="str">
        <f t="shared" si="532"/>
        <v>QuickAnalysis,0,</v>
      </c>
      <c r="BL155" s="31" t="str">
        <f t="shared" si="532"/>
        <v>PromptUserUMLHWarning,0,</v>
      </c>
      <c r="BM155" s="31" t="str">
        <f t="shared" si="533"/>
        <v>BypassOpenStudio_all,0,</v>
      </c>
      <c r="BN155" s="31" t="str">
        <f t="shared" si="534"/>
        <v>BypassOpenStudio_zp,0,</v>
      </c>
      <c r="BO155" s="31" t="str">
        <f t="shared" si="535"/>
        <v>BypassOpenStudio_zb,0,</v>
      </c>
      <c r="BP155" s="31" t="str">
        <f t="shared" si="536"/>
        <v>BypassOpenStudio_ap,0,</v>
      </c>
      <c r="BQ155" s="31" t="str">
        <f t="shared" si="537"/>
        <v>BypassOpenStudio_ab,0,</v>
      </c>
      <c r="BR155" s="31" t="str">
        <f t="shared" si="538"/>
        <v>BypassOpenStudio_zp,0,</v>
      </c>
      <c r="BS155" s="31" t="str">
        <f t="shared" si="539"/>
        <v>BypassOpenStudio_zb,0,</v>
      </c>
      <c r="BT155" s="31" t="str">
        <f t="shared" si="540"/>
        <v>BypassOpenStudio_ap,0,</v>
      </c>
      <c r="BU155" s="31" t="str">
        <f t="shared" si="541"/>
        <v>BypassOpenStudio_ab,0,</v>
      </c>
    </row>
    <row r="156" spans="1:73" hidden="1" outlineLevel="1" x14ac:dyDescent="0.25">
      <c r="A156" s="39">
        <f t="shared" si="542"/>
        <v>0</v>
      </c>
      <c r="B156" s="27" t="str">
        <f t="shared" si="543"/>
        <v>SoftwareSensitivity2016Tests\DetailedGeometry\x.cibd16</v>
      </c>
      <c r="C156" s="27" t="str">
        <f t="shared" si="544"/>
        <v>BatchOut_171026_r5178_FinalRel-v3-SSTSG_SSTDG\x.cibd16</v>
      </c>
      <c r="D156" s="27" t="str">
        <f t="shared" si="545"/>
        <v>BatchOut_171026_r5178_FinalRel-v3-SSTSG_SSTDG\XML\</v>
      </c>
      <c r="E156" s="9" t="str">
        <f t="shared" si="546"/>
        <v>x</v>
      </c>
      <c r="F156" s="22"/>
      <c r="G156" s="29"/>
      <c r="H156" s="23" t="str">
        <f t="shared" si="547"/>
        <v/>
      </c>
      <c r="I156" s="9" t="s">
        <v>11</v>
      </c>
      <c r="J15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6" s="15" t="s">
        <v>1</v>
      </c>
      <c r="L156" s="36">
        <f t="shared" si="573"/>
        <v>0</v>
      </c>
      <c r="M156" s="91" t="str">
        <f t="shared" si="548"/>
        <v>x</v>
      </c>
      <c r="N156" s="90" t="s">
        <v>149</v>
      </c>
      <c r="O156" s="28" t="str">
        <f t="shared" si="574"/>
        <v>x</v>
      </c>
      <c r="P156" s="36">
        <f t="shared" si="652"/>
        <v>1</v>
      </c>
      <c r="Q156" s="36">
        <f t="shared" si="652"/>
        <v>1</v>
      </c>
      <c r="R156" s="36">
        <f t="shared" si="652"/>
        <v>0</v>
      </c>
      <c r="S156" s="36">
        <f t="shared" si="652"/>
        <v>1</v>
      </c>
      <c r="T156" s="36">
        <f t="shared" si="652"/>
        <v>0</v>
      </c>
      <c r="U156" s="36">
        <f t="shared" si="652"/>
        <v>8</v>
      </c>
      <c r="V156" s="36">
        <f t="shared" si="652"/>
        <v>8</v>
      </c>
      <c r="W156" s="36">
        <f t="shared" si="652"/>
        <v>1</v>
      </c>
      <c r="X156" s="36">
        <f t="shared" si="652"/>
        <v>0</v>
      </c>
      <c r="Y156" s="36">
        <f t="shared" si="652"/>
        <v>0</v>
      </c>
      <c r="Z156" s="36">
        <f t="shared" si="652"/>
        <v>0</v>
      </c>
      <c r="AA156" s="36">
        <f t="shared" si="652"/>
        <v>0</v>
      </c>
      <c r="AB156" s="36">
        <f t="shared" si="652"/>
        <v>1</v>
      </c>
      <c r="AC156" s="36">
        <f t="shared" si="560"/>
        <v>0</v>
      </c>
      <c r="AD156" s="36">
        <f t="shared" si="561"/>
        <v>1</v>
      </c>
      <c r="AE156" s="36">
        <f t="shared" si="561"/>
        <v>0</v>
      </c>
      <c r="AF156" s="36">
        <f t="shared" ref="AF156:AG156" si="661">AF155</f>
        <v>0</v>
      </c>
      <c r="AG156" s="36">
        <f t="shared" si="661"/>
        <v>0</v>
      </c>
      <c r="AH156" s="36">
        <f t="shared" ref="AH156:AI156" si="662">AH155</f>
        <v>0</v>
      </c>
      <c r="AI156" s="36">
        <f t="shared" si="662"/>
        <v>0</v>
      </c>
      <c r="AJ156" s="36">
        <f t="shared" si="564"/>
        <v>0</v>
      </c>
      <c r="AK156" s="36">
        <f t="shared" si="565"/>
        <v>0</v>
      </c>
      <c r="AL156" s="36">
        <f t="shared" si="566"/>
        <v>0</v>
      </c>
      <c r="AM156" s="36">
        <f t="shared" si="567"/>
        <v>0</v>
      </c>
      <c r="AN156" s="36">
        <f t="shared" si="568"/>
        <v>0</v>
      </c>
      <c r="AO156" s="36">
        <f t="shared" si="569"/>
        <v>0</v>
      </c>
      <c r="AP156" s="36">
        <f t="shared" si="570"/>
        <v>0</v>
      </c>
      <c r="AQ156" s="36">
        <f t="shared" si="571"/>
        <v>0</v>
      </c>
      <c r="AR156" s="36">
        <f t="shared" si="572"/>
        <v>0</v>
      </c>
      <c r="AS156" s="31" t="str">
        <f t="shared" si="578"/>
        <v>SimulationStorage,1,</v>
      </c>
      <c r="AT156" s="31" t="str">
        <f t="shared" si="579"/>
        <v>AnalysisStorage,1,</v>
      </c>
      <c r="AU156" s="31" t="str">
        <f t="shared" si="580"/>
        <v>LogRuleEvaluation,0,</v>
      </c>
      <c r="AV156" s="31" t="str">
        <f t="shared" si="581"/>
        <v>ParallelSimulations,1,</v>
      </c>
      <c r="AW156" s="31" t="str">
        <f t="shared" si="582"/>
        <v>DurationStats,0,</v>
      </c>
      <c r="AX156" s="31" t="str">
        <f t="shared" si="583"/>
        <v>AnalysisThruStep,8,</v>
      </c>
      <c r="AY156" s="31" t="str">
        <f t="shared" si="584"/>
        <v>DontAbortOnErrorsThruStep,8,</v>
      </c>
      <c r="AZ156" s="31" t="str">
        <f t="shared" si="585"/>
        <v>BypassValidFileChecks,1,</v>
      </c>
      <c r="BA156" s="31" t="str">
        <f t="shared" si="586"/>
        <v>BypassInputChecks,0,</v>
      </c>
      <c r="BB156" s="31" t="str">
        <f t="shared" si="587"/>
        <v>BypassUMLHChecks,0,</v>
      </c>
      <c r="BC156" s="31" t="str">
        <f t="shared" si="588"/>
        <v>BypassCheckSimRules,0,</v>
      </c>
      <c r="BD156" s="31" t="str">
        <f t="shared" si="589"/>
        <v>BypassCheckCodeRules,0,</v>
      </c>
      <c r="BE156" s="31" t="str">
        <f t="shared" si="526"/>
        <v>StoreResultsToModelInput,1,</v>
      </c>
      <c r="BF156" s="31" t="str">
        <f t="shared" si="527"/>
        <v>StoreBEMDetails,0,</v>
      </c>
      <c r="BG156" s="31" t="str">
        <f t="shared" si="528"/>
        <v>ModelRpt_ALL,1,</v>
      </c>
      <c r="BH156" s="31" t="str">
        <f t="shared" si="529"/>
        <v>ExportHourlyResults_All,0,</v>
      </c>
      <c r="BI156" s="31" t="str">
        <f t="shared" si="530"/>
        <v>ComplianceReportPDF,0,</v>
      </c>
      <c r="BJ156" s="31" t="str">
        <f t="shared" si="531"/>
        <v>ComplianceReportXML,0,</v>
      </c>
      <c r="BK156" s="31" t="str">
        <f t="shared" si="532"/>
        <v>QuickAnalysis,0,</v>
      </c>
      <c r="BL156" s="31" t="str">
        <f t="shared" si="532"/>
        <v>PromptUserUMLHWarning,0,</v>
      </c>
      <c r="BM156" s="31" t="str">
        <f t="shared" si="533"/>
        <v>BypassOpenStudio_all,0,</v>
      </c>
      <c r="BN156" s="31" t="str">
        <f t="shared" si="534"/>
        <v>BypassOpenStudio_zp,0,</v>
      </c>
      <c r="BO156" s="31" t="str">
        <f t="shared" si="535"/>
        <v>BypassOpenStudio_zb,0,</v>
      </c>
      <c r="BP156" s="31" t="str">
        <f t="shared" si="536"/>
        <v>BypassOpenStudio_ap,0,</v>
      </c>
      <c r="BQ156" s="31" t="str">
        <f t="shared" si="537"/>
        <v>BypassOpenStudio_ab,0,</v>
      </c>
      <c r="BR156" s="31" t="str">
        <f t="shared" si="538"/>
        <v>BypassOpenStudio_zp,0,</v>
      </c>
      <c r="BS156" s="31" t="str">
        <f t="shared" si="539"/>
        <v>BypassOpenStudio_zb,0,</v>
      </c>
      <c r="BT156" s="31" t="str">
        <f t="shared" si="540"/>
        <v>BypassOpenStudio_ap,0,</v>
      </c>
      <c r="BU156" s="31" t="str">
        <f t="shared" si="541"/>
        <v>BypassOpenStudio_ab,0,</v>
      </c>
    </row>
    <row r="157" spans="1:73" hidden="1" outlineLevel="1" x14ac:dyDescent="0.25">
      <c r="A157" s="39">
        <f t="shared" si="542"/>
        <v>0</v>
      </c>
      <c r="B157" s="27" t="str">
        <f t="shared" si="543"/>
        <v>SoftwareSensitivity2016Tests\DetailedGeometry\x.cibd16</v>
      </c>
      <c r="C157" s="27" t="str">
        <f t="shared" si="544"/>
        <v>BatchOut_171026_r5178_FinalRel-v3-SSTSG_SSTDG\x.cibd16</v>
      </c>
      <c r="D157" s="27" t="str">
        <f t="shared" si="545"/>
        <v>BatchOut_171026_r5178_FinalRel-v3-SSTSG_SSTDG\XML\</v>
      </c>
      <c r="E157" s="9" t="str">
        <f t="shared" si="546"/>
        <v>x</v>
      </c>
      <c r="F157" s="22"/>
      <c r="G157" s="29"/>
      <c r="H157" s="23" t="str">
        <f t="shared" si="547"/>
        <v/>
      </c>
      <c r="I157" s="9" t="s">
        <v>11</v>
      </c>
      <c r="J15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7" s="15" t="s">
        <v>1</v>
      </c>
      <c r="L157" s="36">
        <f t="shared" si="573"/>
        <v>0</v>
      </c>
      <c r="M157" s="91" t="str">
        <f t="shared" si="548"/>
        <v>x</v>
      </c>
      <c r="N157" s="90" t="s">
        <v>149</v>
      </c>
      <c r="O157" s="28" t="str">
        <f t="shared" si="574"/>
        <v>x</v>
      </c>
      <c r="P157" s="36">
        <f t="shared" si="652"/>
        <v>1</v>
      </c>
      <c r="Q157" s="36">
        <f t="shared" si="652"/>
        <v>1</v>
      </c>
      <c r="R157" s="36">
        <f t="shared" si="652"/>
        <v>0</v>
      </c>
      <c r="S157" s="36">
        <f t="shared" si="652"/>
        <v>1</v>
      </c>
      <c r="T157" s="36">
        <f t="shared" si="652"/>
        <v>0</v>
      </c>
      <c r="U157" s="36">
        <f t="shared" si="652"/>
        <v>8</v>
      </c>
      <c r="V157" s="36">
        <f t="shared" si="652"/>
        <v>8</v>
      </c>
      <c r="W157" s="36">
        <f t="shared" si="652"/>
        <v>1</v>
      </c>
      <c r="X157" s="36">
        <f t="shared" si="652"/>
        <v>0</v>
      </c>
      <c r="Y157" s="36">
        <f t="shared" si="652"/>
        <v>0</v>
      </c>
      <c r="Z157" s="36">
        <f t="shared" si="652"/>
        <v>0</v>
      </c>
      <c r="AA157" s="36">
        <f t="shared" si="652"/>
        <v>0</v>
      </c>
      <c r="AB157" s="36">
        <f t="shared" si="652"/>
        <v>1</v>
      </c>
      <c r="AC157" s="36">
        <f t="shared" si="560"/>
        <v>0</v>
      </c>
      <c r="AD157" s="36">
        <f t="shared" si="561"/>
        <v>1</v>
      </c>
      <c r="AE157" s="36">
        <f t="shared" si="561"/>
        <v>0</v>
      </c>
      <c r="AF157" s="36">
        <f t="shared" ref="AF157:AG157" si="663">AF156</f>
        <v>0</v>
      </c>
      <c r="AG157" s="36">
        <f t="shared" si="663"/>
        <v>0</v>
      </c>
      <c r="AH157" s="36">
        <f t="shared" ref="AH157:AI157" si="664">AH156</f>
        <v>0</v>
      </c>
      <c r="AI157" s="36">
        <f t="shared" si="664"/>
        <v>0</v>
      </c>
      <c r="AJ157" s="36">
        <f t="shared" si="564"/>
        <v>0</v>
      </c>
      <c r="AK157" s="36">
        <f t="shared" si="565"/>
        <v>0</v>
      </c>
      <c r="AL157" s="36">
        <f t="shared" si="566"/>
        <v>0</v>
      </c>
      <c r="AM157" s="36">
        <f t="shared" si="567"/>
        <v>0</v>
      </c>
      <c r="AN157" s="36">
        <f t="shared" si="568"/>
        <v>0</v>
      </c>
      <c r="AO157" s="36">
        <f t="shared" si="569"/>
        <v>0</v>
      </c>
      <c r="AP157" s="36">
        <f t="shared" si="570"/>
        <v>0</v>
      </c>
      <c r="AQ157" s="36">
        <f t="shared" si="571"/>
        <v>0</v>
      </c>
      <c r="AR157" s="36">
        <f t="shared" si="572"/>
        <v>0</v>
      </c>
      <c r="AS157" s="31" t="str">
        <f t="shared" si="578"/>
        <v>SimulationStorage,1,</v>
      </c>
      <c r="AT157" s="31" t="str">
        <f t="shared" si="579"/>
        <v>AnalysisStorage,1,</v>
      </c>
      <c r="AU157" s="31" t="str">
        <f t="shared" si="580"/>
        <v>LogRuleEvaluation,0,</v>
      </c>
      <c r="AV157" s="31" t="str">
        <f t="shared" si="581"/>
        <v>ParallelSimulations,1,</v>
      </c>
      <c r="AW157" s="31" t="str">
        <f t="shared" si="582"/>
        <v>DurationStats,0,</v>
      </c>
      <c r="AX157" s="31" t="str">
        <f t="shared" si="583"/>
        <v>AnalysisThruStep,8,</v>
      </c>
      <c r="AY157" s="31" t="str">
        <f t="shared" si="584"/>
        <v>DontAbortOnErrorsThruStep,8,</v>
      </c>
      <c r="AZ157" s="31" t="str">
        <f t="shared" si="585"/>
        <v>BypassValidFileChecks,1,</v>
      </c>
      <c r="BA157" s="31" t="str">
        <f t="shared" si="586"/>
        <v>BypassInputChecks,0,</v>
      </c>
      <c r="BB157" s="31" t="str">
        <f t="shared" si="587"/>
        <v>BypassUMLHChecks,0,</v>
      </c>
      <c r="BC157" s="31" t="str">
        <f t="shared" si="588"/>
        <v>BypassCheckSimRules,0,</v>
      </c>
      <c r="BD157" s="31" t="str">
        <f t="shared" si="589"/>
        <v>BypassCheckCodeRules,0,</v>
      </c>
      <c r="BE157" s="31" t="str">
        <f t="shared" si="526"/>
        <v>StoreResultsToModelInput,1,</v>
      </c>
      <c r="BF157" s="31" t="str">
        <f t="shared" si="527"/>
        <v>StoreBEMDetails,0,</v>
      </c>
      <c r="BG157" s="31" t="str">
        <f t="shared" si="528"/>
        <v>ModelRpt_ALL,1,</v>
      </c>
      <c r="BH157" s="31" t="str">
        <f t="shared" si="529"/>
        <v>ExportHourlyResults_All,0,</v>
      </c>
      <c r="BI157" s="31" t="str">
        <f t="shared" si="530"/>
        <v>ComplianceReportPDF,0,</v>
      </c>
      <c r="BJ157" s="31" t="str">
        <f t="shared" si="531"/>
        <v>ComplianceReportXML,0,</v>
      </c>
      <c r="BK157" s="31" t="str">
        <f t="shared" si="532"/>
        <v>QuickAnalysis,0,</v>
      </c>
      <c r="BL157" s="31" t="str">
        <f t="shared" si="532"/>
        <v>PromptUserUMLHWarning,0,</v>
      </c>
      <c r="BM157" s="31" t="str">
        <f t="shared" si="533"/>
        <v>BypassOpenStudio_all,0,</v>
      </c>
      <c r="BN157" s="31" t="str">
        <f t="shared" si="534"/>
        <v>BypassOpenStudio_zp,0,</v>
      </c>
      <c r="BO157" s="31" t="str">
        <f t="shared" si="535"/>
        <v>BypassOpenStudio_zb,0,</v>
      </c>
      <c r="BP157" s="31" t="str">
        <f t="shared" si="536"/>
        <v>BypassOpenStudio_ap,0,</v>
      </c>
      <c r="BQ157" s="31" t="str">
        <f t="shared" si="537"/>
        <v>BypassOpenStudio_ab,0,</v>
      </c>
      <c r="BR157" s="31" t="str">
        <f t="shared" si="538"/>
        <v>BypassOpenStudio_zp,0,</v>
      </c>
      <c r="BS157" s="31" t="str">
        <f t="shared" si="539"/>
        <v>BypassOpenStudio_zb,0,</v>
      </c>
      <c r="BT157" s="31" t="str">
        <f t="shared" si="540"/>
        <v>BypassOpenStudio_ap,0,</v>
      </c>
      <c r="BU157" s="31" t="str">
        <f t="shared" si="541"/>
        <v>BypassOpenStudio_ab,0,</v>
      </c>
    </row>
    <row r="158" spans="1:73" hidden="1" outlineLevel="1" x14ac:dyDescent="0.25">
      <c r="A158" s="39">
        <f t="shared" si="542"/>
        <v>0</v>
      </c>
      <c r="B158" s="27" t="str">
        <f t="shared" si="543"/>
        <v>SoftwareSensitivity2016Tests\DetailedGeometry\x.cibd16</v>
      </c>
      <c r="C158" s="27" t="str">
        <f t="shared" si="544"/>
        <v>BatchOut_171026_r5178_FinalRel-v3-SSTSG_SSTDG\x.cibd16</v>
      </c>
      <c r="D158" s="27" t="str">
        <f t="shared" si="545"/>
        <v>BatchOut_171026_r5178_FinalRel-v3-SSTSG_SSTDG\XML\</v>
      </c>
      <c r="E158" s="9" t="str">
        <f t="shared" si="546"/>
        <v>x</v>
      </c>
      <c r="F158" s="22"/>
      <c r="G158" s="29"/>
      <c r="H158" s="23" t="str">
        <f t="shared" si="547"/>
        <v/>
      </c>
      <c r="I158" s="9" t="s">
        <v>11</v>
      </c>
      <c r="J15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8" s="15" t="s">
        <v>1</v>
      </c>
      <c r="L158" s="36">
        <f t="shared" si="573"/>
        <v>0</v>
      </c>
      <c r="M158" s="91" t="str">
        <f t="shared" si="548"/>
        <v>x</v>
      </c>
      <c r="N158" s="90" t="s">
        <v>149</v>
      </c>
      <c r="O158" s="28" t="str">
        <f t="shared" si="574"/>
        <v>x</v>
      </c>
      <c r="P158" s="36">
        <f t="shared" si="652"/>
        <v>1</v>
      </c>
      <c r="Q158" s="36">
        <f t="shared" si="652"/>
        <v>1</v>
      </c>
      <c r="R158" s="36">
        <f t="shared" si="652"/>
        <v>0</v>
      </c>
      <c r="S158" s="36">
        <f t="shared" si="652"/>
        <v>1</v>
      </c>
      <c r="T158" s="36">
        <f t="shared" si="652"/>
        <v>0</v>
      </c>
      <c r="U158" s="36">
        <f t="shared" si="652"/>
        <v>8</v>
      </c>
      <c r="V158" s="36">
        <f t="shared" si="652"/>
        <v>8</v>
      </c>
      <c r="W158" s="36">
        <f t="shared" si="652"/>
        <v>1</v>
      </c>
      <c r="X158" s="36">
        <f t="shared" si="652"/>
        <v>0</v>
      </c>
      <c r="Y158" s="36">
        <f t="shared" si="652"/>
        <v>0</v>
      </c>
      <c r="Z158" s="36">
        <f t="shared" si="652"/>
        <v>0</v>
      </c>
      <c r="AA158" s="36">
        <f t="shared" si="652"/>
        <v>0</v>
      </c>
      <c r="AB158" s="36">
        <f t="shared" si="652"/>
        <v>1</v>
      </c>
      <c r="AC158" s="36">
        <f t="shared" si="560"/>
        <v>0</v>
      </c>
      <c r="AD158" s="36">
        <f t="shared" si="561"/>
        <v>1</v>
      </c>
      <c r="AE158" s="36">
        <f t="shared" si="561"/>
        <v>0</v>
      </c>
      <c r="AF158" s="36">
        <f t="shared" ref="AF158:AG158" si="665">AF157</f>
        <v>0</v>
      </c>
      <c r="AG158" s="36">
        <f t="shared" si="665"/>
        <v>0</v>
      </c>
      <c r="AH158" s="36">
        <f t="shared" ref="AH158:AI158" si="666">AH157</f>
        <v>0</v>
      </c>
      <c r="AI158" s="36">
        <f t="shared" si="666"/>
        <v>0</v>
      </c>
      <c r="AJ158" s="36">
        <f t="shared" si="564"/>
        <v>0</v>
      </c>
      <c r="AK158" s="36">
        <f t="shared" si="565"/>
        <v>0</v>
      </c>
      <c r="AL158" s="36">
        <f t="shared" si="566"/>
        <v>0</v>
      </c>
      <c r="AM158" s="36">
        <f t="shared" si="567"/>
        <v>0</v>
      </c>
      <c r="AN158" s="36">
        <f t="shared" si="568"/>
        <v>0</v>
      </c>
      <c r="AO158" s="36">
        <f t="shared" si="569"/>
        <v>0</v>
      </c>
      <c r="AP158" s="36">
        <f t="shared" si="570"/>
        <v>0</v>
      </c>
      <c r="AQ158" s="36">
        <f t="shared" si="571"/>
        <v>0</v>
      </c>
      <c r="AR158" s="36">
        <f t="shared" si="572"/>
        <v>0</v>
      </c>
      <c r="AS158" s="31" t="str">
        <f t="shared" si="578"/>
        <v>SimulationStorage,1,</v>
      </c>
      <c r="AT158" s="31" t="str">
        <f t="shared" si="579"/>
        <v>AnalysisStorage,1,</v>
      </c>
      <c r="AU158" s="31" t="str">
        <f t="shared" si="580"/>
        <v>LogRuleEvaluation,0,</v>
      </c>
      <c r="AV158" s="31" t="str">
        <f t="shared" si="581"/>
        <v>ParallelSimulations,1,</v>
      </c>
      <c r="AW158" s="31" t="str">
        <f t="shared" si="582"/>
        <v>DurationStats,0,</v>
      </c>
      <c r="AX158" s="31" t="str">
        <f t="shared" si="583"/>
        <v>AnalysisThruStep,8,</v>
      </c>
      <c r="AY158" s="31" t="str">
        <f t="shared" si="584"/>
        <v>DontAbortOnErrorsThruStep,8,</v>
      </c>
      <c r="AZ158" s="31" t="str">
        <f t="shared" si="585"/>
        <v>BypassValidFileChecks,1,</v>
      </c>
      <c r="BA158" s="31" t="str">
        <f t="shared" si="586"/>
        <v>BypassInputChecks,0,</v>
      </c>
      <c r="BB158" s="31" t="str">
        <f t="shared" si="587"/>
        <v>BypassUMLHChecks,0,</v>
      </c>
      <c r="BC158" s="31" t="str">
        <f t="shared" si="588"/>
        <v>BypassCheckSimRules,0,</v>
      </c>
      <c r="BD158" s="31" t="str">
        <f t="shared" si="589"/>
        <v>BypassCheckCodeRules,0,</v>
      </c>
      <c r="BE158" s="31" t="str">
        <f t="shared" si="526"/>
        <v>StoreResultsToModelInput,1,</v>
      </c>
      <c r="BF158" s="31" t="str">
        <f t="shared" si="527"/>
        <v>StoreBEMDetails,0,</v>
      </c>
      <c r="BG158" s="31" t="str">
        <f t="shared" si="528"/>
        <v>ModelRpt_ALL,1,</v>
      </c>
      <c r="BH158" s="31" t="str">
        <f t="shared" si="529"/>
        <v>ExportHourlyResults_All,0,</v>
      </c>
      <c r="BI158" s="31" t="str">
        <f t="shared" si="530"/>
        <v>ComplianceReportPDF,0,</v>
      </c>
      <c r="BJ158" s="31" t="str">
        <f t="shared" si="531"/>
        <v>ComplianceReportXML,0,</v>
      </c>
      <c r="BK158" s="31" t="str">
        <f t="shared" si="532"/>
        <v>QuickAnalysis,0,</v>
      </c>
      <c r="BL158" s="31" t="str">
        <f t="shared" si="532"/>
        <v>PromptUserUMLHWarning,0,</v>
      </c>
      <c r="BM158" s="31" t="str">
        <f t="shared" si="533"/>
        <v>BypassOpenStudio_all,0,</v>
      </c>
      <c r="BN158" s="31" t="str">
        <f t="shared" si="534"/>
        <v>BypassOpenStudio_zp,0,</v>
      </c>
      <c r="BO158" s="31" t="str">
        <f t="shared" si="535"/>
        <v>BypassOpenStudio_zb,0,</v>
      </c>
      <c r="BP158" s="31" t="str">
        <f t="shared" si="536"/>
        <v>BypassOpenStudio_ap,0,</v>
      </c>
      <c r="BQ158" s="31" t="str">
        <f t="shared" si="537"/>
        <v>BypassOpenStudio_ab,0,</v>
      </c>
      <c r="BR158" s="31" t="str">
        <f t="shared" si="538"/>
        <v>BypassOpenStudio_zp,0,</v>
      </c>
      <c r="BS158" s="31" t="str">
        <f t="shared" si="539"/>
        <v>BypassOpenStudio_zb,0,</v>
      </c>
      <c r="BT158" s="31" t="str">
        <f t="shared" si="540"/>
        <v>BypassOpenStudio_ap,0,</v>
      </c>
      <c r="BU158" s="31" t="str">
        <f t="shared" si="541"/>
        <v>BypassOpenStudio_ab,0,</v>
      </c>
    </row>
    <row r="159" spans="1:73" hidden="1" outlineLevel="1" x14ac:dyDescent="0.25">
      <c r="A159" s="39">
        <f t="shared" si="542"/>
        <v>0</v>
      </c>
      <c r="B159" s="27" t="str">
        <f t="shared" si="543"/>
        <v>SoftwareSensitivity2016Tests\DetailedGeometry\x.cibd16</v>
      </c>
      <c r="C159" s="27" t="str">
        <f t="shared" si="544"/>
        <v>BatchOut_171026_r5178_FinalRel-v3-SSTSG_SSTDG\x.cibd16</v>
      </c>
      <c r="D159" s="27" t="str">
        <f t="shared" si="545"/>
        <v>BatchOut_171026_r5178_FinalRel-v3-SSTSG_SSTDG\XML\</v>
      </c>
      <c r="E159" s="9" t="str">
        <f t="shared" si="546"/>
        <v>x</v>
      </c>
      <c r="F159" s="22"/>
      <c r="G159" s="29"/>
      <c r="H159" s="23" t="str">
        <f t="shared" si="547"/>
        <v/>
      </c>
      <c r="I159" s="9" t="s">
        <v>11</v>
      </c>
      <c r="J15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9" s="15" t="s">
        <v>1</v>
      </c>
      <c r="L159" s="36">
        <f t="shared" si="573"/>
        <v>0</v>
      </c>
      <c r="M159" s="91" t="str">
        <f t="shared" si="548"/>
        <v>x</v>
      </c>
      <c r="N159" s="90" t="s">
        <v>149</v>
      </c>
      <c r="O159" s="28" t="str">
        <f t="shared" si="574"/>
        <v>x</v>
      </c>
      <c r="P159" s="36">
        <f t="shared" si="652"/>
        <v>1</v>
      </c>
      <c r="Q159" s="36">
        <f t="shared" si="652"/>
        <v>1</v>
      </c>
      <c r="R159" s="36">
        <f t="shared" si="652"/>
        <v>0</v>
      </c>
      <c r="S159" s="36">
        <f t="shared" si="652"/>
        <v>1</v>
      </c>
      <c r="T159" s="36">
        <f t="shared" si="652"/>
        <v>0</v>
      </c>
      <c r="U159" s="36">
        <f t="shared" si="652"/>
        <v>8</v>
      </c>
      <c r="V159" s="36">
        <f t="shared" si="652"/>
        <v>8</v>
      </c>
      <c r="W159" s="36">
        <f t="shared" si="652"/>
        <v>1</v>
      </c>
      <c r="X159" s="36">
        <f t="shared" si="652"/>
        <v>0</v>
      </c>
      <c r="Y159" s="36">
        <f t="shared" si="652"/>
        <v>0</v>
      </c>
      <c r="Z159" s="36">
        <f t="shared" si="652"/>
        <v>0</v>
      </c>
      <c r="AA159" s="36">
        <f t="shared" si="652"/>
        <v>0</v>
      </c>
      <c r="AB159" s="36">
        <f t="shared" si="652"/>
        <v>1</v>
      </c>
      <c r="AC159" s="36">
        <f t="shared" si="560"/>
        <v>0</v>
      </c>
      <c r="AD159" s="36">
        <f t="shared" si="561"/>
        <v>1</v>
      </c>
      <c r="AE159" s="36">
        <f t="shared" si="561"/>
        <v>0</v>
      </c>
      <c r="AF159" s="36">
        <f t="shared" ref="AF159:AG159" si="667">AF158</f>
        <v>0</v>
      </c>
      <c r="AG159" s="36">
        <f t="shared" si="667"/>
        <v>0</v>
      </c>
      <c r="AH159" s="36">
        <f t="shared" ref="AH159:AI159" si="668">AH158</f>
        <v>0</v>
      </c>
      <c r="AI159" s="36">
        <f t="shared" si="668"/>
        <v>0</v>
      </c>
      <c r="AJ159" s="36">
        <f t="shared" si="564"/>
        <v>0</v>
      </c>
      <c r="AK159" s="36">
        <f t="shared" si="565"/>
        <v>0</v>
      </c>
      <c r="AL159" s="36">
        <f t="shared" si="566"/>
        <v>0</v>
      </c>
      <c r="AM159" s="36">
        <f t="shared" si="567"/>
        <v>0</v>
      </c>
      <c r="AN159" s="36">
        <f t="shared" si="568"/>
        <v>0</v>
      </c>
      <c r="AO159" s="36">
        <f t="shared" si="569"/>
        <v>0</v>
      </c>
      <c r="AP159" s="36">
        <f t="shared" si="570"/>
        <v>0</v>
      </c>
      <c r="AQ159" s="36">
        <f t="shared" si="571"/>
        <v>0</v>
      </c>
      <c r="AR159" s="36">
        <f t="shared" si="572"/>
        <v>0</v>
      </c>
      <c r="AS159" s="31" t="str">
        <f t="shared" si="578"/>
        <v>SimulationStorage,1,</v>
      </c>
      <c r="AT159" s="31" t="str">
        <f t="shared" si="579"/>
        <v>AnalysisStorage,1,</v>
      </c>
      <c r="AU159" s="31" t="str">
        <f t="shared" si="580"/>
        <v>LogRuleEvaluation,0,</v>
      </c>
      <c r="AV159" s="31" t="str">
        <f t="shared" si="581"/>
        <v>ParallelSimulations,1,</v>
      </c>
      <c r="AW159" s="31" t="str">
        <f t="shared" si="582"/>
        <v>DurationStats,0,</v>
      </c>
      <c r="AX159" s="31" t="str">
        <f t="shared" si="583"/>
        <v>AnalysisThruStep,8,</v>
      </c>
      <c r="AY159" s="31" t="str">
        <f t="shared" si="584"/>
        <v>DontAbortOnErrorsThruStep,8,</v>
      </c>
      <c r="AZ159" s="31" t="str">
        <f t="shared" si="585"/>
        <v>BypassValidFileChecks,1,</v>
      </c>
      <c r="BA159" s="31" t="str">
        <f t="shared" si="586"/>
        <v>BypassInputChecks,0,</v>
      </c>
      <c r="BB159" s="31" t="str">
        <f t="shared" si="587"/>
        <v>BypassUMLHChecks,0,</v>
      </c>
      <c r="BC159" s="31" t="str">
        <f t="shared" si="588"/>
        <v>BypassCheckSimRules,0,</v>
      </c>
      <c r="BD159" s="31" t="str">
        <f t="shared" si="589"/>
        <v>BypassCheckCodeRules,0,</v>
      </c>
      <c r="BE159" s="31" t="str">
        <f t="shared" si="526"/>
        <v>StoreResultsToModelInput,1,</v>
      </c>
      <c r="BF159" s="31" t="str">
        <f t="shared" si="527"/>
        <v>StoreBEMDetails,0,</v>
      </c>
      <c r="BG159" s="31" t="str">
        <f t="shared" si="528"/>
        <v>ModelRpt_ALL,1,</v>
      </c>
      <c r="BH159" s="31" t="str">
        <f t="shared" si="529"/>
        <v>ExportHourlyResults_All,0,</v>
      </c>
      <c r="BI159" s="31" t="str">
        <f t="shared" si="530"/>
        <v>ComplianceReportPDF,0,</v>
      </c>
      <c r="BJ159" s="31" t="str">
        <f t="shared" si="531"/>
        <v>ComplianceReportXML,0,</v>
      </c>
      <c r="BK159" s="31" t="str">
        <f t="shared" si="532"/>
        <v>QuickAnalysis,0,</v>
      </c>
      <c r="BL159" s="31" t="str">
        <f t="shared" si="532"/>
        <v>PromptUserUMLHWarning,0,</v>
      </c>
      <c r="BM159" s="31" t="str">
        <f t="shared" si="533"/>
        <v>BypassOpenStudio_all,0,</v>
      </c>
      <c r="BN159" s="31" t="str">
        <f t="shared" si="534"/>
        <v>BypassOpenStudio_zp,0,</v>
      </c>
      <c r="BO159" s="31" t="str">
        <f t="shared" si="535"/>
        <v>BypassOpenStudio_zb,0,</v>
      </c>
      <c r="BP159" s="31" t="str">
        <f t="shared" si="536"/>
        <v>BypassOpenStudio_ap,0,</v>
      </c>
      <c r="BQ159" s="31" t="str">
        <f t="shared" si="537"/>
        <v>BypassOpenStudio_ab,0,</v>
      </c>
      <c r="BR159" s="31" t="str">
        <f t="shared" si="538"/>
        <v>BypassOpenStudio_zp,0,</v>
      </c>
      <c r="BS159" s="31" t="str">
        <f t="shared" si="539"/>
        <v>BypassOpenStudio_zb,0,</v>
      </c>
      <c r="BT159" s="31" t="str">
        <f t="shared" si="540"/>
        <v>BypassOpenStudio_ap,0,</v>
      </c>
      <c r="BU159" s="31" t="str">
        <f t="shared" si="541"/>
        <v>BypassOpenStudio_ab,0,</v>
      </c>
    </row>
    <row r="160" spans="1:73" hidden="1" outlineLevel="1" x14ac:dyDescent="0.25">
      <c r="A160" s="39">
        <f t="shared" si="542"/>
        <v>0</v>
      </c>
      <c r="B160" s="27" t="str">
        <f t="shared" si="543"/>
        <v>SoftwareSensitivity2016Tests\DetailedGeometry\x.cibd16</v>
      </c>
      <c r="C160" s="27" t="str">
        <f t="shared" si="544"/>
        <v>BatchOut_171026_r5178_FinalRel-v3-SSTSG_SSTDG\x.cibd16</v>
      </c>
      <c r="D160" s="27" t="str">
        <f t="shared" si="545"/>
        <v>BatchOut_171026_r5178_FinalRel-v3-SSTSG_SSTDG\XML\</v>
      </c>
      <c r="E160" s="9" t="str">
        <f t="shared" si="546"/>
        <v>x</v>
      </c>
      <c r="F160" s="22"/>
      <c r="G160" s="29"/>
      <c r="H160" s="23" t="str">
        <f t="shared" si="547"/>
        <v/>
      </c>
      <c r="I160" s="9" t="s">
        <v>11</v>
      </c>
      <c r="J16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0" s="15" t="s">
        <v>1</v>
      </c>
      <c r="L160" s="36">
        <f t="shared" si="573"/>
        <v>0</v>
      </c>
      <c r="M160" s="91" t="str">
        <f t="shared" si="548"/>
        <v>x</v>
      </c>
      <c r="N160" s="90" t="s">
        <v>149</v>
      </c>
      <c r="O160" s="28" t="str">
        <f t="shared" si="574"/>
        <v>x</v>
      </c>
      <c r="P160" s="36">
        <f t="shared" si="652"/>
        <v>1</v>
      </c>
      <c r="Q160" s="36">
        <f t="shared" si="652"/>
        <v>1</v>
      </c>
      <c r="R160" s="36">
        <f t="shared" si="652"/>
        <v>0</v>
      </c>
      <c r="S160" s="36">
        <f t="shared" si="652"/>
        <v>1</v>
      </c>
      <c r="T160" s="36">
        <f t="shared" si="652"/>
        <v>0</v>
      </c>
      <c r="U160" s="36">
        <f t="shared" si="652"/>
        <v>8</v>
      </c>
      <c r="V160" s="36">
        <f t="shared" si="652"/>
        <v>8</v>
      </c>
      <c r="W160" s="36">
        <f t="shared" si="652"/>
        <v>1</v>
      </c>
      <c r="X160" s="36">
        <f t="shared" si="652"/>
        <v>0</v>
      </c>
      <c r="Y160" s="36">
        <f t="shared" si="652"/>
        <v>0</v>
      </c>
      <c r="Z160" s="36">
        <f t="shared" si="652"/>
        <v>0</v>
      </c>
      <c r="AA160" s="36">
        <f t="shared" si="652"/>
        <v>0</v>
      </c>
      <c r="AB160" s="36">
        <f t="shared" si="652"/>
        <v>1</v>
      </c>
      <c r="AC160" s="36">
        <f t="shared" si="560"/>
        <v>0</v>
      </c>
      <c r="AD160" s="36">
        <f t="shared" si="561"/>
        <v>1</v>
      </c>
      <c r="AE160" s="36">
        <f t="shared" si="561"/>
        <v>0</v>
      </c>
      <c r="AF160" s="36">
        <f t="shared" ref="AF160:AG160" si="669">AF159</f>
        <v>0</v>
      </c>
      <c r="AG160" s="36">
        <f t="shared" si="669"/>
        <v>0</v>
      </c>
      <c r="AH160" s="36">
        <f t="shared" ref="AH160:AI160" si="670">AH159</f>
        <v>0</v>
      </c>
      <c r="AI160" s="36">
        <f t="shared" si="670"/>
        <v>0</v>
      </c>
      <c r="AJ160" s="36">
        <f t="shared" si="564"/>
        <v>0</v>
      </c>
      <c r="AK160" s="36">
        <f t="shared" si="565"/>
        <v>0</v>
      </c>
      <c r="AL160" s="36">
        <f t="shared" si="566"/>
        <v>0</v>
      </c>
      <c r="AM160" s="36">
        <f t="shared" si="567"/>
        <v>0</v>
      </c>
      <c r="AN160" s="36">
        <f t="shared" si="568"/>
        <v>0</v>
      </c>
      <c r="AO160" s="36">
        <f t="shared" si="569"/>
        <v>0</v>
      </c>
      <c r="AP160" s="36">
        <f t="shared" si="570"/>
        <v>0</v>
      </c>
      <c r="AQ160" s="36">
        <f t="shared" si="571"/>
        <v>0</v>
      </c>
      <c r="AR160" s="36">
        <f t="shared" si="572"/>
        <v>0</v>
      </c>
      <c r="AS160" s="31" t="str">
        <f t="shared" si="578"/>
        <v>SimulationStorage,1,</v>
      </c>
      <c r="AT160" s="31" t="str">
        <f t="shared" si="579"/>
        <v>AnalysisStorage,1,</v>
      </c>
      <c r="AU160" s="31" t="str">
        <f t="shared" si="580"/>
        <v>LogRuleEvaluation,0,</v>
      </c>
      <c r="AV160" s="31" t="str">
        <f t="shared" si="581"/>
        <v>ParallelSimulations,1,</v>
      </c>
      <c r="AW160" s="31" t="str">
        <f t="shared" si="582"/>
        <v>DurationStats,0,</v>
      </c>
      <c r="AX160" s="31" t="str">
        <f t="shared" si="583"/>
        <v>AnalysisThruStep,8,</v>
      </c>
      <c r="AY160" s="31" t="str">
        <f t="shared" si="584"/>
        <v>DontAbortOnErrorsThruStep,8,</v>
      </c>
      <c r="AZ160" s="31" t="str">
        <f t="shared" si="585"/>
        <v>BypassValidFileChecks,1,</v>
      </c>
      <c r="BA160" s="31" t="str">
        <f t="shared" si="586"/>
        <v>BypassInputChecks,0,</v>
      </c>
      <c r="BB160" s="31" t="str">
        <f t="shared" si="587"/>
        <v>BypassUMLHChecks,0,</v>
      </c>
      <c r="BC160" s="31" t="str">
        <f t="shared" si="588"/>
        <v>BypassCheckSimRules,0,</v>
      </c>
      <c r="BD160" s="31" t="str">
        <f t="shared" si="589"/>
        <v>BypassCheckCodeRules,0,</v>
      </c>
      <c r="BE160" s="31" t="str">
        <f t="shared" si="526"/>
        <v>StoreResultsToModelInput,1,</v>
      </c>
      <c r="BF160" s="31" t="str">
        <f t="shared" si="527"/>
        <v>StoreBEMDetails,0,</v>
      </c>
      <c r="BG160" s="31" t="str">
        <f t="shared" si="528"/>
        <v>ModelRpt_ALL,1,</v>
      </c>
      <c r="BH160" s="31" t="str">
        <f t="shared" si="529"/>
        <v>ExportHourlyResults_All,0,</v>
      </c>
      <c r="BI160" s="31" t="str">
        <f t="shared" si="530"/>
        <v>ComplianceReportPDF,0,</v>
      </c>
      <c r="BJ160" s="31" t="str">
        <f t="shared" si="531"/>
        <v>ComplianceReportXML,0,</v>
      </c>
      <c r="BK160" s="31" t="str">
        <f t="shared" si="532"/>
        <v>QuickAnalysis,0,</v>
      </c>
      <c r="BL160" s="31" t="str">
        <f t="shared" si="532"/>
        <v>PromptUserUMLHWarning,0,</v>
      </c>
      <c r="BM160" s="31" t="str">
        <f t="shared" si="533"/>
        <v>BypassOpenStudio_all,0,</v>
      </c>
      <c r="BN160" s="31" t="str">
        <f t="shared" si="534"/>
        <v>BypassOpenStudio_zp,0,</v>
      </c>
      <c r="BO160" s="31" t="str">
        <f t="shared" si="535"/>
        <v>BypassOpenStudio_zb,0,</v>
      </c>
      <c r="BP160" s="31" t="str">
        <f t="shared" si="536"/>
        <v>BypassOpenStudio_ap,0,</v>
      </c>
      <c r="BQ160" s="31" t="str">
        <f t="shared" si="537"/>
        <v>BypassOpenStudio_ab,0,</v>
      </c>
      <c r="BR160" s="31" t="str">
        <f t="shared" si="538"/>
        <v>BypassOpenStudio_zp,0,</v>
      </c>
      <c r="BS160" s="31" t="str">
        <f t="shared" si="539"/>
        <v>BypassOpenStudio_zb,0,</v>
      </c>
      <c r="BT160" s="31" t="str">
        <f t="shared" si="540"/>
        <v>BypassOpenStudio_ap,0,</v>
      </c>
      <c r="BU160" s="31" t="str">
        <f t="shared" si="541"/>
        <v>BypassOpenStudio_ab,0,</v>
      </c>
    </row>
    <row r="161" spans="1:73" hidden="1" outlineLevel="1" x14ac:dyDescent="0.25">
      <c r="A161" s="39">
        <f t="shared" si="542"/>
        <v>0</v>
      </c>
      <c r="B161" s="27" t="str">
        <f t="shared" si="543"/>
        <v>SoftwareSensitivity2016Tests\DetailedGeometry\x.cibd16</v>
      </c>
      <c r="C161" s="27" t="str">
        <f t="shared" si="544"/>
        <v>BatchOut_171026_r5178_FinalRel-v3-SSTSG_SSTDG\x.cibd16</v>
      </c>
      <c r="D161" s="27" t="str">
        <f t="shared" si="545"/>
        <v>BatchOut_171026_r5178_FinalRel-v3-SSTSG_SSTDG\XML\</v>
      </c>
      <c r="E161" s="9" t="str">
        <f t="shared" si="546"/>
        <v>x</v>
      </c>
      <c r="F161" s="22"/>
      <c r="G161" s="29"/>
      <c r="H161" s="23" t="str">
        <f t="shared" si="547"/>
        <v/>
      </c>
      <c r="I161" s="9" t="s">
        <v>11</v>
      </c>
      <c r="J16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1" s="15" t="s">
        <v>1</v>
      </c>
      <c r="L161" s="36">
        <f t="shared" si="573"/>
        <v>0</v>
      </c>
      <c r="M161" s="91" t="str">
        <f t="shared" si="548"/>
        <v>x</v>
      </c>
      <c r="N161" s="90" t="s">
        <v>149</v>
      </c>
      <c r="O161" s="28" t="str">
        <f t="shared" si="574"/>
        <v>x</v>
      </c>
      <c r="P161" s="36">
        <f t="shared" si="652"/>
        <v>1</v>
      </c>
      <c r="Q161" s="36">
        <f t="shared" si="652"/>
        <v>1</v>
      </c>
      <c r="R161" s="36">
        <f t="shared" si="652"/>
        <v>0</v>
      </c>
      <c r="S161" s="36">
        <f t="shared" si="652"/>
        <v>1</v>
      </c>
      <c r="T161" s="36">
        <f t="shared" si="652"/>
        <v>0</v>
      </c>
      <c r="U161" s="36">
        <f t="shared" si="652"/>
        <v>8</v>
      </c>
      <c r="V161" s="36">
        <f t="shared" si="652"/>
        <v>8</v>
      </c>
      <c r="W161" s="36">
        <f t="shared" si="652"/>
        <v>1</v>
      </c>
      <c r="X161" s="36">
        <f t="shared" si="652"/>
        <v>0</v>
      </c>
      <c r="Y161" s="36">
        <f t="shared" si="652"/>
        <v>0</v>
      </c>
      <c r="Z161" s="36">
        <f t="shared" si="652"/>
        <v>0</v>
      </c>
      <c r="AA161" s="36">
        <f t="shared" si="652"/>
        <v>0</v>
      </c>
      <c r="AB161" s="36">
        <f t="shared" si="652"/>
        <v>1</v>
      </c>
      <c r="AC161" s="36">
        <f t="shared" si="560"/>
        <v>0</v>
      </c>
      <c r="AD161" s="36">
        <f t="shared" si="561"/>
        <v>1</v>
      </c>
      <c r="AE161" s="36">
        <f t="shared" si="561"/>
        <v>0</v>
      </c>
      <c r="AF161" s="36">
        <f t="shared" ref="AF161:AG161" si="671">AF160</f>
        <v>0</v>
      </c>
      <c r="AG161" s="36">
        <f t="shared" si="671"/>
        <v>0</v>
      </c>
      <c r="AH161" s="36">
        <f t="shared" ref="AH161:AI161" si="672">AH160</f>
        <v>0</v>
      </c>
      <c r="AI161" s="36">
        <f t="shared" si="672"/>
        <v>0</v>
      </c>
      <c r="AJ161" s="36">
        <f t="shared" si="564"/>
        <v>0</v>
      </c>
      <c r="AK161" s="36">
        <f t="shared" si="565"/>
        <v>0</v>
      </c>
      <c r="AL161" s="36">
        <f t="shared" si="566"/>
        <v>0</v>
      </c>
      <c r="AM161" s="36">
        <f t="shared" si="567"/>
        <v>0</v>
      </c>
      <c r="AN161" s="36">
        <f t="shared" si="568"/>
        <v>0</v>
      </c>
      <c r="AO161" s="36">
        <f t="shared" si="569"/>
        <v>0</v>
      </c>
      <c r="AP161" s="36">
        <f t="shared" si="570"/>
        <v>0</v>
      </c>
      <c r="AQ161" s="36">
        <f t="shared" si="571"/>
        <v>0</v>
      </c>
      <c r="AR161" s="36">
        <f t="shared" si="572"/>
        <v>0</v>
      </c>
      <c r="AS161" s="31" t="str">
        <f t="shared" si="578"/>
        <v>SimulationStorage,1,</v>
      </c>
      <c r="AT161" s="31" t="str">
        <f t="shared" si="579"/>
        <v>AnalysisStorage,1,</v>
      </c>
      <c r="AU161" s="31" t="str">
        <f t="shared" si="580"/>
        <v>LogRuleEvaluation,0,</v>
      </c>
      <c r="AV161" s="31" t="str">
        <f t="shared" si="581"/>
        <v>ParallelSimulations,1,</v>
      </c>
      <c r="AW161" s="31" t="str">
        <f t="shared" si="582"/>
        <v>DurationStats,0,</v>
      </c>
      <c r="AX161" s="31" t="str">
        <f t="shared" si="583"/>
        <v>AnalysisThruStep,8,</v>
      </c>
      <c r="AY161" s="31" t="str">
        <f t="shared" si="584"/>
        <v>DontAbortOnErrorsThruStep,8,</v>
      </c>
      <c r="AZ161" s="31" t="str">
        <f t="shared" si="585"/>
        <v>BypassValidFileChecks,1,</v>
      </c>
      <c r="BA161" s="31" t="str">
        <f t="shared" si="586"/>
        <v>BypassInputChecks,0,</v>
      </c>
      <c r="BB161" s="31" t="str">
        <f t="shared" si="587"/>
        <v>BypassUMLHChecks,0,</v>
      </c>
      <c r="BC161" s="31" t="str">
        <f t="shared" si="588"/>
        <v>BypassCheckSimRules,0,</v>
      </c>
      <c r="BD161" s="31" t="str">
        <f t="shared" si="589"/>
        <v>BypassCheckCodeRules,0,</v>
      </c>
      <c r="BE161" s="31" t="str">
        <f t="shared" si="526"/>
        <v>StoreResultsToModelInput,1,</v>
      </c>
      <c r="BF161" s="31" t="str">
        <f t="shared" si="527"/>
        <v>StoreBEMDetails,0,</v>
      </c>
      <c r="BG161" s="31" t="str">
        <f t="shared" si="528"/>
        <v>ModelRpt_ALL,1,</v>
      </c>
      <c r="BH161" s="31" t="str">
        <f t="shared" si="529"/>
        <v>ExportHourlyResults_All,0,</v>
      </c>
      <c r="BI161" s="31" t="str">
        <f t="shared" si="530"/>
        <v>ComplianceReportPDF,0,</v>
      </c>
      <c r="BJ161" s="31" t="str">
        <f t="shared" si="531"/>
        <v>ComplianceReportXML,0,</v>
      </c>
      <c r="BK161" s="31" t="str">
        <f t="shared" si="532"/>
        <v>QuickAnalysis,0,</v>
      </c>
      <c r="BL161" s="31" t="str">
        <f t="shared" si="532"/>
        <v>PromptUserUMLHWarning,0,</v>
      </c>
      <c r="BM161" s="31" t="str">
        <f t="shared" si="533"/>
        <v>BypassOpenStudio_all,0,</v>
      </c>
      <c r="BN161" s="31" t="str">
        <f t="shared" si="534"/>
        <v>BypassOpenStudio_zp,0,</v>
      </c>
      <c r="BO161" s="31" t="str">
        <f t="shared" si="535"/>
        <v>BypassOpenStudio_zb,0,</v>
      </c>
      <c r="BP161" s="31" t="str">
        <f t="shared" si="536"/>
        <v>BypassOpenStudio_ap,0,</v>
      </c>
      <c r="BQ161" s="31" t="str">
        <f t="shared" si="537"/>
        <v>BypassOpenStudio_ab,0,</v>
      </c>
      <c r="BR161" s="31" t="str">
        <f t="shared" si="538"/>
        <v>BypassOpenStudio_zp,0,</v>
      </c>
      <c r="BS161" s="31" t="str">
        <f t="shared" si="539"/>
        <v>BypassOpenStudio_zb,0,</v>
      </c>
      <c r="BT161" s="31" t="str">
        <f t="shared" si="540"/>
        <v>BypassOpenStudio_ap,0,</v>
      </c>
      <c r="BU161" s="31" t="str">
        <f t="shared" si="541"/>
        <v>BypassOpenStudio_ab,0,</v>
      </c>
    </row>
    <row r="162" spans="1:73" hidden="1" outlineLevel="1" x14ac:dyDescent="0.25">
      <c r="A162" s="39">
        <f t="shared" si="542"/>
        <v>0</v>
      </c>
      <c r="B162" s="27" t="str">
        <f t="shared" si="543"/>
        <v>SoftwareSensitivity2016Tests\DetailedGeometry\x.cibd16</v>
      </c>
      <c r="C162" s="27" t="str">
        <f t="shared" si="544"/>
        <v>BatchOut_171026_r5178_FinalRel-v3-SSTSG_SSTDG\x.cibd16</v>
      </c>
      <c r="D162" s="27" t="str">
        <f t="shared" si="545"/>
        <v>BatchOut_171026_r5178_FinalRel-v3-SSTSG_SSTDG\XML\</v>
      </c>
      <c r="E162" s="9" t="str">
        <f t="shared" si="546"/>
        <v>x</v>
      </c>
      <c r="F162" s="22"/>
      <c r="G162" s="29"/>
      <c r="H162" s="23" t="str">
        <f t="shared" si="547"/>
        <v/>
      </c>
      <c r="I162" s="9" t="s">
        <v>11</v>
      </c>
      <c r="J16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2" s="15" t="s">
        <v>1</v>
      </c>
      <c r="L162" s="36">
        <f t="shared" si="573"/>
        <v>0</v>
      </c>
      <c r="M162" s="91" t="str">
        <f t="shared" si="548"/>
        <v>x</v>
      </c>
      <c r="N162" s="90" t="s">
        <v>149</v>
      </c>
      <c r="O162" s="28" t="str">
        <f t="shared" si="574"/>
        <v>x</v>
      </c>
      <c r="P162" s="36">
        <f t="shared" si="652"/>
        <v>1</v>
      </c>
      <c r="Q162" s="36">
        <f t="shared" si="652"/>
        <v>1</v>
      </c>
      <c r="R162" s="36">
        <f t="shared" si="652"/>
        <v>0</v>
      </c>
      <c r="S162" s="36">
        <f t="shared" si="652"/>
        <v>1</v>
      </c>
      <c r="T162" s="36">
        <f t="shared" si="652"/>
        <v>0</v>
      </c>
      <c r="U162" s="36">
        <f t="shared" si="652"/>
        <v>8</v>
      </c>
      <c r="V162" s="36">
        <f t="shared" si="652"/>
        <v>8</v>
      </c>
      <c r="W162" s="36">
        <f t="shared" si="652"/>
        <v>1</v>
      </c>
      <c r="X162" s="36">
        <f t="shared" si="652"/>
        <v>0</v>
      </c>
      <c r="Y162" s="36">
        <f t="shared" si="652"/>
        <v>0</v>
      </c>
      <c r="Z162" s="36">
        <f t="shared" si="652"/>
        <v>0</v>
      </c>
      <c r="AA162" s="36">
        <f t="shared" si="652"/>
        <v>0</v>
      </c>
      <c r="AB162" s="36">
        <f t="shared" si="652"/>
        <v>1</v>
      </c>
      <c r="AC162" s="36">
        <f t="shared" si="560"/>
        <v>0</v>
      </c>
      <c r="AD162" s="36">
        <f t="shared" si="561"/>
        <v>1</v>
      </c>
      <c r="AE162" s="36">
        <f t="shared" si="561"/>
        <v>0</v>
      </c>
      <c r="AF162" s="36">
        <f t="shared" ref="AF162:AG162" si="673">AF161</f>
        <v>0</v>
      </c>
      <c r="AG162" s="36">
        <f t="shared" si="673"/>
        <v>0</v>
      </c>
      <c r="AH162" s="36">
        <f t="shared" ref="AH162:AI162" si="674">AH161</f>
        <v>0</v>
      </c>
      <c r="AI162" s="36">
        <f t="shared" si="674"/>
        <v>0</v>
      </c>
      <c r="AJ162" s="36">
        <f t="shared" si="564"/>
        <v>0</v>
      </c>
      <c r="AK162" s="36">
        <f t="shared" si="565"/>
        <v>0</v>
      </c>
      <c r="AL162" s="36">
        <f t="shared" si="566"/>
        <v>0</v>
      </c>
      <c r="AM162" s="36">
        <f t="shared" si="567"/>
        <v>0</v>
      </c>
      <c r="AN162" s="36">
        <f t="shared" si="568"/>
        <v>0</v>
      </c>
      <c r="AO162" s="36">
        <f t="shared" si="569"/>
        <v>0</v>
      </c>
      <c r="AP162" s="36">
        <f t="shared" si="570"/>
        <v>0</v>
      </c>
      <c r="AQ162" s="36">
        <f t="shared" si="571"/>
        <v>0</v>
      </c>
      <c r="AR162" s="36">
        <f t="shared" si="572"/>
        <v>0</v>
      </c>
      <c r="AS162" s="31" t="str">
        <f t="shared" si="578"/>
        <v>SimulationStorage,1,</v>
      </c>
      <c r="AT162" s="31" t="str">
        <f t="shared" si="579"/>
        <v>AnalysisStorage,1,</v>
      </c>
      <c r="AU162" s="31" t="str">
        <f t="shared" si="580"/>
        <v>LogRuleEvaluation,0,</v>
      </c>
      <c r="AV162" s="31" t="str">
        <f t="shared" si="581"/>
        <v>ParallelSimulations,1,</v>
      </c>
      <c r="AW162" s="31" t="str">
        <f t="shared" si="582"/>
        <v>DurationStats,0,</v>
      </c>
      <c r="AX162" s="31" t="str">
        <f t="shared" si="583"/>
        <v>AnalysisThruStep,8,</v>
      </c>
      <c r="AY162" s="31" t="str">
        <f t="shared" si="584"/>
        <v>DontAbortOnErrorsThruStep,8,</v>
      </c>
      <c r="AZ162" s="31" t="str">
        <f t="shared" si="585"/>
        <v>BypassValidFileChecks,1,</v>
      </c>
      <c r="BA162" s="31" t="str">
        <f t="shared" si="586"/>
        <v>BypassInputChecks,0,</v>
      </c>
      <c r="BB162" s="31" t="str">
        <f t="shared" si="587"/>
        <v>BypassUMLHChecks,0,</v>
      </c>
      <c r="BC162" s="31" t="str">
        <f t="shared" si="588"/>
        <v>BypassCheckSimRules,0,</v>
      </c>
      <c r="BD162" s="31" t="str">
        <f t="shared" si="589"/>
        <v>BypassCheckCodeRules,0,</v>
      </c>
      <c r="BE162" s="31" t="str">
        <f t="shared" si="526"/>
        <v>StoreResultsToModelInput,1,</v>
      </c>
      <c r="BF162" s="31" t="str">
        <f t="shared" si="527"/>
        <v>StoreBEMDetails,0,</v>
      </c>
      <c r="BG162" s="31" t="str">
        <f t="shared" si="528"/>
        <v>ModelRpt_ALL,1,</v>
      </c>
      <c r="BH162" s="31" t="str">
        <f t="shared" si="529"/>
        <v>ExportHourlyResults_All,0,</v>
      </c>
      <c r="BI162" s="31" t="str">
        <f t="shared" si="530"/>
        <v>ComplianceReportPDF,0,</v>
      </c>
      <c r="BJ162" s="31" t="str">
        <f t="shared" si="531"/>
        <v>ComplianceReportXML,0,</v>
      </c>
      <c r="BK162" s="31" t="str">
        <f t="shared" si="532"/>
        <v>QuickAnalysis,0,</v>
      </c>
      <c r="BL162" s="31" t="str">
        <f t="shared" si="532"/>
        <v>PromptUserUMLHWarning,0,</v>
      </c>
      <c r="BM162" s="31" t="str">
        <f t="shared" si="533"/>
        <v>BypassOpenStudio_all,0,</v>
      </c>
      <c r="BN162" s="31" t="str">
        <f t="shared" si="534"/>
        <v>BypassOpenStudio_zp,0,</v>
      </c>
      <c r="BO162" s="31" t="str">
        <f t="shared" si="535"/>
        <v>BypassOpenStudio_zb,0,</v>
      </c>
      <c r="BP162" s="31" t="str">
        <f t="shared" si="536"/>
        <v>BypassOpenStudio_ap,0,</v>
      </c>
      <c r="BQ162" s="31" t="str">
        <f t="shared" si="537"/>
        <v>BypassOpenStudio_ab,0,</v>
      </c>
      <c r="BR162" s="31" t="str">
        <f t="shared" si="538"/>
        <v>BypassOpenStudio_zp,0,</v>
      </c>
      <c r="BS162" s="31" t="str">
        <f t="shared" si="539"/>
        <v>BypassOpenStudio_zb,0,</v>
      </c>
      <c r="BT162" s="31" t="str">
        <f t="shared" si="540"/>
        <v>BypassOpenStudio_ap,0,</v>
      </c>
      <c r="BU162" s="31" t="str">
        <f t="shared" si="541"/>
        <v>BypassOpenStudio_ab,0,</v>
      </c>
    </row>
    <row r="163" spans="1:73" hidden="1" outlineLevel="1" x14ac:dyDescent="0.25">
      <c r="A163" s="39">
        <f t="shared" si="542"/>
        <v>0</v>
      </c>
      <c r="B163" s="27" t="str">
        <f t="shared" si="543"/>
        <v>SoftwareSensitivity2016Tests\DetailedGeometry\x.cibd16</v>
      </c>
      <c r="C163" s="27" t="str">
        <f t="shared" si="544"/>
        <v>BatchOut_171026_r5178_FinalRel-v3-SSTSG_SSTDG\x.cibd16</v>
      </c>
      <c r="D163" s="27" t="str">
        <f t="shared" si="545"/>
        <v>BatchOut_171026_r5178_FinalRel-v3-SSTSG_SSTDG\XML\</v>
      </c>
      <c r="E163" s="9" t="str">
        <f t="shared" si="546"/>
        <v>x</v>
      </c>
      <c r="F163" s="22"/>
      <c r="G163" s="29"/>
      <c r="H163" s="23" t="str">
        <f t="shared" si="547"/>
        <v/>
      </c>
      <c r="I163" s="9" t="s">
        <v>11</v>
      </c>
      <c r="J16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3" s="15" t="s">
        <v>1</v>
      </c>
      <c r="L163" s="36">
        <f t="shared" si="573"/>
        <v>0</v>
      </c>
      <c r="M163" s="91" t="str">
        <f t="shared" si="548"/>
        <v>x</v>
      </c>
      <c r="N163" s="90" t="s">
        <v>149</v>
      </c>
      <c r="O163" s="28" t="str">
        <f t="shared" si="574"/>
        <v>x</v>
      </c>
      <c r="P163" s="36">
        <f t="shared" si="652"/>
        <v>1</v>
      </c>
      <c r="Q163" s="36">
        <f t="shared" si="652"/>
        <v>1</v>
      </c>
      <c r="R163" s="36">
        <f t="shared" si="652"/>
        <v>0</v>
      </c>
      <c r="S163" s="36">
        <f t="shared" si="652"/>
        <v>1</v>
      </c>
      <c r="T163" s="36">
        <f t="shared" si="652"/>
        <v>0</v>
      </c>
      <c r="U163" s="36">
        <f t="shared" si="652"/>
        <v>8</v>
      </c>
      <c r="V163" s="36">
        <f t="shared" si="652"/>
        <v>8</v>
      </c>
      <c r="W163" s="36">
        <f t="shared" si="652"/>
        <v>1</v>
      </c>
      <c r="X163" s="36">
        <f t="shared" si="652"/>
        <v>0</v>
      </c>
      <c r="Y163" s="36">
        <f t="shared" si="652"/>
        <v>0</v>
      </c>
      <c r="Z163" s="36">
        <f t="shared" si="652"/>
        <v>0</v>
      </c>
      <c r="AA163" s="36">
        <f t="shared" si="652"/>
        <v>0</v>
      </c>
      <c r="AB163" s="36">
        <f t="shared" si="652"/>
        <v>1</v>
      </c>
      <c r="AC163" s="36">
        <f t="shared" si="560"/>
        <v>0</v>
      </c>
      <c r="AD163" s="36">
        <f t="shared" si="561"/>
        <v>1</v>
      </c>
      <c r="AE163" s="36">
        <f t="shared" si="561"/>
        <v>0</v>
      </c>
      <c r="AF163" s="36">
        <f t="shared" ref="AF163:AG163" si="675">AF162</f>
        <v>0</v>
      </c>
      <c r="AG163" s="36">
        <f t="shared" si="675"/>
        <v>0</v>
      </c>
      <c r="AH163" s="36">
        <f t="shared" ref="AH163:AI163" si="676">AH162</f>
        <v>0</v>
      </c>
      <c r="AI163" s="36">
        <f t="shared" si="676"/>
        <v>0</v>
      </c>
      <c r="AJ163" s="36">
        <f t="shared" si="564"/>
        <v>0</v>
      </c>
      <c r="AK163" s="36">
        <f t="shared" si="565"/>
        <v>0</v>
      </c>
      <c r="AL163" s="36">
        <f t="shared" si="566"/>
        <v>0</v>
      </c>
      <c r="AM163" s="36">
        <f t="shared" si="567"/>
        <v>0</v>
      </c>
      <c r="AN163" s="36">
        <f t="shared" si="568"/>
        <v>0</v>
      </c>
      <c r="AO163" s="36">
        <f t="shared" si="569"/>
        <v>0</v>
      </c>
      <c r="AP163" s="36">
        <f t="shared" si="570"/>
        <v>0</v>
      </c>
      <c r="AQ163" s="36">
        <f t="shared" si="571"/>
        <v>0</v>
      </c>
      <c r="AR163" s="36">
        <f t="shared" si="572"/>
        <v>0</v>
      </c>
      <c r="AS163" s="31" t="str">
        <f t="shared" si="578"/>
        <v>SimulationStorage,1,</v>
      </c>
      <c r="AT163" s="31" t="str">
        <f t="shared" si="579"/>
        <v>AnalysisStorage,1,</v>
      </c>
      <c r="AU163" s="31" t="str">
        <f t="shared" si="580"/>
        <v>LogRuleEvaluation,0,</v>
      </c>
      <c r="AV163" s="31" t="str">
        <f t="shared" si="581"/>
        <v>ParallelSimulations,1,</v>
      </c>
      <c r="AW163" s="31" t="str">
        <f t="shared" si="582"/>
        <v>DurationStats,0,</v>
      </c>
      <c r="AX163" s="31" t="str">
        <f t="shared" si="583"/>
        <v>AnalysisThruStep,8,</v>
      </c>
      <c r="AY163" s="31" t="str">
        <f t="shared" si="584"/>
        <v>DontAbortOnErrorsThruStep,8,</v>
      </c>
      <c r="AZ163" s="31" t="str">
        <f t="shared" si="585"/>
        <v>BypassValidFileChecks,1,</v>
      </c>
      <c r="BA163" s="31" t="str">
        <f t="shared" si="586"/>
        <v>BypassInputChecks,0,</v>
      </c>
      <c r="BB163" s="31" t="str">
        <f t="shared" si="587"/>
        <v>BypassUMLHChecks,0,</v>
      </c>
      <c r="BC163" s="31" t="str">
        <f t="shared" si="588"/>
        <v>BypassCheckSimRules,0,</v>
      </c>
      <c r="BD163" s="31" t="str">
        <f t="shared" si="589"/>
        <v>BypassCheckCodeRules,0,</v>
      </c>
      <c r="BE163" s="31" t="str">
        <f t="shared" si="526"/>
        <v>StoreResultsToModelInput,1,</v>
      </c>
      <c r="BF163" s="31" t="str">
        <f t="shared" si="527"/>
        <v>StoreBEMDetails,0,</v>
      </c>
      <c r="BG163" s="31" t="str">
        <f t="shared" si="528"/>
        <v>ModelRpt_ALL,1,</v>
      </c>
      <c r="BH163" s="31" t="str">
        <f t="shared" si="529"/>
        <v>ExportHourlyResults_All,0,</v>
      </c>
      <c r="BI163" s="31" t="str">
        <f t="shared" si="530"/>
        <v>ComplianceReportPDF,0,</v>
      </c>
      <c r="BJ163" s="31" t="str">
        <f t="shared" si="531"/>
        <v>ComplianceReportXML,0,</v>
      </c>
      <c r="BK163" s="31" t="str">
        <f t="shared" si="532"/>
        <v>QuickAnalysis,0,</v>
      </c>
      <c r="BL163" s="31" t="str">
        <f t="shared" si="532"/>
        <v>PromptUserUMLHWarning,0,</v>
      </c>
      <c r="BM163" s="31" t="str">
        <f t="shared" si="533"/>
        <v>BypassOpenStudio_all,0,</v>
      </c>
      <c r="BN163" s="31" t="str">
        <f t="shared" si="534"/>
        <v>BypassOpenStudio_zp,0,</v>
      </c>
      <c r="BO163" s="31" t="str">
        <f t="shared" si="535"/>
        <v>BypassOpenStudio_zb,0,</v>
      </c>
      <c r="BP163" s="31" t="str">
        <f t="shared" si="536"/>
        <v>BypassOpenStudio_ap,0,</v>
      </c>
      <c r="BQ163" s="31" t="str">
        <f t="shared" si="537"/>
        <v>BypassOpenStudio_ab,0,</v>
      </c>
      <c r="BR163" s="31" t="str">
        <f t="shared" si="538"/>
        <v>BypassOpenStudio_zp,0,</v>
      </c>
      <c r="BS163" s="31" t="str">
        <f t="shared" si="539"/>
        <v>BypassOpenStudio_zb,0,</v>
      </c>
      <c r="BT163" s="31" t="str">
        <f t="shared" si="540"/>
        <v>BypassOpenStudio_ap,0,</v>
      </c>
      <c r="BU163" s="31" t="str">
        <f t="shared" si="541"/>
        <v>BypassOpenStudio_ab,0,</v>
      </c>
    </row>
    <row r="164" spans="1:73" hidden="1" outlineLevel="1" x14ac:dyDescent="0.25">
      <c r="A164" s="39">
        <f t="shared" si="542"/>
        <v>0</v>
      </c>
      <c r="B164" s="27" t="str">
        <f t="shared" si="543"/>
        <v>SoftwareSensitivity2016Tests\DetailedGeometry\x.cibd16</v>
      </c>
      <c r="C164" s="27" t="str">
        <f t="shared" si="544"/>
        <v>BatchOut_171026_r5178_FinalRel-v3-SSTSG_SSTDG\x.cibd16</v>
      </c>
      <c r="D164" s="27" t="str">
        <f t="shared" si="545"/>
        <v>BatchOut_171026_r5178_FinalRel-v3-SSTSG_SSTDG\XML\</v>
      </c>
      <c r="E164" s="9" t="str">
        <f t="shared" si="546"/>
        <v>x</v>
      </c>
      <c r="F164" s="22"/>
      <c r="G164" s="29"/>
      <c r="H164" s="23" t="str">
        <f t="shared" si="547"/>
        <v/>
      </c>
      <c r="I164" s="9" t="s">
        <v>11</v>
      </c>
      <c r="J16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4" s="15" t="s">
        <v>1</v>
      </c>
      <c r="L164" s="36">
        <f t="shared" si="573"/>
        <v>0</v>
      </c>
      <c r="M164" s="91" t="str">
        <f t="shared" si="548"/>
        <v>x</v>
      </c>
      <c r="N164" s="90" t="s">
        <v>149</v>
      </c>
      <c r="O164" s="28" t="str">
        <f t="shared" si="574"/>
        <v>x</v>
      </c>
      <c r="P164" s="36">
        <f t="shared" si="652"/>
        <v>1</v>
      </c>
      <c r="Q164" s="36">
        <f t="shared" si="652"/>
        <v>1</v>
      </c>
      <c r="R164" s="36">
        <f t="shared" si="652"/>
        <v>0</v>
      </c>
      <c r="S164" s="36">
        <f t="shared" si="652"/>
        <v>1</v>
      </c>
      <c r="T164" s="36">
        <f t="shared" si="652"/>
        <v>0</v>
      </c>
      <c r="U164" s="36">
        <f t="shared" si="652"/>
        <v>8</v>
      </c>
      <c r="V164" s="36">
        <f t="shared" si="652"/>
        <v>8</v>
      </c>
      <c r="W164" s="36">
        <f t="shared" si="652"/>
        <v>1</v>
      </c>
      <c r="X164" s="36">
        <f t="shared" si="652"/>
        <v>0</v>
      </c>
      <c r="Y164" s="36">
        <f t="shared" si="652"/>
        <v>0</v>
      </c>
      <c r="Z164" s="36">
        <f t="shared" si="652"/>
        <v>0</v>
      </c>
      <c r="AA164" s="36">
        <f t="shared" si="652"/>
        <v>0</v>
      </c>
      <c r="AB164" s="36">
        <f t="shared" si="652"/>
        <v>1</v>
      </c>
      <c r="AC164" s="36">
        <f t="shared" si="560"/>
        <v>0</v>
      </c>
      <c r="AD164" s="36">
        <f t="shared" si="561"/>
        <v>1</v>
      </c>
      <c r="AE164" s="36">
        <f t="shared" si="561"/>
        <v>0</v>
      </c>
      <c r="AF164" s="36">
        <f t="shared" ref="AF164:AG164" si="677">AF163</f>
        <v>0</v>
      </c>
      <c r="AG164" s="36">
        <f t="shared" si="677"/>
        <v>0</v>
      </c>
      <c r="AH164" s="36">
        <f t="shared" ref="AH164:AI164" si="678">AH163</f>
        <v>0</v>
      </c>
      <c r="AI164" s="36">
        <f t="shared" si="678"/>
        <v>0</v>
      </c>
      <c r="AJ164" s="36">
        <f t="shared" si="564"/>
        <v>0</v>
      </c>
      <c r="AK164" s="36">
        <f t="shared" si="565"/>
        <v>0</v>
      </c>
      <c r="AL164" s="36">
        <f t="shared" si="566"/>
        <v>0</v>
      </c>
      <c r="AM164" s="36">
        <f t="shared" si="567"/>
        <v>0</v>
      </c>
      <c r="AN164" s="36">
        <f t="shared" si="568"/>
        <v>0</v>
      </c>
      <c r="AO164" s="36">
        <f t="shared" si="569"/>
        <v>0</v>
      </c>
      <c r="AP164" s="36">
        <f t="shared" si="570"/>
        <v>0</v>
      </c>
      <c r="AQ164" s="36">
        <f t="shared" si="571"/>
        <v>0</v>
      </c>
      <c r="AR164" s="36">
        <f t="shared" si="572"/>
        <v>0</v>
      </c>
      <c r="AS164" s="31" t="str">
        <f t="shared" si="578"/>
        <v>SimulationStorage,1,</v>
      </c>
      <c r="AT164" s="31" t="str">
        <f t="shared" si="579"/>
        <v>AnalysisStorage,1,</v>
      </c>
      <c r="AU164" s="31" t="str">
        <f t="shared" si="580"/>
        <v>LogRuleEvaluation,0,</v>
      </c>
      <c r="AV164" s="31" t="str">
        <f t="shared" si="581"/>
        <v>ParallelSimulations,1,</v>
      </c>
      <c r="AW164" s="31" t="str">
        <f t="shared" si="582"/>
        <v>DurationStats,0,</v>
      </c>
      <c r="AX164" s="31" t="str">
        <f t="shared" si="583"/>
        <v>AnalysisThruStep,8,</v>
      </c>
      <c r="AY164" s="31" t="str">
        <f t="shared" si="584"/>
        <v>DontAbortOnErrorsThruStep,8,</v>
      </c>
      <c r="AZ164" s="31" t="str">
        <f t="shared" si="585"/>
        <v>BypassValidFileChecks,1,</v>
      </c>
      <c r="BA164" s="31" t="str">
        <f t="shared" si="586"/>
        <v>BypassInputChecks,0,</v>
      </c>
      <c r="BB164" s="31" t="str">
        <f t="shared" si="587"/>
        <v>BypassUMLHChecks,0,</v>
      </c>
      <c r="BC164" s="31" t="str">
        <f t="shared" si="588"/>
        <v>BypassCheckSimRules,0,</v>
      </c>
      <c r="BD164" s="31" t="str">
        <f t="shared" si="589"/>
        <v>BypassCheckCodeRules,0,</v>
      </c>
      <c r="BE164" s="31" t="str">
        <f t="shared" si="526"/>
        <v>StoreResultsToModelInput,1,</v>
      </c>
      <c r="BF164" s="31" t="str">
        <f t="shared" si="527"/>
        <v>StoreBEMDetails,0,</v>
      </c>
      <c r="BG164" s="31" t="str">
        <f t="shared" si="528"/>
        <v>ModelRpt_ALL,1,</v>
      </c>
      <c r="BH164" s="31" t="str">
        <f t="shared" si="529"/>
        <v>ExportHourlyResults_All,0,</v>
      </c>
      <c r="BI164" s="31" t="str">
        <f t="shared" si="530"/>
        <v>ComplianceReportPDF,0,</v>
      </c>
      <c r="BJ164" s="31" t="str">
        <f t="shared" si="531"/>
        <v>ComplianceReportXML,0,</v>
      </c>
      <c r="BK164" s="31" t="str">
        <f t="shared" si="532"/>
        <v>QuickAnalysis,0,</v>
      </c>
      <c r="BL164" s="31" t="str">
        <f t="shared" si="532"/>
        <v>PromptUserUMLHWarning,0,</v>
      </c>
      <c r="BM164" s="31" t="str">
        <f t="shared" si="533"/>
        <v>BypassOpenStudio_all,0,</v>
      </c>
      <c r="BN164" s="31" t="str">
        <f t="shared" si="534"/>
        <v>BypassOpenStudio_zp,0,</v>
      </c>
      <c r="BO164" s="31" t="str">
        <f t="shared" si="535"/>
        <v>BypassOpenStudio_zb,0,</v>
      </c>
      <c r="BP164" s="31" t="str">
        <f t="shared" si="536"/>
        <v>BypassOpenStudio_ap,0,</v>
      </c>
      <c r="BQ164" s="31" t="str">
        <f t="shared" si="537"/>
        <v>BypassOpenStudio_ab,0,</v>
      </c>
      <c r="BR164" s="31" t="str">
        <f t="shared" si="538"/>
        <v>BypassOpenStudio_zp,0,</v>
      </c>
      <c r="BS164" s="31" t="str">
        <f t="shared" si="539"/>
        <v>BypassOpenStudio_zb,0,</v>
      </c>
      <c r="BT164" s="31" t="str">
        <f t="shared" si="540"/>
        <v>BypassOpenStudio_ap,0,</v>
      </c>
      <c r="BU164" s="31" t="str">
        <f t="shared" si="541"/>
        <v>BypassOpenStudio_ab,0,</v>
      </c>
    </row>
    <row r="165" spans="1:73" hidden="1" outlineLevel="1" x14ac:dyDescent="0.25">
      <c r="A165" s="39">
        <f t="shared" si="542"/>
        <v>0</v>
      </c>
      <c r="B165" s="27" t="str">
        <f t="shared" si="543"/>
        <v>SoftwareSensitivity2016Tests\DetailedGeometry\x.cibd16</v>
      </c>
      <c r="C165" s="27" t="str">
        <f t="shared" si="544"/>
        <v>BatchOut_171026_r5178_FinalRel-v3-SSTSG_SSTDG\x.cibd16</v>
      </c>
      <c r="D165" s="27" t="str">
        <f t="shared" si="545"/>
        <v>BatchOut_171026_r5178_FinalRel-v3-SSTSG_SSTDG\XML\</v>
      </c>
      <c r="E165" s="9" t="str">
        <f t="shared" si="546"/>
        <v>x</v>
      </c>
      <c r="F165" s="22"/>
      <c r="G165" s="29"/>
      <c r="H165" s="23" t="str">
        <f t="shared" si="547"/>
        <v/>
      </c>
      <c r="I165" s="9" t="s">
        <v>11</v>
      </c>
      <c r="J16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5" s="15" t="s">
        <v>1</v>
      </c>
      <c r="L165" s="36">
        <f t="shared" si="573"/>
        <v>0</v>
      </c>
      <c r="M165" s="91" t="str">
        <f t="shared" si="548"/>
        <v>x</v>
      </c>
      <c r="N165" s="90" t="s">
        <v>149</v>
      </c>
      <c r="O165" s="28" t="str">
        <f t="shared" si="574"/>
        <v>x</v>
      </c>
      <c r="P165" s="36">
        <f t="shared" si="652"/>
        <v>1</v>
      </c>
      <c r="Q165" s="36">
        <f t="shared" si="652"/>
        <v>1</v>
      </c>
      <c r="R165" s="36">
        <f t="shared" si="652"/>
        <v>0</v>
      </c>
      <c r="S165" s="36">
        <f t="shared" si="652"/>
        <v>1</v>
      </c>
      <c r="T165" s="36">
        <f t="shared" si="652"/>
        <v>0</v>
      </c>
      <c r="U165" s="36">
        <f t="shared" si="652"/>
        <v>8</v>
      </c>
      <c r="V165" s="36">
        <f t="shared" si="652"/>
        <v>8</v>
      </c>
      <c r="W165" s="36">
        <f t="shared" si="652"/>
        <v>1</v>
      </c>
      <c r="X165" s="36">
        <f t="shared" si="652"/>
        <v>0</v>
      </c>
      <c r="Y165" s="36">
        <f t="shared" si="652"/>
        <v>0</v>
      </c>
      <c r="Z165" s="36">
        <f t="shared" si="652"/>
        <v>0</v>
      </c>
      <c r="AA165" s="36">
        <f t="shared" si="652"/>
        <v>0</v>
      </c>
      <c r="AB165" s="36">
        <f t="shared" si="652"/>
        <v>1</v>
      </c>
      <c r="AC165" s="36">
        <f t="shared" si="560"/>
        <v>0</v>
      </c>
      <c r="AD165" s="36">
        <f t="shared" si="561"/>
        <v>1</v>
      </c>
      <c r="AE165" s="36">
        <f t="shared" si="561"/>
        <v>0</v>
      </c>
      <c r="AF165" s="36">
        <f t="shared" ref="AF165:AG165" si="679">AF164</f>
        <v>0</v>
      </c>
      <c r="AG165" s="36">
        <f t="shared" si="679"/>
        <v>0</v>
      </c>
      <c r="AH165" s="36">
        <f t="shared" ref="AH165:AI165" si="680">AH164</f>
        <v>0</v>
      </c>
      <c r="AI165" s="36">
        <f t="shared" si="680"/>
        <v>0</v>
      </c>
      <c r="AJ165" s="36">
        <f t="shared" si="564"/>
        <v>0</v>
      </c>
      <c r="AK165" s="36">
        <f t="shared" si="565"/>
        <v>0</v>
      </c>
      <c r="AL165" s="36">
        <f t="shared" si="566"/>
        <v>0</v>
      </c>
      <c r="AM165" s="36">
        <f t="shared" si="567"/>
        <v>0</v>
      </c>
      <c r="AN165" s="36">
        <f t="shared" si="568"/>
        <v>0</v>
      </c>
      <c r="AO165" s="36">
        <f t="shared" si="569"/>
        <v>0</v>
      </c>
      <c r="AP165" s="36">
        <f t="shared" si="570"/>
        <v>0</v>
      </c>
      <c r="AQ165" s="36">
        <f t="shared" si="571"/>
        <v>0</v>
      </c>
      <c r="AR165" s="36">
        <f t="shared" si="572"/>
        <v>0</v>
      </c>
      <c r="AS165" s="31" t="str">
        <f t="shared" si="578"/>
        <v>SimulationStorage,1,</v>
      </c>
      <c r="AT165" s="31" t="str">
        <f t="shared" si="579"/>
        <v>AnalysisStorage,1,</v>
      </c>
      <c r="AU165" s="31" t="str">
        <f t="shared" si="580"/>
        <v>LogRuleEvaluation,0,</v>
      </c>
      <c r="AV165" s="31" t="str">
        <f t="shared" si="581"/>
        <v>ParallelSimulations,1,</v>
      </c>
      <c r="AW165" s="31" t="str">
        <f t="shared" si="582"/>
        <v>DurationStats,0,</v>
      </c>
      <c r="AX165" s="31" t="str">
        <f t="shared" si="583"/>
        <v>AnalysisThruStep,8,</v>
      </c>
      <c r="AY165" s="31" t="str">
        <f t="shared" si="584"/>
        <v>DontAbortOnErrorsThruStep,8,</v>
      </c>
      <c r="AZ165" s="31" t="str">
        <f t="shared" si="585"/>
        <v>BypassValidFileChecks,1,</v>
      </c>
      <c r="BA165" s="31" t="str">
        <f t="shared" si="586"/>
        <v>BypassInputChecks,0,</v>
      </c>
      <c r="BB165" s="31" t="str">
        <f t="shared" si="587"/>
        <v>BypassUMLHChecks,0,</v>
      </c>
      <c r="BC165" s="31" t="str">
        <f t="shared" si="588"/>
        <v>BypassCheckSimRules,0,</v>
      </c>
      <c r="BD165" s="31" t="str">
        <f t="shared" si="589"/>
        <v>BypassCheckCodeRules,0,</v>
      </c>
      <c r="BE165" s="31" t="str">
        <f t="shared" si="526"/>
        <v>StoreResultsToModelInput,1,</v>
      </c>
      <c r="BF165" s="31" t="str">
        <f t="shared" si="527"/>
        <v>StoreBEMDetails,0,</v>
      </c>
      <c r="BG165" s="31" t="str">
        <f t="shared" si="528"/>
        <v>ModelRpt_ALL,1,</v>
      </c>
      <c r="BH165" s="31" t="str">
        <f t="shared" si="529"/>
        <v>ExportHourlyResults_All,0,</v>
      </c>
      <c r="BI165" s="31" t="str">
        <f t="shared" si="530"/>
        <v>ComplianceReportPDF,0,</v>
      </c>
      <c r="BJ165" s="31" t="str">
        <f t="shared" si="531"/>
        <v>ComplianceReportXML,0,</v>
      </c>
      <c r="BK165" s="31" t="str">
        <f t="shared" si="532"/>
        <v>QuickAnalysis,0,</v>
      </c>
      <c r="BL165" s="31" t="str">
        <f t="shared" si="532"/>
        <v>PromptUserUMLHWarning,0,</v>
      </c>
      <c r="BM165" s="31" t="str">
        <f t="shared" si="533"/>
        <v>BypassOpenStudio_all,0,</v>
      </c>
      <c r="BN165" s="31" t="str">
        <f t="shared" si="534"/>
        <v>BypassOpenStudio_zp,0,</v>
      </c>
      <c r="BO165" s="31" t="str">
        <f t="shared" si="535"/>
        <v>BypassOpenStudio_zb,0,</v>
      </c>
      <c r="BP165" s="31" t="str">
        <f t="shared" si="536"/>
        <v>BypassOpenStudio_ap,0,</v>
      </c>
      <c r="BQ165" s="31" t="str">
        <f t="shared" si="537"/>
        <v>BypassOpenStudio_ab,0,</v>
      </c>
      <c r="BR165" s="31" t="str">
        <f t="shared" si="538"/>
        <v>BypassOpenStudio_zp,0,</v>
      </c>
      <c r="BS165" s="31" t="str">
        <f t="shared" si="539"/>
        <v>BypassOpenStudio_zb,0,</v>
      </c>
      <c r="BT165" s="31" t="str">
        <f t="shared" si="540"/>
        <v>BypassOpenStudio_ap,0,</v>
      </c>
      <c r="BU165" s="31" t="str">
        <f t="shared" si="541"/>
        <v>BypassOpenStudio_ab,0,</v>
      </c>
    </row>
    <row r="166" spans="1:73" hidden="1" outlineLevel="1" x14ac:dyDescent="0.25">
      <c r="A166" s="39">
        <f t="shared" si="542"/>
        <v>0</v>
      </c>
      <c r="B166" s="27" t="str">
        <f t="shared" si="543"/>
        <v>SoftwareSensitivity2016Tests\DetailedGeometry\x.cibd16</v>
      </c>
      <c r="C166" s="27" t="str">
        <f t="shared" si="544"/>
        <v>BatchOut_171026_r5178_FinalRel-v3-SSTSG_SSTDG\x.cibd16</v>
      </c>
      <c r="D166" s="27" t="str">
        <f t="shared" si="545"/>
        <v>BatchOut_171026_r5178_FinalRel-v3-SSTSG_SSTDG\XML\</v>
      </c>
      <c r="E166" s="9" t="str">
        <f t="shared" si="546"/>
        <v>x</v>
      </c>
      <c r="F166" s="22"/>
      <c r="G166" s="29"/>
      <c r="H166" s="23" t="str">
        <f t="shared" si="547"/>
        <v/>
      </c>
      <c r="I166" s="9" t="s">
        <v>11</v>
      </c>
      <c r="J16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6" s="15" t="s">
        <v>1</v>
      </c>
      <c r="L166" s="36">
        <f t="shared" si="573"/>
        <v>0</v>
      </c>
      <c r="M166" s="91" t="str">
        <f t="shared" si="548"/>
        <v>x</v>
      </c>
      <c r="N166" s="90" t="s">
        <v>149</v>
      </c>
      <c r="O166" s="28" t="str">
        <f t="shared" si="574"/>
        <v>x</v>
      </c>
      <c r="P166" s="36">
        <f t="shared" si="652"/>
        <v>1</v>
      </c>
      <c r="Q166" s="36">
        <f t="shared" si="652"/>
        <v>1</v>
      </c>
      <c r="R166" s="36">
        <f t="shared" si="652"/>
        <v>0</v>
      </c>
      <c r="S166" s="36">
        <f t="shared" si="652"/>
        <v>1</v>
      </c>
      <c r="T166" s="36">
        <f t="shared" si="652"/>
        <v>0</v>
      </c>
      <c r="U166" s="36">
        <f t="shared" si="652"/>
        <v>8</v>
      </c>
      <c r="V166" s="36">
        <f t="shared" si="652"/>
        <v>8</v>
      </c>
      <c r="W166" s="36">
        <f t="shared" si="652"/>
        <v>1</v>
      </c>
      <c r="X166" s="36">
        <f t="shared" si="652"/>
        <v>0</v>
      </c>
      <c r="Y166" s="36">
        <f t="shared" si="652"/>
        <v>0</v>
      </c>
      <c r="Z166" s="36">
        <f t="shared" si="652"/>
        <v>0</v>
      </c>
      <c r="AA166" s="36">
        <f t="shared" si="652"/>
        <v>0</v>
      </c>
      <c r="AB166" s="36">
        <f t="shared" si="652"/>
        <v>1</v>
      </c>
      <c r="AC166" s="36">
        <f t="shared" si="560"/>
        <v>0</v>
      </c>
      <c r="AD166" s="36">
        <f t="shared" si="561"/>
        <v>1</v>
      </c>
      <c r="AE166" s="36">
        <f t="shared" si="561"/>
        <v>0</v>
      </c>
      <c r="AF166" s="36">
        <f t="shared" ref="AF166:AG166" si="681">AF165</f>
        <v>0</v>
      </c>
      <c r="AG166" s="36">
        <f t="shared" si="681"/>
        <v>0</v>
      </c>
      <c r="AH166" s="36">
        <f t="shared" ref="AH166:AI166" si="682">AH165</f>
        <v>0</v>
      </c>
      <c r="AI166" s="36">
        <f t="shared" si="682"/>
        <v>0</v>
      </c>
      <c r="AJ166" s="36">
        <f t="shared" si="564"/>
        <v>0</v>
      </c>
      <c r="AK166" s="36">
        <f t="shared" si="565"/>
        <v>0</v>
      </c>
      <c r="AL166" s="36">
        <f t="shared" si="566"/>
        <v>0</v>
      </c>
      <c r="AM166" s="36">
        <f t="shared" si="567"/>
        <v>0</v>
      </c>
      <c r="AN166" s="36">
        <f t="shared" si="568"/>
        <v>0</v>
      </c>
      <c r="AO166" s="36">
        <f t="shared" si="569"/>
        <v>0</v>
      </c>
      <c r="AP166" s="36">
        <f t="shared" si="570"/>
        <v>0</v>
      </c>
      <c r="AQ166" s="36">
        <f t="shared" si="571"/>
        <v>0</v>
      </c>
      <c r="AR166" s="36">
        <f t="shared" si="572"/>
        <v>0</v>
      </c>
      <c r="AS166" s="31" t="str">
        <f t="shared" si="578"/>
        <v>SimulationStorage,1,</v>
      </c>
      <c r="AT166" s="31" t="str">
        <f t="shared" si="579"/>
        <v>AnalysisStorage,1,</v>
      </c>
      <c r="AU166" s="31" t="str">
        <f t="shared" si="580"/>
        <v>LogRuleEvaluation,0,</v>
      </c>
      <c r="AV166" s="31" t="str">
        <f t="shared" si="581"/>
        <v>ParallelSimulations,1,</v>
      </c>
      <c r="AW166" s="31" t="str">
        <f t="shared" si="582"/>
        <v>DurationStats,0,</v>
      </c>
      <c r="AX166" s="31" t="str">
        <f t="shared" si="583"/>
        <v>AnalysisThruStep,8,</v>
      </c>
      <c r="AY166" s="31" t="str">
        <f t="shared" si="584"/>
        <v>DontAbortOnErrorsThruStep,8,</v>
      </c>
      <c r="AZ166" s="31" t="str">
        <f t="shared" si="585"/>
        <v>BypassValidFileChecks,1,</v>
      </c>
      <c r="BA166" s="31" t="str">
        <f t="shared" si="586"/>
        <v>BypassInputChecks,0,</v>
      </c>
      <c r="BB166" s="31" t="str">
        <f t="shared" si="587"/>
        <v>BypassUMLHChecks,0,</v>
      </c>
      <c r="BC166" s="31" t="str">
        <f t="shared" si="588"/>
        <v>BypassCheckSimRules,0,</v>
      </c>
      <c r="BD166" s="31" t="str">
        <f t="shared" si="589"/>
        <v>BypassCheckCodeRules,0,</v>
      </c>
      <c r="BE166" s="31" t="str">
        <f t="shared" si="526"/>
        <v>StoreResultsToModelInput,1,</v>
      </c>
      <c r="BF166" s="31" t="str">
        <f t="shared" si="527"/>
        <v>StoreBEMDetails,0,</v>
      </c>
      <c r="BG166" s="31" t="str">
        <f t="shared" si="528"/>
        <v>ModelRpt_ALL,1,</v>
      </c>
      <c r="BH166" s="31" t="str">
        <f t="shared" si="529"/>
        <v>ExportHourlyResults_All,0,</v>
      </c>
      <c r="BI166" s="31" t="str">
        <f t="shared" si="530"/>
        <v>ComplianceReportPDF,0,</v>
      </c>
      <c r="BJ166" s="31" t="str">
        <f t="shared" si="531"/>
        <v>ComplianceReportXML,0,</v>
      </c>
      <c r="BK166" s="31" t="str">
        <f t="shared" si="532"/>
        <v>QuickAnalysis,0,</v>
      </c>
      <c r="BL166" s="31" t="str">
        <f t="shared" si="532"/>
        <v>PromptUserUMLHWarning,0,</v>
      </c>
      <c r="BM166" s="31" t="str">
        <f t="shared" si="533"/>
        <v>BypassOpenStudio_all,0,</v>
      </c>
      <c r="BN166" s="31" t="str">
        <f t="shared" si="534"/>
        <v>BypassOpenStudio_zp,0,</v>
      </c>
      <c r="BO166" s="31" t="str">
        <f t="shared" si="535"/>
        <v>BypassOpenStudio_zb,0,</v>
      </c>
      <c r="BP166" s="31" t="str">
        <f t="shared" si="536"/>
        <v>BypassOpenStudio_ap,0,</v>
      </c>
      <c r="BQ166" s="31" t="str">
        <f t="shared" si="537"/>
        <v>BypassOpenStudio_ab,0,</v>
      </c>
      <c r="BR166" s="31" t="str">
        <f t="shared" si="538"/>
        <v>BypassOpenStudio_zp,0,</v>
      </c>
      <c r="BS166" s="31" t="str">
        <f t="shared" si="539"/>
        <v>BypassOpenStudio_zb,0,</v>
      </c>
      <c r="BT166" s="31" t="str">
        <f t="shared" si="540"/>
        <v>BypassOpenStudio_ap,0,</v>
      </c>
      <c r="BU166" s="31" t="str">
        <f t="shared" si="541"/>
        <v>BypassOpenStudio_ab,0,</v>
      </c>
    </row>
    <row r="167" spans="1:73" hidden="1" outlineLevel="1" x14ac:dyDescent="0.25">
      <c r="A167" s="39">
        <f t="shared" si="542"/>
        <v>0</v>
      </c>
      <c r="B167" s="27" t="str">
        <f t="shared" si="543"/>
        <v>SoftwareSensitivity2016Tests\DetailedGeometry\x.cibd16</v>
      </c>
      <c r="C167" s="27" t="str">
        <f t="shared" si="544"/>
        <v>BatchOut_171026_r5178_FinalRel-v3-SSTSG_SSTDG\x.cibd16</v>
      </c>
      <c r="D167" s="27" t="str">
        <f t="shared" si="545"/>
        <v>BatchOut_171026_r5178_FinalRel-v3-SSTSG_SSTDG\XML\</v>
      </c>
      <c r="E167" s="9" t="str">
        <f t="shared" si="546"/>
        <v>x</v>
      </c>
      <c r="F167" s="22"/>
      <c r="G167" s="29"/>
      <c r="H167" s="23" t="str">
        <f t="shared" si="547"/>
        <v/>
      </c>
      <c r="I167" s="9" t="s">
        <v>11</v>
      </c>
      <c r="J16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7" s="15" t="s">
        <v>1</v>
      </c>
      <c r="L167" s="36">
        <f t="shared" si="573"/>
        <v>0</v>
      </c>
      <c r="M167" s="91" t="str">
        <f t="shared" si="548"/>
        <v>x</v>
      </c>
      <c r="N167" s="90" t="s">
        <v>149</v>
      </c>
      <c r="O167" s="28" t="str">
        <f t="shared" si="574"/>
        <v>x</v>
      </c>
      <c r="P167" s="36">
        <f t="shared" si="652"/>
        <v>1</v>
      </c>
      <c r="Q167" s="36">
        <f t="shared" si="652"/>
        <v>1</v>
      </c>
      <c r="R167" s="36">
        <f t="shared" si="652"/>
        <v>0</v>
      </c>
      <c r="S167" s="36">
        <f t="shared" si="652"/>
        <v>1</v>
      </c>
      <c r="T167" s="36">
        <f t="shared" si="652"/>
        <v>0</v>
      </c>
      <c r="U167" s="36">
        <f t="shared" si="652"/>
        <v>8</v>
      </c>
      <c r="V167" s="36">
        <f t="shared" si="652"/>
        <v>8</v>
      </c>
      <c r="W167" s="36">
        <f t="shared" si="652"/>
        <v>1</v>
      </c>
      <c r="X167" s="36">
        <f t="shared" si="652"/>
        <v>0</v>
      </c>
      <c r="Y167" s="36">
        <f t="shared" si="652"/>
        <v>0</v>
      </c>
      <c r="Z167" s="36">
        <f t="shared" si="652"/>
        <v>0</v>
      </c>
      <c r="AA167" s="36">
        <f t="shared" si="652"/>
        <v>0</v>
      </c>
      <c r="AB167" s="36">
        <f t="shared" si="652"/>
        <v>1</v>
      </c>
      <c r="AC167" s="36">
        <f t="shared" si="560"/>
        <v>0</v>
      </c>
      <c r="AD167" s="36">
        <f t="shared" si="561"/>
        <v>1</v>
      </c>
      <c r="AE167" s="36">
        <f t="shared" si="561"/>
        <v>0</v>
      </c>
      <c r="AF167" s="36">
        <f t="shared" ref="AF167:AG167" si="683">AF166</f>
        <v>0</v>
      </c>
      <c r="AG167" s="36">
        <f t="shared" si="683"/>
        <v>0</v>
      </c>
      <c r="AH167" s="36">
        <f t="shared" ref="AH167:AI167" si="684">AH166</f>
        <v>0</v>
      </c>
      <c r="AI167" s="36">
        <f t="shared" si="684"/>
        <v>0</v>
      </c>
      <c r="AJ167" s="36">
        <f t="shared" si="564"/>
        <v>0</v>
      </c>
      <c r="AK167" s="36">
        <f t="shared" si="565"/>
        <v>0</v>
      </c>
      <c r="AL167" s="36">
        <f t="shared" si="566"/>
        <v>0</v>
      </c>
      <c r="AM167" s="36">
        <f t="shared" si="567"/>
        <v>0</v>
      </c>
      <c r="AN167" s="36">
        <f t="shared" si="568"/>
        <v>0</v>
      </c>
      <c r="AO167" s="36">
        <f t="shared" si="569"/>
        <v>0</v>
      </c>
      <c r="AP167" s="36">
        <f t="shared" si="570"/>
        <v>0</v>
      </c>
      <c r="AQ167" s="36">
        <f t="shared" si="571"/>
        <v>0</v>
      </c>
      <c r="AR167" s="36">
        <f t="shared" si="572"/>
        <v>0</v>
      </c>
      <c r="AS167" s="31" t="str">
        <f t="shared" si="578"/>
        <v>SimulationStorage,1,</v>
      </c>
      <c r="AT167" s="31" t="str">
        <f t="shared" si="579"/>
        <v>AnalysisStorage,1,</v>
      </c>
      <c r="AU167" s="31" t="str">
        <f t="shared" si="580"/>
        <v>LogRuleEvaluation,0,</v>
      </c>
      <c r="AV167" s="31" t="str">
        <f t="shared" si="581"/>
        <v>ParallelSimulations,1,</v>
      </c>
      <c r="AW167" s="31" t="str">
        <f t="shared" si="582"/>
        <v>DurationStats,0,</v>
      </c>
      <c r="AX167" s="31" t="str">
        <f t="shared" si="583"/>
        <v>AnalysisThruStep,8,</v>
      </c>
      <c r="AY167" s="31" t="str">
        <f t="shared" si="584"/>
        <v>DontAbortOnErrorsThruStep,8,</v>
      </c>
      <c r="AZ167" s="31" t="str">
        <f t="shared" si="585"/>
        <v>BypassValidFileChecks,1,</v>
      </c>
      <c r="BA167" s="31" t="str">
        <f t="shared" si="586"/>
        <v>BypassInputChecks,0,</v>
      </c>
      <c r="BB167" s="31" t="str">
        <f t="shared" si="587"/>
        <v>BypassUMLHChecks,0,</v>
      </c>
      <c r="BC167" s="31" t="str">
        <f t="shared" si="588"/>
        <v>BypassCheckSimRules,0,</v>
      </c>
      <c r="BD167" s="31" t="str">
        <f t="shared" si="589"/>
        <v>BypassCheckCodeRules,0,</v>
      </c>
      <c r="BE167" s="31" t="str">
        <f t="shared" si="526"/>
        <v>StoreResultsToModelInput,1,</v>
      </c>
      <c r="BF167" s="31" t="str">
        <f t="shared" si="527"/>
        <v>StoreBEMDetails,0,</v>
      </c>
      <c r="BG167" s="31" t="str">
        <f t="shared" si="528"/>
        <v>ModelRpt_ALL,1,</v>
      </c>
      <c r="BH167" s="31" t="str">
        <f t="shared" si="529"/>
        <v>ExportHourlyResults_All,0,</v>
      </c>
      <c r="BI167" s="31" t="str">
        <f t="shared" si="530"/>
        <v>ComplianceReportPDF,0,</v>
      </c>
      <c r="BJ167" s="31" t="str">
        <f t="shared" si="531"/>
        <v>ComplianceReportXML,0,</v>
      </c>
      <c r="BK167" s="31" t="str">
        <f t="shared" si="532"/>
        <v>QuickAnalysis,0,</v>
      </c>
      <c r="BL167" s="31" t="str">
        <f t="shared" si="532"/>
        <v>PromptUserUMLHWarning,0,</v>
      </c>
      <c r="BM167" s="31" t="str">
        <f t="shared" si="533"/>
        <v>BypassOpenStudio_all,0,</v>
      </c>
      <c r="BN167" s="31" t="str">
        <f t="shared" si="534"/>
        <v>BypassOpenStudio_zp,0,</v>
      </c>
      <c r="BO167" s="31" t="str">
        <f t="shared" si="535"/>
        <v>BypassOpenStudio_zb,0,</v>
      </c>
      <c r="BP167" s="31" t="str">
        <f t="shared" si="536"/>
        <v>BypassOpenStudio_ap,0,</v>
      </c>
      <c r="BQ167" s="31" t="str">
        <f t="shared" si="537"/>
        <v>BypassOpenStudio_ab,0,</v>
      </c>
      <c r="BR167" s="31" t="str">
        <f t="shared" si="538"/>
        <v>BypassOpenStudio_zp,0,</v>
      </c>
      <c r="BS167" s="31" t="str">
        <f t="shared" si="539"/>
        <v>BypassOpenStudio_zb,0,</v>
      </c>
      <c r="BT167" s="31" t="str">
        <f t="shared" si="540"/>
        <v>BypassOpenStudio_ap,0,</v>
      </c>
      <c r="BU167" s="31" t="str">
        <f t="shared" si="541"/>
        <v>BypassOpenStudio_ab,0,</v>
      </c>
    </row>
    <row r="168" spans="1:73" hidden="1" outlineLevel="1" x14ac:dyDescent="0.25">
      <c r="A168" s="39">
        <f t="shared" si="542"/>
        <v>0</v>
      </c>
      <c r="B168" s="27" t="str">
        <f t="shared" si="543"/>
        <v>SoftwareSensitivity2016Tests\DetailedGeometry\x.cibd16</v>
      </c>
      <c r="C168" s="27" t="str">
        <f t="shared" si="544"/>
        <v>BatchOut_171026_r5178_FinalRel-v3-SSTSG_SSTDG\x.cibd16</v>
      </c>
      <c r="D168" s="27" t="str">
        <f t="shared" si="545"/>
        <v>BatchOut_171026_r5178_FinalRel-v3-SSTSG_SSTDG\XML\</v>
      </c>
      <c r="E168" s="9" t="str">
        <f t="shared" si="546"/>
        <v>x</v>
      </c>
      <c r="F168" s="22"/>
      <c r="G168" s="29"/>
      <c r="H168" s="23" t="str">
        <f t="shared" si="547"/>
        <v/>
      </c>
      <c r="I168" s="9" t="s">
        <v>11</v>
      </c>
      <c r="J16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8" s="15" t="s">
        <v>1</v>
      </c>
      <c r="L168" s="36">
        <f t="shared" si="573"/>
        <v>0</v>
      </c>
      <c r="M168" s="91" t="str">
        <f t="shared" si="548"/>
        <v>x</v>
      </c>
      <c r="N168" s="90" t="s">
        <v>149</v>
      </c>
      <c r="O168" s="28" t="str">
        <f t="shared" si="574"/>
        <v>x</v>
      </c>
      <c r="P168" s="36">
        <f t="shared" si="652"/>
        <v>1</v>
      </c>
      <c r="Q168" s="36">
        <f t="shared" si="652"/>
        <v>1</v>
      </c>
      <c r="R168" s="36">
        <f t="shared" si="652"/>
        <v>0</v>
      </c>
      <c r="S168" s="36">
        <f t="shared" si="652"/>
        <v>1</v>
      </c>
      <c r="T168" s="36">
        <f t="shared" si="652"/>
        <v>0</v>
      </c>
      <c r="U168" s="36">
        <f t="shared" si="652"/>
        <v>8</v>
      </c>
      <c r="V168" s="36">
        <f t="shared" si="652"/>
        <v>8</v>
      </c>
      <c r="W168" s="36">
        <f t="shared" si="652"/>
        <v>1</v>
      </c>
      <c r="X168" s="36">
        <f t="shared" si="652"/>
        <v>0</v>
      </c>
      <c r="Y168" s="36">
        <f t="shared" si="652"/>
        <v>0</v>
      </c>
      <c r="Z168" s="36">
        <f t="shared" si="652"/>
        <v>0</v>
      </c>
      <c r="AA168" s="36">
        <f t="shared" si="652"/>
        <v>0</v>
      </c>
      <c r="AB168" s="36">
        <f t="shared" si="652"/>
        <v>1</v>
      </c>
      <c r="AC168" s="36">
        <f t="shared" si="560"/>
        <v>0</v>
      </c>
      <c r="AD168" s="36">
        <f t="shared" si="561"/>
        <v>1</v>
      </c>
      <c r="AE168" s="36">
        <f t="shared" si="561"/>
        <v>0</v>
      </c>
      <c r="AF168" s="36">
        <f t="shared" ref="AF168:AG168" si="685">AF167</f>
        <v>0</v>
      </c>
      <c r="AG168" s="36">
        <f t="shared" si="685"/>
        <v>0</v>
      </c>
      <c r="AH168" s="36">
        <f t="shared" ref="AH168:AI168" si="686">AH167</f>
        <v>0</v>
      </c>
      <c r="AI168" s="36">
        <f t="shared" si="686"/>
        <v>0</v>
      </c>
      <c r="AJ168" s="36">
        <f t="shared" si="564"/>
        <v>0</v>
      </c>
      <c r="AK168" s="36">
        <f t="shared" si="565"/>
        <v>0</v>
      </c>
      <c r="AL168" s="36">
        <f t="shared" si="566"/>
        <v>0</v>
      </c>
      <c r="AM168" s="36">
        <f t="shared" si="567"/>
        <v>0</v>
      </c>
      <c r="AN168" s="36">
        <f t="shared" si="568"/>
        <v>0</v>
      </c>
      <c r="AO168" s="36">
        <f t="shared" si="569"/>
        <v>0</v>
      </c>
      <c r="AP168" s="36">
        <f t="shared" si="570"/>
        <v>0</v>
      </c>
      <c r="AQ168" s="36">
        <f t="shared" si="571"/>
        <v>0</v>
      </c>
      <c r="AR168" s="36">
        <f t="shared" si="572"/>
        <v>0</v>
      </c>
      <c r="AS168" s="31" t="str">
        <f t="shared" si="578"/>
        <v>SimulationStorage,1,</v>
      </c>
      <c r="AT168" s="31" t="str">
        <f t="shared" si="579"/>
        <v>AnalysisStorage,1,</v>
      </c>
      <c r="AU168" s="31" t="str">
        <f t="shared" si="580"/>
        <v>LogRuleEvaluation,0,</v>
      </c>
      <c r="AV168" s="31" t="str">
        <f t="shared" si="581"/>
        <v>ParallelSimulations,1,</v>
      </c>
      <c r="AW168" s="31" t="str">
        <f t="shared" si="582"/>
        <v>DurationStats,0,</v>
      </c>
      <c r="AX168" s="31" t="str">
        <f t="shared" si="583"/>
        <v>AnalysisThruStep,8,</v>
      </c>
      <c r="AY168" s="31" t="str">
        <f t="shared" si="584"/>
        <v>DontAbortOnErrorsThruStep,8,</v>
      </c>
      <c r="AZ168" s="31" t="str">
        <f t="shared" si="585"/>
        <v>BypassValidFileChecks,1,</v>
      </c>
      <c r="BA168" s="31" t="str">
        <f t="shared" si="586"/>
        <v>BypassInputChecks,0,</v>
      </c>
      <c r="BB168" s="31" t="str">
        <f t="shared" si="587"/>
        <v>BypassUMLHChecks,0,</v>
      </c>
      <c r="BC168" s="31" t="str">
        <f t="shared" si="588"/>
        <v>BypassCheckSimRules,0,</v>
      </c>
      <c r="BD168" s="31" t="str">
        <f t="shared" si="589"/>
        <v>BypassCheckCodeRules,0,</v>
      </c>
      <c r="BE168" s="31" t="str">
        <f t="shared" si="526"/>
        <v>StoreResultsToModelInput,1,</v>
      </c>
      <c r="BF168" s="31" t="str">
        <f t="shared" si="527"/>
        <v>StoreBEMDetails,0,</v>
      </c>
      <c r="BG168" s="31" t="str">
        <f t="shared" si="528"/>
        <v>ModelRpt_ALL,1,</v>
      </c>
      <c r="BH168" s="31" t="str">
        <f t="shared" si="529"/>
        <v>ExportHourlyResults_All,0,</v>
      </c>
      <c r="BI168" s="31" t="str">
        <f t="shared" si="530"/>
        <v>ComplianceReportPDF,0,</v>
      </c>
      <c r="BJ168" s="31" t="str">
        <f t="shared" si="531"/>
        <v>ComplianceReportXML,0,</v>
      </c>
      <c r="BK168" s="31" t="str">
        <f t="shared" si="532"/>
        <v>QuickAnalysis,0,</v>
      </c>
      <c r="BL168" s="31" t="str">
        <f t="shared" si="532"/>
        <v>PromptUserUMLHWarning,0,</v>
      </c>
      <c r="BM168" s="31" t="str">
        <f t="shared" si="533"/>
        <v>BypassOpenStudio_all,0,</v>
      </c>
      <c r="BN168" s="31" t="str">
        <f t="shared" si="534"/>
        <v>BypassOpenStudio_zp,0,</v>
      </c>
      <c r="BO168" s="31" t="str">
        <f t="shared" si="535"/>
        <v>BypassOpenStudio_zb,0,</v>
      </c>
      <c r="BP168" s="31" t="str">
        <f t="shared" si="536"/>
        <v>BypassOpenStudio_ap,0,</v>
      </c>
      <c r="BQ168" s="31" t="str">
        <f t="shared" si="537"/>
        <v>BypassOpenStudio_ab,0,</v>
      </c>
      <c r="BR168" s="31" t="str">
        <f t="shared" si="538"/>
        <v>BypassOpenStudio_zp,0,</v>
      </c>
      <c r="BS168" s="31" t="str">
        <f t="shared" si="539"/>
        <v>BypassOpenStudio_zb,0,</v>
      </c>
      <c r="BT168" s="31" t="str">
        <f t="shared" si="540"/>
        <v>BypassOpenStudio_ap,0,</v>
      </c>
      <c r="BU168" s="31" t="str">
        <f t="shared" si="541"/>
        <v>BypassOpenStudio_ab,0,</v>
      </c>
    </row>
    <row r="169" spans="1:73" hidden="1" outlineLevel="1" x14ac:dyDescent="0.25">
      <c r="A169" s="39">
        <f t="shared" si="542"/>
        <v>0</v>
      </c>
      <c r="B169" s="27" t="str">
        <f t="shared" si="543"/>
        <v>SoftwareSensitivity2016Tests\DetailedGeometry\x.cibd16</v>
      </c>
      <c r="C169" s="27" t="str">
        <f t="shared" si="544"/>
        <v>BatchOut_171026_r5178_FinalRel-v3-SSTSG_SSTDG\x.cibd16</v>
      </c>
      <c r="D169" s="27" t="str">
        <f t="shared" si="545"/>
        <v>BatchOut_171026_r5178_FinalRel-v3-SSTSG_SSTDG\XML\</v>
      </c>
      <c r="E169" s="9" t="str">
        <f t="shared" si="546"/>
        <v>x</v>
      </c>
      <c r="F169" s="22"/>
      <c r="G169" s="29"/>
      <c r="H169" s="23" t="str">
        <f t="shared" si="547"/>
        <v/>
      </c>
      <c r="I169" s="9" t="s">
        <v>11</v>
      </c>
      <c r="J16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9" s="15" t="s">
        <v>1</v>
      </c>
      <c r="L169" s="36">
        <f t="shared" si="573"/>
        <v>0</v>
      </c>
      <c r="M169" s="91" t="str">
        <f t="shared" si="548"/>
        <v>x</v>
      </c>
      <c r="N169" s="90" t="s">
        <v>149</v>
      </c>
      <c r="O169" s="28" t="str">
        <f t="shared" si="574"/>
        <v>x</v>
      </c>
      <c r="P169" s="36">
        <f t="shared" si="652"/>
        <v>1</v>
      </c>
      <c r="Q169" s="36">
        <f t="shared" si="652"/>
        <v>1</v>
      </c>
      <c r="R169" s="36">
        <f t="shared" si="652"/>
        <v>0</v>
      </c>
      <c r="S169" s="36">
        <f t="shared" si="652"/>
        <v>1</v>
      </c>
      <c r="T169" s="36">
        <f t="shared" si="652"/>
        <v>0</v>
      </c>
      <c r="U169" s="36">
        <f t="shared" si="652"/>
        <v>8</v>
      </c>
      <c r="V169" s="36">
        <f t="shared" si="652"/>
        <v>8</v>
      </c>
      <c r="W169" s="36">
        <f t="shared" si="652"/>
        <v>1</v>
      </c>
      <c r="X169" s="36">
        <f t="shared" si="652"/>
        <v>0</v>
      </c>
      <c r="Y169" s="36">
        <f t="shared" si="652"/>
        <v>0</v>
      </c>
      <c r="Z169" s="36">
        <f t="shared" si="652"/>
        <v>0</v>
      </c>
      <c r="AA169" s="36">
        <f t="shared" si="652"/>
        <v>0</v>
      </c>
      <c r="AB169" s="36">
        <f t="shared" si="652"/>
        <v>1</v>
      </c>
      <c r="AC169" s="36">
        <f t="shared" si="560"/>
        <v>0</v>
      </c>
      <c r="AD169" s="36">
        <f t="shared" si="561"/>
        <v>1</v>
      </c>
      <c r="AE169" s="36">
        <f t="shared" si="561"/>
        <v>0</v>
      </c>
      <c r="AF169" s="36">
        <f t="shared" ref="AF169:AG169" si="687">AF168</f>
        <v>0</v>
      </c>
      <c r="AG169" s="36">
        <f t="shared" si="687"/>
        <v>0</v>
      </c>
      <c r="AH169" s="36">
        <f t="shared" ref="AH169:AI169" si="688">AH168</f>
        <v>0</v>
      </c>
      <c r="AI169" s="36">
        <f t="shared" si="688"/>
        <v>0</v>
      </c>
      <c r="AJ169" s="36">
        <f t="shared" si="564"/>
        <v>0</v>
      </c>
      <c r="AK169" s="36">
        <f t="shared" si="565"/>
        <v>0</v>
      </c>
      <c r="AL169" s="36">
        <f t="shared" si="566"/>
        <v>0</v>
      </c>
      <c r="AM169" s="36">
        <f t="shared" si="567"/>
        <v>0</v>
      </c>
      <c r="AN169" s="36">
        <f t="shared" si="568"/>
        <v>0</v>
      </c>
      <c r="AO169" s="36">
        <f t="shared" si="569"/>
        <v>0</v>
      </c>
      <c r="AP169" s="36">
        <f t="shared" si="570"/>
        <v>0</v>
      </c>
      <c r="AQ169" s="36">
        <f t="shared" si="571"/>
        <v>0</v>
      </c>
      <c r="AR169" s="36">
        <f t="shared" si="572"/>
        <v>0</v>
      </c>
      <c r="AS169" s="31" t="str">
        <f t="shared" si="578"/>
        <v>SimulationStorage,1,</v>
      </c>
      <c r="AT169" s="31" t="str">
        <f t="shared" si="579"/>
        <v>AnalysisStorage,1,</v>
      </c>
      <c r="AU169" s="31" t="str">
        <f t="shared" si="580"/>
        <v>LogRuleEvaluation,0,</v>
      </c>
      <c r="AV169" s="31" t="str">
        <f t="shared" si="581"/>
        <v>ParallelSimulations,1,</v>
      </c>
      <c r="AW169" s="31" t="str">
        <f t="shared" si="582"/>
        <v>DurationStats,0,</v>
      </c>
      <c r="AX169" s="31" t="str">
        <f t="shared" si="583"/>
        <v>AnalysisThruStep,8,</v>
      </c>
      <c r="AY169" s="31" t="str">
        <f t="shared" si="584"/>
        <v>DontAbortOnErrorsThruStep,8,</v>
      </c>
      <c r="AZ169" s="31" t="str">
        <f t="shared" si="585"/>
        <v>BypassValidFileChecks,1,</v>
      </c>
      <c r="BA169" s="31" t="str">
        <f t="shared" si="586"/>
        <v>BypassInputChecks,0,</v>
      </c>
      <c r="BB169" s="31" t="str">
        <f t="shared" si="587"/>
        <v>BypassUMLHChecks,0,</v>
      </c>
      <c r="BC169" s="31" t="str">
        <f t="shared" si="588"/>
        <v>BypassCheckSimRules,0,</v>
      </c>
      <c r="BD169" s="31" t="str">
        <f t="shared" si="589"/>
        <v>BypassCheckCodeRules,0,</v>
      </c>
      <c r="BE169" s="31" t="str">
        <f t="shared" si="526"/>
        <v>StoreResultsToModelInput,1,</v>
      </c>
      <c r="BF169" s="31" t="str">
        <f t="shared" si="527"/>
        <v>StoreBEMDetails,0,</v>
      </c>
      <c r="BG169" s="31" t="str">
        <f t="shared" si="528"/>
        <v>ModelRpt_ALL,1,</v>
      </c>
      <c r="BH169" s="31" t="str">
        <f t="shared" si="529"/>
        <v>ExportHourlyResults_All,0,</v>
      </c>
      <c r="BI169" s="31" t="str">
        <f t="shared" si="530"/>
        <v>ComplianceReportPDF,0,</v>
      </c>
      <c r="BJ169" s="31" t="str">
        <f t="shared" si="531"/>
        <v>ComplianceReportXML,0,</v>
      </c>
      <c r="BK169" s="31" t="str">
        <f t="shared" si="532"/>
        <v>QuickAnalysis,0,</v>
      </c>
      <c r="BL169" s="31" t="str">
        <f t="shared" si="532"/>
        <v>PromptUserUMLHWarning,0,</v>
      </c>
      <c r="BM169" s="31" t="str">
        <f t="shared" si="533"/>
        <v>BypassOpenStudio_all,0,</v>
      </c>
      <c r="BN169" s="31" t="str">
        <f t="shared" si="534"/>
        <v>BypassOpenStudio_zp,0,</v>
      </c>
      <c r="BO169" s="31" t="str">
        <f t="shared" si="535"/>
        <v>BypassOpenStudio_zb,0,</v>
      </c>
      <c r="BP169" s="31" t="str">
        <f t="shared" si="536"/>
        <v>BypassOpenStudio_ap,0,</v>
      </c>
      <c r="BQ169" s="31" t="str">
        <f t="shared" si="537"/>
        <v>BypassOpenStudio_ab,0,</v>
      </c>
      <c r="BR169" s="31" t="str">
        <f t="shared" si="538"/>
        <v>BypassOpenStudio_zp,0,</v>
      </c>
      <c r="BS169" s="31" t="str">
        <f t="shared" si="539"/>
        <v>BypassOpenStudio_zb,0,</v>
      </c>
      <c r="BT169" s="31" t="str">
        <f t="shared" si="540"/>
        <v>BypassOpenStudio_ap,0,</v>
      </c>
      <c r="BU169" s="31" t="str">
        <f t="shared" si="541"/>
        <v>BypassOpenStudio_ab,0,</v>
      </c>
    </row>
    <row r="170" spans="1:73" hidden="1" outlineLevel="1" x14ac:dyDescent="0.25">
      <c r="A170" s="39">
        <f t="shared" si="542"/>
        <v>0</v>
      </c>
      <c r="B170" s="27" t="str">
        <f t="shared" si="543"/>
        <v>SoftwareSensitivity2016Tests\DetailedGeometry\x.cibd16</v>
      </c>
      <c r="C170" s="27" t="str">
        <f t="shared" si="544"/>
        <v>BatchOut_171026_r5178_FinalRel-v3-SSTSG_SSTDG\x.cibd16</v>
      </c>
      <c r="D170" s="27" t="str">
        <f t="shared" si="545"/>
        <v>BatchOut_171026_r5178_FinalRel-v3-SSTSG_SSTDG\XML\</v>
      </c>
      <c r="E170" s="9" t="str">
        <f t="shared" si="546"/>
        <v>x</v>
      </c>
      <c r="F170" s="22"/>
      <c r="G170" s="29"/>
      <c r="H170" s="23" t="str">
        <f t="shared" si="547"/>
        <v/>
      </c>
      <c r="I170" s="9" t="s">
        <v>11</v>
      </c>
      <c r="J17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0" s="15" t="s">
        <v>1</v>
      </c>
      <c r="L170" s="36">
        <f t="shared" si="573"/>
        <v>0</v>
      </c>
      <c r="M170" s="91" t="str">
        <f t="shared" si="548"/>
        <v>x</v>
      </c>
      <c r="N170" s="90" t="s">
        <v>149</v>
      </c>
      <c r="O170" s="28" t="str">
        <f t="shared" si="574"/>
        <v>x</v>
      </c>
      <c r="P170" s="36">
        <f t="shared" si="652"/>
        <v>1</v>
      </c>
      <c r="Q170" s="36">
        <f t="shared" si="652"/>
        <v>1</v>
      </c>
      <c r="R170" s="36">
        <f t="shared" si="652"/>
        <v>0</v>
      </c>
      <c r="S170" s="36">
        <f t="shared" si="652"/>
        <v>1</v>
      </c>
      <c r="T170" s="36">
        <f t="shared" si="652"/>
        <v>0</v>
      </c>
      <c r="U170" s="36">
        <f t="shared" si="652"/>
        <v>8</v>
      </c>
      <c r="V170" s="36">
        <f t="shared" si="652"/>
        <v>8</v>
      </c>
      <c r="W170" s="36">
        <f t="shared" si="652"/>
        <v>1</v>
      </c>
      <c r="X170" s="36">
        <f t="shared" si="652"/>
        <v>0</v>
      </c>
      <c r="Y170" s="36">
        <f t="shared" si="652"/>
        <v>0</v>
      </c>
      <c r="Z170" s="36">
        <f t="shared" si="652"/>
        <v>0</v>
      </c>
      <c r="AA170" s="36">
        <f t="shared" si="652"/>
        <v>0</v>
      </c>
      <c r="AB170" s="36">
        <f t="shared" si="652"/>
        <v>1</v>
      </c>
      <c r="AC170" s="36">
        <f t="shared" si="560"/>
        <v>0</v>
      </c>
      <c r="AD170" s="36">
        <f t="shared" si="561"/>
        <v>1</v>
      </c>
      <c r="AE170" s="36">
        <f t="shared" si="561"/>
        <v>0</v>
      </c>
      <c r="AF170" s="36">
        <f t="shared" ref="AF170:AG170" si="689">AF169</f>
        <v>0</v>
      </c>
      <c r="AG170" s="36">
        <f t="shared" si="689"/>
        <v>0</v>
      </c>
      <c r="AH170" s="36">
        <f t="shared" ref="AH170:AI170" si="690">AH169</f>
        <v>0</v>
      </c>
      <c r="AI170" s="36">
        <f t="shared" si="690"/>
        <v>0</v>
      </c>
      <c r="AJ170" s="36">
        <f t="shared" si="564"/>
        <v>0</v>
      </c>
      <c r="AK170" s="36">
        <f t="shared" si="565"/>
        <v>0</v>
      </c>
      <c r="AL170" s="36">
        <f t="shared" si="566"/>
        <v>0</v>
      </c>
      <c r="AM170" s="36">
        <f t="shared" si="567"/>
        <v>0</v>
      </c>
      <c r="AN170" s="36">
        <f t="shared" si="568"/>
        <v>0</v>
      </c>
      <c r="AO170" s="36">
        <f t="shared" si="569"/>
        <v>0</v>
      </c>
      <c r="AP170" s="36">
        <f t="shared" si="570"/>
        <v>0</v>
      </c>
      <c r="AQ170" s="36">
        <f t="shared" si="571"/>
        <v>0</v>
      </c>
      <c r="AR170" s="36">
        <f t="shared" si="572"/>
        <v>0</v>
      </c>
      <c r="AS170" s="31" t="str">
        <f t="shared" si="578"/>
        <v>SimulationStorage,1,</v>
      </c>
      <c r="AT170" s="31" t="str">
        <f t="shared" si="579"/>
        <v>AnalysisStorage,1,</v>
      </c>
      <c r="AU170" s="31" t="str">
        <f t="shared" si="580"/>
        <v>LogRuleEvaluation,0,</v>
      </c>
      <c r="AV170" s="31" t="str">
        <f t="shared" si="581"/>
        <v>ParallelSimulations,1,</v>
      </c>
      <c r="AW170" s="31" t="str">
        <f t="shared" si="582"/>
        <v>DurationStats,0,</v>
      </c>
      <c r="AX170" s="31" t="str">
        <f t="shared" si="583"/>
        <v>AnalysisThruStep,8,</v>
      </c>
      <c r="AY170" s="31" t="str">
        <f t="shared" si="584"/>
        <v>DontAbortOnErrorsThruStep,8,</v>
      </c>
      <c r="AZ170" s="31" t="str">
        <f t="shared" si="585"/>
        <v>BypassValidFileChecks,1,</v>
      </c>
      <c r="BA170" s="31" t="str">
        <f t="shared" si="586"/>
        <v>BypassInputChecks,0,</v>
      </c>
      <c r="BB170" s="31" t="str">
        <f t="shared" si="587"/>
        <v>BypassUMLHChecks,0,</v>
      </c>
      <c r="BC170" s="31" t="str">
        <f t="shared" si="588"/>
        <v>BypassCheckSimRules,0,</v>
      </c>
      <c r="BD170" s="31" t="str">
        <f t="shared" si="589"/>
        <v>BypassCheckCodeRules,0,</v>
      </c>
      <c r="BE170" s="31" t="str">
        <f t="shared" si="526"/>
        <v>StoreResultsToModelInput,1,</v>
      </c>
      <c r="BF170" s="31" t="str">
        <f t="shared" si="527"/>
        <v>StoreBEMDetails,0,</v>
      </c>
      <c r="BG170" s="31" t="str">
        <f t="shared" si="528"/>
        <v>ModelRpt_ALL,1,</v>
      </c>
      <c r="BH170" s="31" t="str">
        <f t="shared" si="529"/>
        <v>ExportHourlyResults_All,0,</v>
      </c>
      <c r="BI170" s="31" t="str">
        <f t="shared" si="530"/>
        <v>ComplianceReportPDF,0,</v>
      </c>
      <c r="BJ170" s="31" t="str">
        <f t="shared" si="531"/>
        <v>ComplianceReportXML,0,</v>
      </c>
      <c r="BK170" s="31" t="str">
        <f t="shared" si="532"/>
        <v>QuickAnalysis,0,</v>
      </c>
      <c r="BL170" s="31" t="str">
        <f t="shared" si="532"/>
        <v>PromptUserUMLHWarning,0,</v>
      </c>
      <c r="BM170" s="31" t="str">
        <f t="shared" si="533"/>
        <v>BypassOpenStudio_all,0,</v>
      </c>
      <c r="BN170" s="31" t="str">
        <f t="shared" si="534"/>
        <v>BypassOpenStudio_zp,0,</v>
      </c>
      <c r="BO170" s="31" t="str">
        <f t="shared" si="535"/>
        <v>BypassOpenStudio_zb,0,</v>
      </c>
      <c r="BP170" s="31" t="str">
        <f t="shared" si="536"/>
        <v>BypassOpenStudio_ap,0,</v>
      </c>
      <c r="BQ170" s="31" t="str">
        <f t="shared" si="537"/>
        <v>BypassOpenStudio_ab,0,</v>
      </c>
      <c r="BR170" s="31" t="str">
        <f t="shared" si="538"/>
        <v>BypassOpenStudio_zp,0,</v>
      </c>
      <c r="BS170" s="31" t="str">
        <f t="shared" si="539"/>
        <v>BypassOpenStudio_zb,0,</v>
      </c>
      <c r="BT170" s="31" t="str">
        <f t="shared" si="540"/>
        <v>BypassOpenStudio_ap,0,</v>
      </c>
      <c r="BU170" s="31" t="str">
        <f t="shared" si="541"/>
        <v>BypassOpenStudio_ab,0,</v>
      </c>
    </row>
    <row r="171" spans="1:73" hidden="1" outlineLevel="1" x14ac:dyDescent="0.25">
      <c r="A171" s="39">
        <f t="shared" si="542"/>
        <v>0</v>
      </c>
      <c r="B171" s="27" t="str">
        <f t="shared" si="543"/>
        <v>SoftwareSensitivity2016Tests\DetailedGeometry\x.cibd16</v>
      </c>
      <c r="C171" s="27" t="str">
        <f t="shared" si="544"/>
        <v>BatchOut_171026_r5178_FinalRel-v3-SSTSG_SSTDG\x.cibd16</v>
      </c>
      <c r="D171" s="27" t="str">
        <f t="shared" si="545"/>
        <v>BatchOut_171026_r5178_FinalRel-v3-SSTSG_SSTDG\XML\</v>
      </c>
      <c r="E171" s="9" t="str">
        <f t="shared" si="546"/>
        <v>x</v>
      </c>
      <c r="F171" s="22"/>
      <c r="G171" s="29"/>
      <c r="H171" s="23" t="str">
        <f t="shared" si="547"/>
        <v/>
      </c>
      <c r="I171" s="9" t="s">
        <v>11</v>
      </c>
      <c r="J17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1" s="15" t="s">
        <v>1</v>
      </c>
      <c r="L171" s="36">
        <f t="shared" si="573"/>
        <v>0</v>
      </c>
      <c r="M171" s="91" t="str">
        <f t="shared" si="548"/>
        <v>x</v>
      </c>
      <c r="N171" s="90" t="s">
        <v>149</v>
      </c>
      <c r="O171" s="28" t="str">
        <f t="shared" si="574"/>
        <v>x</v>
      </c>
      <c r="P171" s="36">
        <f t="shared" si="652"/>
        <v>1</v>
      </c>
      <c r="Q171" s="36">
        <f t="shared" si="652"/>
        <v>1</v>
      </c>
      <c r="R171" s="36">
        <f t="shared" si="652"/>
        <v>0</v>
      </c>
      <c r="S171" s="36">
        <f t="shared" si="652"/>
        <v>1</v>
      </c>
      <c r="T171" s="36">
        <f t="shared" si="652"/>
        <v>0</v>
      </c>
      <c r="U171" s="36">
        <f t="shared" si="652"/>
        <v>8</v>
      </c>
      <c r="V171" s="36">
        <f t="shared" si="652"/>
        <v>8</v>
      </c>
      <c r="W171" s="36">
        <f t="shared" si="652"/>
        <v>1</v>
      </c>
      <c r="X171" s="36">
        <f t="shared" ref="X171:AR186" si="691">X170</f>
        <v>0</v>
      </c>
      <c r="Y171" s="36">
        <f t="shared" si="691"/>
        <v>0</v>
      </c>
      <c r="Z171" s="36">
        <f t="shared" si="691"/>
        <v>0</v>
      </c>
      <c r="AA171" s="36">
        <f t="shared" si="691"/>
        <v>0</v>
      </c>
      <c r="AB171" s="36">
        <f t="shared" si="691"/>
        <v>1</v>
      </c>
      <c r="AC171" s="36">
        <f t="shared" si="560"/>
        <v>0</v>
      </c>
      <c r="AD171" s="36">
        <f t="shared" si="561"/>
        <v>1</v>
      </c>
      <c r="AE171" s="36">
        <f t="shared" si="561"/>
        <v>0</v>
      </c>
      <c r="AF171" s="36">
        <f t="shared" ref="AF171:AG171" si="692">AF170</f>
        <v>0</v>
      </c>
      <c r="AG171" s="36">
        <f t="shared" si="692"/>
        <v>0</v>
      </c>
      <c r="AH171" s="36">
        <f t="shared" ref="AH171:AI171" si="693">AH170</f>
        <v>0</v>
      </c>
      <c r="AI171" s="36">
        <f t="shared" si="693"/>
        <v>0</v>
      </c>
      <c r="AJ171" s="36">
        <f t="shared" si="564"/>
        <v>0</v>
      </c>
      <c r="AK171" s="36">
        <f t="shared" si="565"/>
        <v>0</v>
      </c>
      <c r="AL171" s="36">
        <f t="shared" si="566"/>
        <v>0</v>
      </c>
      <c r="AM171" s="36">
        <f t="shared" si="567"/>
        <v>0</v>
      </c>
      <c r="AN171" s="36">
        <f t="shared" si="568"/>
        <v>0</v>
      </c>
      <c r="AO171" s="36">
        <f t="shared" si="569"/>
        <v>0</v>
      </c>
      <c r="AP171" s="36">
        <f t="shared" si="570"/>
        <v>0</v>
      </c>
      <c r="AQ171" s="36">
        <f t="shared" si="571"/>
        <v>0</v>
      </c>
      <c r="AR171" s="36">
        <f t="shared" si="572"/>
        <v>0</v>
      </c>
      <c r="AS171" s="31" t="str">
        <f t="shared" si="578"/>
        <v>SimulationStorage,1,</v>
      </c>
      <c r="AT171" s="31" t="str">
        <f t="shared" si="579"/>
        <v>AnalysisStorage,1,</v>
      </c>
      <c r="AU171" s="31" t="str">
        <f t="shared" si="580"/>
        <v>LogRuleEvaluation,0,</v>
      </c>
      <c r="AV171" s="31" t="str">
        <f t="shared" si="581"/>
        <v>ParallelSimulations,1,</v>
      </c>
      <c r="AW171" s="31" t="str">
        <f t="shared" si="582"/>
        <v>DurationStats,0,</v>
      </c>
      <c r="AX171" s="31" t="str">
        <f t="shared" si="583"/>
        <v>AnalysisThruStep,8,</v>
      </c>
      <c r="AY171" s="31" t="str">
        <f t="shared" si="584"/>
        <v>DontAbortOnErrorsThruStep,8,</v>
      </c>
      <c r="AZ171" s="31" t="str">
        <f t="shared" si="585"/>
        <v>BypassValidFileChecks,1,</v>
      </c>
      <c r="BA171" s="31" t="str">
        <f t="shared" si="586"/>
        <v>BypassInputChecks,0,</v>
      </c>
      <c r="BB171" s="31" t="str">
        <f t="shared" si="587"/>
        <v>BypassUMLHChecks,0,</v>
      </c>
      <c r="BC171" s="31" t="str">
        <f t="shared" si="588"/>
        <v>BypassCheckSimRules,0,</v>
      </c>
      <c r="BD171" s="31" t="str">
        <f t="shared" si="589"/>
        <v>BypassCheckCodeRules,0,</v>
      </c>
      <c r="BE171" s="31" t="str">
        <f t="shared" si="526"/>
        <v>StoreResultsToModelInput,1,</v>
      </c>
      <c r="BF171" s="31" t="str">
        <f t="shared" si="527"/>
        <v>StoreBEMDetails,0,</v>
      </c>
      <c r="BG171" s="31" t="str">
        <f t="shared" si="528"/>
        <v>ModelRpt_ALL,1,</v>
      </c>
      <c r="BH171" s="31" t="str">
        <f t="shared" si="529"/>
        <v>ExportHourlyResults_All,0,</v>
      </c>
      <c r="BI171" s="31" t="str">
        <f t="shared" si="530"/>
        <v>ComplianceReportPDF,0,</v>
      </c>
      <c r="BJ171" s="31" t="str">
        <f t="shared" si="531"/>
        <v>ComplianceReportXML,0,</v>
      </c>
      <c r="BK171" s="31" t="str">
        <f t="shared" si="532"/>
        <v>QuickAnalysis,0,</v>
      </c>
      <c r="BL171" s="31" t="str">
        <f t="shared" si="532"/>
        <v>PromptUserUMLHWarning,0,</v>
      </c>
      <c r="BM171" s="31" t="str">
        <f t="shared" si="533"/>
        <v>BypassOpenStudio_all,0,</v>
      </c>
      <c r="BN171" s="31" t="str">
        <f t="shared" si="534"/>
        <v>BypassOpenStudio_zp,0,</v>
      </c>
      <c r="BO171" s="31" t="str">
        <f t="shared" si="535"/>
        <v>BypassOpenStudio_zb,0,</v>
      </c>
      <c r="BP171" s="31" t="str">
        <f t="shared" si="536"/>
        <v>BypassOpenStudio_ap,0,</v>
      </c>
      <c r="BQ171" s="31" t="str">
        <f t="shared" si="537"/>
        <v>BypassOpenStudio_ab,0,</v>
      </c>
      <c r="BR171" s="31" t="str">
        <f t="shared" si="538"/>
        <v>BypassOpenStudio_zp,0,</v>
      </c>
      <c r="BS171" s="31" t="str">
        <f t="shared" si="539"/>
        <v>BypassOpenStudio_zb,0,</v>
      </c>
      <c r="BT171" s="31" t="str">
        <f t="shared" si="540"/>
        <v>BypassOpenStudio_ap,0,</v>
      </c>
      <c r="BU171" s="31" t="str">
        <f t="shared" si="541"/>
        <v>BypassOpenStudio_ab,0,</v>
      </c>
    </row>
    <row r="172" spans="1:73" hidden="1" outlineLevel="1" x14ac:dyDescent="0.25">
      <c r="A172" s="39">
        <f t="shared" si="542"/>
        <v>0</v>
      </c>
      <c r="B172" s="27" t="str">
        <f t="shared" si="543"/>
        <v>SoftwareSensitivity2016Tests\DetailedGeometry\x.cibd16</v>
      </c>
      <c r="C172" s="27" t="str">
        <f t="shared" si="544"/>
        <v>BatchOut_171026_r5178_FinalRel-v3-SSTSG_SSTDG\x.cibd16</v>
      </c>
      <c r="D172" s="27" t="str">
        <f t="shared" si="545"/>
        <v>BatchOut_171026_r5178_FinalRel-v3-SSTSG_SSTDG\XML\</v>
      </c>
      <c r="E172" s="9" t="str">
        <f t="shared" si="546"/>
        <v>x</v>
      </c>
      <c r="F172" s="22"/>
      <c r="G172" s="29"/>
      <c r="H172" s="23" t="str">
        <f t="shared" si="547"/>
        <v/>
      </c>
      <c r="I172" s="9" t="s">
        <v>11</v>
      </c>
      <c r="J172"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2" s="15" t="s">
        <v>1</v>
      </c>
      <c r="L172" s="36">
        <f t="shared" si="573"/>
        <v>0</v>
      </c>
      <c r="M172" s="91" t="str">
        <f t="shared" si="548"/>
        <v>x</v>
      </c>
      <c r="N172" s="90" t="s">
        <v>149</v>
      </c>
      <c r="O172" s="28" t="str">
        <f t="shared" si="574"/>
        <v>x</v>
      </c>
      <c r="P172" s="36">
        <f t="shared" ref="P172:AJ195" si="694">P171</f>
        <v>1</v>
      </c>
      <c r="Q172" s="36">
        <f t="shared" si="694"/>
        <v>1</v>
      </c>
      <c r="R172" s="36">
        <f t="shared" si="694"/>
        <v>0</v>
      </c>
      <c r="S172" s="36">
        <f t="shared" si="694"/>
        <v>1</v>
      </c>
      <c r="T172" s="36">
        <f t="shared" si="694"/>
        <v>0</v>
      </c>
      <c r="U172" s="36">
        <f t="shared" si="694"/>
        <v>8</v>
      </c>
      <c r="V172" s="36">
        <f t="shared" si="694"/>
        <v>8</v>
      </c>
      <c r="W172" s="36">
        <f t="shared" si="694"/>
        <v>1</v>
      </c>
      <c r="X172" s="36">
        <f t="shared" si="691"/>
        <v>0</v>
      </c>
      <c r="Y172" s="36">
        <f t="shared" si="691"/>
        <v>0</v>
      </c>
      <c r="Z172" s="36">
        <f t="shared" si="691"/>
        <v>0</v>
      </c>
      <c r="AA172" s="36">
        <f t="shared" si="691"/>
        <v>0</v>
      </c>
      <c r="AB172" s="36">
        <f t="shared" si="691"/>
        <v>1</v>
      </c>
      <c r="AC172" s="36">
        <f t="shared" si="560"/>
        <v>0</v>
      </c>
      <c r="AD172" s="36">
        <f t="shared" si="561"/>
        <v>1</v>
      </c>
      <c r="AE172" s="36">
        <f t="shared" si="561"/>
        <v>0</v>
      </c>
      <c r="AF172" s="36">
        <f t="shared" ref="AF172:AG172" si="695">AF171</f>
        <v>0</v>
      </c>
      <c r="AG172" s="36">
        <f t="shared" si="695"/>
        <v>0</v>
      </c>
      <c r="AH172" s="36">
        <f t="shared" ref="AH172:AI172" si="696">AH171</f>
        <v>0</v>
      </c>
      <c r="AI172" s="36">
        <f t="shared" si="696"/>
        <v>0</v>
      </c>
      <c r="AJ172" s="36">
        <f t="shared" si="564"/>
        <v>0</v>
      </c>
      <c r="AK172" s="36">
        <f t="shared" si="565"/>
        <v>0</v>
      </c>
      <c r="AL172" s="36">
        <f t="shared" si="566"/>
        <v>0</v>
      </c>
      <c r="AM172" s="36">
        <f t="shared" si="567"/>
        <v>0</v>
      </c>
      <c r="AN172" s="36">
        <f t="shared" si="568"/>
        <v>0</v>
      </c>
      <c r="AO172" s="36">
        <f t="shared" si="569"/>
        <v>0</v>
      </c>
      <c r="AP172" s="36">
        <f t="shared" si="570"/>
        <v>0</v>
      </c>
      <c r="AQ172" s="36">
        <f t="shared" si="571"/>
        <v>0</v>
      </c>
      <c r="AR172" s="36">
        <f t="shared" si="572"/>
        <v>0</v>
      </c>
      <c r="AS172" s="31" t="str">
        <f t="shared" si="578"/>
        <v>SimulationStorage,1,</v>
      </c>
      <c r="AT172" s="31" t="str">
        <f t="shared" si="579"/>
        <v>AnalysisStorage,1,</v>
      </c>
      <c r="AU172" s="31" t="str">
        <f t="shared" si="580"/>
        <v>LogRuleEvaluation,0,</v>
      </c>
      <c r="AV172" s="31" t="str">
        <f t="shared" si="581"/>
        <v>ParallelSimulations,1,</v>
      </c>
      <c r="AW172" s="31" t="str">
        <f t="shared" si="582"/>
        <v>DurationStats,0,</v>
      </c>
      <c r="AX172" s="31" t="str">
        <f t="shared" si="583"/>
        <v>AnalysisThruStep,8,</v>
      </c>
      <c r="AY172" s="31" t="str">
        <f t="shared" si="584"/>
        <v>DontAbortOnErrorsThruStep,8,</v>
      </c>
      <c r="AZ172" s="31" t="str">
        <f t="shared" si="585"/>
        <v>BypassValidFileChecks,1,</v>
      </c>
      <c r="BA172" s="31" t="str">
        <f t="shared" si="586"/>
        <v>BypassInputChecks,0,</v>
      </c>
      <c r="BB172" s="31" t="str">
        <f t="shared" si="587"/>
        <v>BypassUMLHChecks,0,</v>
      </c>
      <c r="BC172" s="31" t="str">
        <f t="shared" si="588"/>
        <v>BypassCheckSimRules,0,</v>
      </c>
      <c r="BD172" s="31" t="str">
        <f t="shared" si="589"/>
        <v>BypassCheckCodeRules,0,</v>
      </c>
      <c r="BE172" s="31" t="str">
        <f t="shared" si="526"/>
        <v>StoreResultsToModelInput,1,</v>
      </c>
      <c r="BF172" s="31" t="str">
        <f t="shared" si="527"/>
        <v>StoreBEMDetails,0,</v>
      </c>
      <c r="BG172" s="31" t="str">
        <f t="shared" si="528"/>
        <v>ModelRpt_ALL,1,</v>
      </c>
      <c r="BH172" s="31" t="str">
        <f t="shared" si="529"/>
        <v>ExportHourlyResults_All,0,</v>
      </c>
      <c r="BI172" s="31" t="str">
        <f t="shared" si="530"/>
        <v>ComplianceReportPDF,0,</v>
      </c>
      <c r="BJ172" s="31" t="str">
        <f t="shared" si="531"/>
        <v>ComplianceReportXML,0,</v>
      </c>
      <c r="BK172" s="31" t="str">
        <f t="shared" si="532"/>
        <v>QuickAnalysis,0,</v>
      </c>
      <c r="BL172" s="31" t="str">
        <f t="shared" si="532"/>
        <v>PromptUserUMLHWarning,0,</v>
      </c>
      <c r="BM172" s="31" t="str">
        <f t="shared" si="533"/>
        <v>BypassOpenStudio_all,0,</v>
      </c>
      <c r="BN172" s="31" t="str">
        <f t="shared" si="534"/>
        <v>BypassOpenStudio_zp,0,</v>
      </c>
      <c r="BO172" s="31" t="str">
        <f t="shared" si="535"/>
        <v>BypassOpenStudio_zb,0,</v>
      </c>
      <c r="BP172" s="31" t="str">
        <f t="shared" si="536"/>
        <v>BypassOpenStudio_ap,0,</v>
      </c>
      <c r="BQ172" s="31" t="str">
        <f t="shared" si="537"/>
        <v>BypassOpenStudio_ab,0,</v>
      </c>
      <c r="BR172" s="31" t="str">
        <f t="shared" si="538"/>
        <v>BypassOpenStudio_zp,0,</v>
      </c>
      <c r="BS172" s="31" t="str">
        <f t="shared" si="539"/>
        <v>BypassOpenStudio_zb,0,</v>
      </c>
      <c r="BT172" s="31" t="str">
        <f t="shared" si="540"/>
        <v>BypassOpenStudio_ap,0,</v>
      </c>
      <c r="BU172" s="31" t="str">
        <f t="shared" si="541"/>
        <v>BypassOpenStudio_ab,0,</v>
      </c>
    </row>
    <row r="173" spans="1:73" hidden="1" outlineLevel="1" x14ac:dyDescent="0.25">
      <c r="A173" s="39">
        <f t="shared" si="542"/>
        <v>0</v>
      </c>
      <c r="B173" s="27" t="str">
        <f t="shared" si="543"/>
        <v>SoftwareSensitivity2016Tests\DetailedGeometry\x.cibd16</v>
      </c>
      <c r="C173" s="27" t="str">
        <f t="shared" si="544"/>
        <v>BatchOut_171026_r5178_FinalRel-v3-SSTSG_SSTDG\x.cibd16</v>
      </c>
      <c r="D173" s="27" t="str">
        <f t="shared" si="545"/>
        <v>BatchOut_171026_r5178_FinalRel-v3-SSTSG_SSTDG\XML\</v>
      </c>
      <c r="E173" s="9" t="str">
        <f t="shared" si="546"/>
        <v>x</v>
      </c>
      <c r="F173" s="22"/>
      <c r="G173" s="29"/>
      <c r="H173" s="23" t="str">
        <f t="shared" si="547"/>
        <v/>
      </c>
      <c r="I173" s="9" t="s">
        <v>11</v>
      </c>
      <c r="J173"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3" s="15" t="s">
        <v>1</v>
      </c>
      <c r="L173" s="36">
        <f t="shared" si="573"/>
        <v>0</v>
      </c>
      <c r="M173" s="91" t="str">
        <f t="shared" si="548"/>
        <v>x</v>
      </c>
      <c r="N173" s="90" t="s">
        <v>149</v>
      </c>
      <c r="O173" s="28" t="str">
        <f t="shared" si="574"/>
        <v>x</v>
      </c>
      <c r="P173" s="36">
        <f t="shared" si="694"/>
        <v>1</v>
      </c>
      <c r="Q173" s="36">
        <f t="shared" si="694"/>
        <v>1</v>
      </c>
      <c r="R173" s="36">
        <f t="shared" si="694"/>
        <v>0</v>
      </c>
      <c r="S173" s="36">
        <f t="shared" si="694"/>
        <v>1</v>
      </c>
      <c r="T173" s="36">
        <f t="shared" si="694"/>
        <v>0</v>
      </c>
      <c r="U173" s="36">
        <f t="shared" si="694"/>
        <v>8</v>
      </c>
      <c r="V173" s="36">
        <f t="shared" si="694"/>
        <v>8</v>
      </c>
      <c r="W173" s="36">
        <f t="shared" si="694"/>
        <v>1</v>
      </c>
      <c r="X173" s="36">
        <f t="shared" si="691"/>
        <v>0</v>
      </c>
      <c r="Y173" s="36">
        <f t="shared" si="691"/>
        <v>0</v>
      </c>
      <c r="Z173" s="36">
        <f t="shared" si="691"/>
        <v>0</v>
      </c>
      <c r="AA173" s="36">
        <f t="shared" si="691"/>
        <v>0</v>
      </c>
      <c r="AB173" s="36">
        <f t="shared" si="691"/>
        <v>1</v>
      </c>
      <c r="AC173" s="36">
        <f t="shared" si="560"/>
        <v>0</v>
      </c>
      <c r="AD173" s="36">
        <f t="shared" si="561"/>
        <v>1</v>
      </c>
      <c r="AE173" s="36">
        <f t="shared" si="561"/>
        <v>0</v>
      </c>
      <c r="AF173" s="36">
        <f t="shared" ref="AF173:AG173" si="697">AF172</f>
        <v>0</v>
      </c>
      <c r="AG173" s="36">
        <f t="shared" si="697"/>
        <v>0</v>
      </c>
      <c r="AH173" s="36">
        <f t="shared" ref="AH173:AI173" si="698">AH172</f>
        <v>0</v>
      </c>
      <c r="AI173" s="36">
        <f t="shared" si="698"/>
        <v>0</v>
      </c>
      <c r="AJ173" s="36">
        <f t="shared" si="564"/>
        <v>0</v>
      </c>
      <c r="AK173" s="36">
        <f t="shared" si="565"/>
        <v>0</v>
      </c>
      <c r="AL173" s="36">
        <f t="shared" si="566"/>
        <v>0</v>
      </c>
      <c r="AM173" s="36">
        <f t="shared" si="567"/>
        <v>0</v>
      </c>
      <c r="AN173" s="36">
        <f t="shared" si="568"/>
        <v>0</v>
      </c>
      <c r="AO173" s="36">
        <f t="shared" si="569"/>
        <v>0</v>
      </c>
      <c r="AP173" s="36">
        <f t="shared" si="570"/>
        <v>0</v>
      </c>
      <c r="AQ173" s="36">
        <f t="shared" si="571"/>
        <v>0</v>
      </c>
      <c r="AR173" s="36">
        <f t="shared" si="572"/>
        <v>0</v>
      </c>
      <c r="AS173" s="31" t="str">
        <f t="shared" si="578"/>
        <v>SimulationStorage,1,</v>
      </c>
      <c r="AT173" s="31" t="str">
        <f t="shared" si="579"/>
        <v>AnalysisStorage,1,</v>
      </c>
      <c r="AU173" s="31" t="str">
        <f t="shared" si="580"/>
        <v>LogRuleEvaluation,0,</v>
      </c>
      <c r="AV173" s="31" t="str">
        <f t="shared" si="581"/>
        <v>ParallelSimulations,1,</v>
      </c>
      <c r="AW173" s="31" t="str">
        <f t="shared" si="582"/>
        <v>DurationStats,0,</v>
      </c>
      <c r="AX173" s="31" t="str">
        <f t="shared" si="583"/>
        <v>AnalysisThruStep,8,</v>
      </c>
      <c r="AY173" s="31" t="str">
        <f t="shared" si="584"/>
        <v>DontAbortOnErrorsThruStep,8,</v>
      </c>
      <c r="AZ173" s="31" t="str">
        <f t="shared" si="585"/>
        <v>BypassValidFileChecks,1,</v>
      </c>
      <c r="BA173" s="31" t="str">
        <f t="shared" si="586"/>
        <v>BypassInputChecks,0,</v>
      </c>
      <c r="BB173" s="31" t="str">
        <f t="shared" si="587"/>
        <v>BypassUMLHChecks,0,</v>
      </c>
      <c r="BC173" s="31" t="str">
        <f t="shared" si="588"/>
        <v>BypassCheckSimRules,0,</v>
      </c>
      <c r="BD173" s="31" t="str">
        <f t="shared" si="589"/>
        <v>BypassCheckCodeRules,0,</v>
      </c>
      <c r="BE173" s="31" t="str">
        <f t="shared" si="526"/>
        <v>StoreResultsToModelInput,1,</v>
      </c>
      <c r="BF173" s="31" t="str">
        <f t="shared" si="527"/>
        <v>StoreBEMDetails,0,</v>
      </c>
      <c r="BG173" s="31" t="str">
        <f t="shared" si="528"/>
        <v>ModelRpt_ALL,1,</v>
      </c>
      <c r="BH173" s="31" t="str">
        <f t="shared" si="529"/>
        <v>ExportHourlyResults_All,0,</v>
      </c>
      <c r="BI173" s="31" t="str">
        <f t="shared" si="530"/>
        <v>ComplianceReportPDF,0,</v>
      </c>
      <c r="BJ173" s="31" t="str">
        <f t="shared" si="531"/>
        <v>ComplianceReportXML,0,</v>
      </c>
      <c r="BK173" s="31" t="str">
        <f t="shared" si="532"/>
        <v>QuickAnalysis,0,</v>
      </c>
      <c r="BL173" s="31" t="str">
        <f t="shared" si="532"/>
        <v>PromptUserUMLHWarning,0,</v>
      </c>
      <c r="BM173" s="31" t="str">
        <f t="shared" si="533"/>
        <v>BypassOpenStudio_all,0,</v>
      </c>
      <c r="BN173" s="31" t="str">
        <f t="shared" si="534"/>
        <v>BypassOpenStudio_zp,0,</v>
      </c>
      <c r="BO173" s="31" t="str">
        <f t="shared" si="535"/>
        <v>BypassOpenStudio_zb,0,</v>
      </c>
      <c r="BP173" s="31" t="str">
        <f t="shared" si="536"/>
        <v>BypassOpenStudio_ap,0,</v>
      </c>
      <c r="BQ173" s="31" t="str">
        <f t="shared" si="537"/>
        <v>BypassOpenStudio_ab,0,</v>
      </c>
      <c r="BR173" s="31" t="str">
        <f t="shared" si="538"/>
        <v>BypassOpenStudio_zp,0,</v>
      </c>
      <c r="BS173" s="31" t="str">
        <f t="shared" si="539"/>
        <v>BypassOpenStudio_zb,0,</v>
      </c>
      <c r="BT173" s="31" t="str">
        <f t="shared" si="540"/>
        <v>BypassOpenStudio_ap,0,</v>
      </c>
      <c r="BU173" s="31" t="str">
        <f t="shared" si="541"/>
        <v>BypassOpenStudio_ab,0,</v>
      </c>
    </row>
    <row r="174" spans="1:73" hidden="1" outlineLevel="1" x14ac:dyDescent="0.25">
      <c r="A174" s="39">
        <f t="shared" si="542"/>
        <v>0</v>
      </c>
      <c r="B174" s="27" t="str">
        <f t="shared" si="543"/>
        <v>SoftwareSensitivity2016Tests\DetailedGeometry\x.cibd16</v>
      </c>
      <c r="C174" s="27" t="str">
        <f t="shared" si="544"/>
        <v>BatchOut_171026_r5178_FinalRel-v3-SSTSG_SSTDG\x.cibd16</v>
      </c>
      <c r="D174" s="27" t="str">
        <f t="shared" si="545"/>
        <v>BatchOut_171026_r5178_FinalRel-v3-SSTSG_SSTDG\XML\</v>
      </c>
      <c r="E174" s="9" t="str">
        <f t="shared" si="546"/>
        <v>x</v>
      </c>
      <c r="F174" s="22"/>
      <c r="G174" s="29"/>
      <c r="H174" s="23" t="str">
        <f t="shared" si="547"/>
        <v/>
      </c>
      <c r="I174" s="9" t="s">
        <v>11</v>
      </c>
      <c r="J174"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4" s="15" t="s">
        <v>1</v>
      </c>
      <c r="L174" s="36">
        <f t="shared" si="573"/>
        <v>0</v>
      </c>
      <c r="M174" s="91" t="str">
        <f t="shared" si="548"/>
        <v>x</v>
      </c>
      <c r="N174" s="90" t="s">
        <v>149</v>
      </c>
      <c r="O174" s="28" t="str">
        <f t="shared" si="574"/>
        <v>x</v>
      </c>
      <c r="P174" s="36">
        <f t="shared" si="694"/>
        <v>1</v>
      </c>
      <c r="Q174" s="36">
        <f t="shared" si="694"/>
        <v>1</v>
      </c>
      <c r="R174" s="36">
        <f t="shared" si="694"/>
        <v>0</v>
      </c>
      <c r="S174" s="36">
        <f t="shared" si="694"/>
        <v>1</v>
      </c>
      <c r="T174" s="36">
        <f t="shared" si="694"/>
        <v>0</v>
      </c>
      <c r="U174" s="36">
        <f t="shared" si="694"/>
        <v>8</v>
      </c>
      <c r="V174" s="36">
        <f t="shared" si="694"/>
        <v>8</v>
      </c>
      <c r="W174" s="36">
        <f t="shared" si="694"/>
        <v>1</v>
      </c>
      <c r="X174" s="36">
        <f t="shared" si="691"/>
        <v>0</v>
      </c>
      <c r="Y174" s="36">
        <f t="shared" si="691"/>
        <v>0</v>
      </c>
      <c r="Z174" s="36">
        <f t="shared" si="691"/>
        <v>0</v>
      </c>
      <c r="AA174" s="36">
        <f t="shared" si="691"/>
        <v>0</v>
      </c>
      <c r="AB174" s="36">
        <f t="shared" si="691"/>
        <v>1</v>
      </c>
      <c r="AC174" s="36">
        <f t="shared" si="560"/>
        <v>0</v>
      </c>
      <c r="AD174" s="36">
        <f t="shared" si="561"/>
        <v>1</v>
      </c>
      <c r="AE174" s="36">
        <f t="shared" si="561"/>
        <v>0</v>
      </c>
      <c r="AF174" s="36">
        <f t="shared" ref="AF174:AG174" si="699">AF173</f>
        <v>0</v>
      </c>
      <c r="AG174" s="36">
        <f t="shared" si="699"/>
        <v>0</v>
      </c>
      <c r="AH174" s="36">
        <f t="shared" ref="AH174:AI174" si="700">AH173</f>
        <v>0</v>
      </c>
      <c r="AI174" s="36">
        <f t="shared" si="700"/>
        <v>0</v>
      </c>
      <c r="AJ174" s="36">
        <f t="shared" si="564"/>
        <v>0</v>
      </c>
      <c r="AK174" s="36">
        <f t="shared" si="565"/>
        <v>0</v>
      </c>
      <c r="AL174" s="36">
        <f t="shared" si="566"/>
        <v>0</v>
      </c>
      <c r="AM174" s="36">
        <f t="shared" si="567"/>
        <v>0</v>
      </c>
      <c r="AN174" s="36">
        <f t="shared" si="568"/>
        <v>0</v>
      </c>
      <c r="AO174" s="36">
        <f t="shared" si="569"/>
        <v>0</v>
      </c>
      <c r="AP174" s="36">
        <f t="shared" si="570"/>
        <v>0</v>
      </c>
      <c r="AQ174" s="36">
        <f t="shared" si="571"/>
        <v>0</v>
      </c>
      <c r="AR174" s="36">
        <f t="shared" si="572"/>
        <v>0</v>
      </c>
      <c r="AS174" s="31" t="str">
        <f t="shared" si="578"/>
        <v>SimulationStorage,1,</v>
      </c>
      <c r="AT174" s="31" t="str">
        <f t="shared" si="579"/>
        <v>AnalysisStorage,1,</v>
      </c>
      <c r="AU174" s="31" t="str">
        <f t="shared" si="580"/>
        <v>LogRuleEvaluation,0,</v>
      </c>
      <c r="AV174" s="31" t="str">
        <f t="shared" si="581"/>
        <v>ParallelSimulations,1,</v>
      </c>
      <c r="AW174" s="31" t="str">
        <f t="shared" si="582"/>
        <v>DurationStats,0,</v>
      </c>
      <c r="AX174" s="31" t="str">
        <f t="shared" si="583"/>
        <v>AnalysisThruStep,8,</v>
      </c>
      <c r="AY174" s="31" t="str">
        <f t="shared" si="584"/>
        <v>DontAbortOnErrorsThruStep,8,</v>
      </c>
      <c r="AZ174" s="31" t="str">
        <f t="shared" si="585"/>
        <v>BypassValidFileChecks,1,</v>
      </c>
      <c r="BA174" s="31" t="str">
        <f t="shared" si="586"/>
        <v>BypassInputChecks,0,</v>
      </c>
      <c r="BB174" s="31" t="str">
        <f t="shared" si="587"/>
        <v>BypassUMLHChecks,0,</v>
      </c>
      <c r="BC174" s="31" t="str">
        <f t="shared" si="588"/>
        <v>BypassCheckSimRules,0,</v>
      </c>
      <c r="BD174" s="31" t="str">
        <f t="shared" si="589"/>
        <v>BypassCheckCodeRules,0,</v>
      </c>
      <c r="BE174" s="31" t="str">
        <f t="shared" si="526"/>
        <v>StoreResultsToModelInput,1,</v>
      </c>
      <c r="BF174" s="31" t="str">
        <f t="shared" si="527"/>
        <v>StoreBEMDetails,0,</v>
      </c>
      <c r="BG174" s="31" t="str">
        <f t="shared" si="528"/>
        <v>ModelRpt_ALL,1,</v>
      </c>
      <c r="BH174" s="31" t="str">
        <f t="shared" si="529"/>
        <v>ExportHourlyResults_All,0,</v>
      </c>
      <c r="BI174" s="31" t="str">
        <f t="shared" si="530"/>
        <v>ComplianceReportPDF,0,</v>
      </c>
      <c r="BJ174" s="31" t="str">
        <f t="shared" si="531"/>
        <v>ComplianceReportXML,0,</v>
      </c>
      <c r="BK174" s="31" t="str">
        <f t="shared" si="532"/>
        <v>QuickAnalysis,0,</v>
      </c>
      <c r="BL174" s="31" t="str">
        <f t="shared" si="532"/>
        <v>PromptUserUMLHWarning,0,</v>
      </c>
      <c r="BM174" s="31" t="str">
        <f t="shared" si="533"/>
        <v>BypassOpenStudio_all,0,</v>
      </c>
      <c r="BN174" s="31" t="str">
        <f t="shared" si="534"/>
        <v>BypassOpenStudio_zp,0,</v>
      </c>
      <c r="BO174" s="31" t="str">
        <f t="shared" si="535"/>
        <v>BypassOpenStudio_zb,0,</v>
      </c>
      <c r="BP174" s="31" t="str">
        <f t="shared" si="536"/>
        <v>BypassOpenStudio_ap,0,</v>
      </c>
      <c r="BQ174" s="31" t="str">
        <f t="shared" si="537"/>
        <v>BypassOpenStudio_ab,0,</v>
      </c>
      <c r="BR174" s="31" t="str">
        <f t="shared" si="538"/>
        <v>BypassOpenStudio_zp,0,</v>
      </c>
      <c r="BS174" s="31" t="str">
        <f t="shared" si="539"/>
        <v>BypassOpenStudio_zb,0,</v>
      </c>
      <c r="BT174" s="31" t="str">
        <f t="shared" si="540"/>
        <v>BypassOpenStudio_ap,0,</v>
      </c>
      <c r="BU174" s="31" t="str">
        <f t="shared" si="541"/>
        <v>BypassOpenStudio_ab,0,</v>
      </c>
    </row>
    <row r="175" spans="1:73" hidden="1" outlineLevel="1" x14ac:dyDescent="0.25">
      <c r="A175" s="39">
        <f t="shared" si="542"/>
        <v>0</v>
      </c>
      <c r="B175" s="27" t="str">
        <f t="shared" si="543"/>
        <v>SoftwareSensitivity2016Tests\DetailedGeometry\x.cibd16</v>
      </c>
      <c r="C175" s="27" t="str">
        <f t="shared" si="544"/>
        <v>BatchOut_171026_r5178_FinalRel-v3-SSTSG_SSTDG\x.cibd16</v>
      </c>
      <c r="D175" s="27" t="str">
        <f t="shared" si="545"/>
        <v>BatchOut_171026_r5178_FinalRel-v3-SSTSG_SSTDG\XML\</v>
      </c>
      <c r="E175" s="9" t="str">
        <f t="shared" si="546"/>
        <v>x</v>
      </c>
      <c r="F175" s="22"/>
      <c r="G175" s="29"/>
      <c r="H175" s="23" t="str">
        <f t="shared" si="547"/>
        <v/>
      </c>
      <c r="I175" s="9" t="s">
        <v>11</v>
      </c>
      <c r="J175"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5" s="15" t="s">
        <v>1</v>
      </c>
      <c r="L175" s="36">
        <f t="shared" si="573"/>
        <v>0</v>
      </c>
      <c r="M175" s="91" t="str">
        <f t="shared" si="548"/>
        <v>x</v>
      </c>
      <c r="N175" s="90" t="s">
        <v>149</v>
      </c>
      <c r="O175" s="28" t="str">
        <f t="shared" si="574"/>
        <v>x</v>
      </c>
      <c r="P175" s="36">
        <f t="shared" si="694"/>
        <v>1</v>
      </c>
      <c r="Q175" s="36">
        <f t="shared" si="694"/>
        <v>1</v>
      </c>
      <c r="R175" s="36">
        <f t="shared" si="694"/>
        <v>0</v>
      </c>
      <c r="S175" s="36">
        <f t="shared" si="694"/>
        <v>1</v>
      </c>
      <c r="T175" s="36">
        <f t="shared" si="694"/>
        <v>0</v>
      </c>
      <c r="U175" s="36">
        <f t="shared" si="694"/>
        <v>8</v>
      </c>
      <c r="V175" s="36">
        <f t="shared" si="694"/>
        <v>8</v>
      </c>
      <c r="W175" s="36">
        <f t="shared" si="694"/>
        <v>1</v>
      </c>
      <c r="X175" s="36">
        <f t="shared" si="691"/>
        <v>0</v>
      </c>
      <c r="Y175" s="36">
        <f t="shared" si="691"/>
        <v>0</v>
      </c>
      <c r="Z175" s="36">
        <f t="shared" si="691"/>
        <v>0</v>
      </c>
      <c r="AA175" s="36">
        <f t="shared" si="691"/>
        <v>0</v>
      </c>
      <c r="AB175" s="36">
        <f t="shared" si="691"/>
        <v>1</v>
      </c>
      <c r="AC175" s="36">
        <f t="shared" si="560"/>
        <v>0</v>
      </c>
      <c r="AD175" s="36">
        <f t="shared" si="561"/>
        <v>1</v>
      </c>
      <c r="AE175" s="36">
        <f t="shared" si="561"/>
        <v>0</v>
      </c>
      <c r="AF175" s="36">
        <f t="shared" ref="AF175:AG175" si="701">AF174</f>
        <v>0</v>
      </c>
      <c r="AG175" s="36">
        <f t="shared" si="701"/>
        <v>0</v>
      </c>
      <c r="AH175" s="36">
        <f t="shared" ref="AH175:AI175" si="702">AH174</f>
        <v>0</v>
      </c>
      <c r="AI175" s="36">
        <f t="shared" si="702"/>
        <v>0</v>
      </c>
      <c r="AJ175" s="36">
        <f t="shared" si="564"/>
        <v>0</v>
      </c>
      <c r="AK175" s="36">
        <f t="shared" si="565"/>
        <v>0</v>
      </c>
      <c r="AL175" s="36">
        <f t="shared" si="566"/>
        <v>0</v>
      </c>
      <c r="AM175" s="36">
        <f t="shared" si="567"/>
        <v>0</v>
      </c>
      <c r="AN175" s="36">
        <f t="shared" si="568"/>
        <v>0</v>
      </c>
      <c r="AO175" s="36">
        <f t="shared" si="569"/>
        <v>0</v>
      </c>
      <c r="AP175" s="36">
        <f t="shared" si="570"/>
        <v>0</v>
      </c>
      <c r="AQ175" s="36">
        <f t="shared" si="571"/>
        <v>0</v>
      </c>
      <c r="AR175" s="36">
        <f t="shared" si="572"/>
        <v>0</v>
      </c>
      <c r="AS175" s="31" t="str">
        <f t="shared" si="578"/>
        <v>SimulationStorage,1,</v>
      </c>
      <c r="AT175" s="31" t="str">
        <f t="shared" si="579"/>
        <v>AnalysisStorage,1,</v>
      </c>
      <c r="AU175" s="31" t="str">
        <f t="shared" si="580"/>
        <v>LogRuleEvaluation,0,</v>
      </c>
      <c r="AV175" s="31" t="str">
        <f t="shared" si="581"/>
        <v>ParallelSimulations,1,</v>
      </c>
      <c r="AW175" s="31" t="str">
        <f t="shared" si="582"/>
        <v>DurationStats,0,</v>
      </c>
      <c r="AX175" s="31" t="str">
        <f t="shared" si="583"/>
        <v>AnalysisThruStep,8,</v>
      </c>
      <c r="AY175" s="31" t="str">
        <f t="shared" si="584"/>
        <v>DontAbortOnErrorsThruStep,8,</v>
      </c>
      <c r="AZ175" s="31" t="str">
        <f t="shared" si="585"/>
        <v>BypassValidFileChecks,1,</v>
      </c>
      <c r="BA175" s="31" t="str">
        <f t="shared" si="586"/>
        <v>BypassInputChecks,0,</v>
      </c>
      <c r="BB175" s="31" t="str">
        <f t="shared" si="587"/>
        <v>BypassUMLHChecks,0,</v>
      </c>
      <c r="BC175" s="31" t="str">
        <f t="shared" si="588"/>
        <v>BypassCheckSimRules,0,</v>
      </c>
      <c r="BD175" s="31" t="str">
        <f t="shared" si="589"/>
        <v>BypassCheckCodeRules,0,</v>
      </c>
      <c r="BE175" s="31" t="str">
        <f t="shared" si="526"/>
        <v>StoreResultsToModelInput,1,</v>
      </c>
      <c r="BF175" s="31" t="str">
        <f t="shared" si="527"/>
        <v>StoreBEMDetails,0,</v>
      </c>
      <c r="BG175" s="31" t="str">
        <f t="shared" si="528"/>
        <v>ModelRpt_ALL,1,</v>
      </c>
      <c r="BH175" s="31" t="str">
        <f t="shared" si="529"/>
        <v>ExportHourlyResults_All,0,</v>
      </c>
      <c r="BI175" s="31" t="str">
        <f t="shared" si="530"/>
        <v>ComplianceReportPDF,0,</v>
      </c>
      <c r="BJ175" s="31" t="str">
        <f t="shared" si="531"/>
        <v>ComplianceReportXML,0,</v>
      </c>
      <c r="BK175" s="31" t="str">
        <f t="shared" si="532"/>
        <v>QuickAnalysis,0,</v>
      </c>
      <c r="BL175" s="31" t="str">
        <f t="shared" si="532"/>
        <v>PromptUserUMLHWarning,0,</v>
      </c>
      <c r="BM175" s="31" t="str">
        <f t="shared" si="533"/>
        <v>BypassOpenStudio_all,0,</v>
      </c>
      <c r="BN175" s="31" t="str">
        <f t="shared" si="534"/>
        <v>BypassOpenStudio_zp,0,</v>
      </c>
      <c r="BO175" s="31" t="str">
        <f t="shared" si="535"/>
        <v>BypassOpenStudio_zb,0,</v>
      </c>
      <c r="BP175" s="31" t="str">
        <f t="shared" si="536"/>
        <v>BypassOpenStudio_ap,0,</v>
      </c>
      <c r="BQ175" s="31" t="str">
        <f t="shared" si="537"/>
        <v>BypassOpenStudio_ab,0,</v>
      </c>
      <c r="BR175" s="31" t="str">
        <f t="shared" si="538"/>
        <v>BypassOpenStudio_zp,0,</v>
      </c>
      <c r="BS175" s="31" t="str">
        <f t="shared" si="539"/>
        <v>BypassOpenStudio_zb,0,</v>
      </c>
      <c r="BT175" s="31" t="str">
        <f t="shared" si="540"/>
        <v>BypassOpenStudio_ap,0,</v>
      </c>
      <c r="BU175" s="31" t="str">
        <f t="shared" si="541"/>
        <v>BypassOpenStudio_ab,0,</v>
      </c>
    </row>
    <row r="176" spans="1:73" hidden="1" outlineLevel="1" x14ac:dyDescent="0.25">
      <c r="A176" s="39">
        <f t="shared" si="542"/>
        <v>0</v>
      </c>
      <c r="B176" s="27" t="str">
        <f t="shared" si="543"/>
        <v>SoftwareSensitivity2016Tests\DetailedGeometry\x.cibd16</v>
      </c>
      <c r="C176" s="27" t="str">
        <f t="shared" si="544"/>
        <v>BatchOut_171026_r5178_FinalRel-v3-SSTSG_SSTDG\x.cibd16</v>
      </c>
      <c r="D176" s="27" t="str">
        <f t="shared" si="545"/>
        <v>BatchOut_171026_r5178_FinalRel-v3-SSTSG_SSTDG\XML\</v>
      </c>
      <c r="E176" s="9" t="str">
        <f t="shared" si="546"/>
        <v>x</v>
      </c>
      <c r="F176" s="22"/>
      <c r="G176" s="29"/>
      <c r="H176" s="23" t="str">
        <f t="shared" si="547"/>
        <v/>
      </c>
      <c r="I176" s="9" t="s">
        <v>11</v>
      </c>
      <c r="J176"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6" s="15" t="s">
        <v>1</v>
      </c>
      <c r="L176" s="36">
        <f t="shared" si="573"/>
        <v>0</v>
      </c>
      <c r="M176" s="91" t="str">
        <f t="shared" si="548"/>
        <v>x</v>
      </c>
      <c r="N176" s="90" t="s">
        <v>149</v>
      </c>
      <c r="O176" s="28" t="str">
        <f t="shared" si="574"/>
        <v>x</v>
      </c>
      <c r="P176" s="36">
        <f t="shared" si="694"/>
        <v>1</v>
      </c>
      <c r="Q176" s="36">
        <f t="shared" si="694"/>
        <v>1</v>
      </c>
      <c r="R176" s="36">
        <f t="shared" si="694"/>
        <v>0</v>
      </c>
      <c r="S176" s="36">
        <f t="shared" si="694"/>
        <v>1</v>
      </c>
      <c r="T176" s="36">
        <f t="shared" si="694"/>
        <v>0</v>
      </c>
      <c r="U176" s="36">
        <f t="shared" si="694"/>
        <v>8</v>
      </c>
      <c r="V176" s="36">
        <f t="shared" si="694"/>
        <v>8</v>
      </c>
      <c r="W176" s="36">
        <f t="shared" si="694"/>
        <v>1</v>
      </c>
      <c r="X176" s="36">
        <f t="shared" si="691"/>
        <v>0</v>
      </c>
      <c r="Y176" s="36">
        <f t="shared" si="691"/>
        <v>0</v>
      </c>
      <c r="Z176" s="36">
        <f t="shared" si="691"/>
        <v>0</v>
      </c>
      <c r="AA176" s="36">
        <f t="shared" si="691"/>
        <v>0</v>
      </c>
      <c r="AB176" s="36">
        <f t="shared" si="691"/>
        <v>1</v>
      </c>
      <c r="AC176" s="36">
        <f t="shared" si="560"/>
        <v>0</v>
      </c>
      <c r="AD176" s="36">
        <f t="shared" si="561"/>
        <v>1</v>
      </c>
      <c r="AE176" s="36">
        <f t="shared" si="561"/>
        <v>0</v>
      </c>
      <c r="AF176" s="36">
        <f t="shared" ref="AF176:AG176" si="703">AF175</f>
        <v>0</v>
      </c>
      <c r="AG176" s="36">
        <f t="shared" si="703"/>
        <v>0</v>
      </c>
      <c r="AH176" s="36">
        <f t="shared" ref="AH176:AI176" si="704">AH175</f>
        <v>0</v>
      </c>
      <c r="AI176" s="36">
        <f t="shared" si="704"/>
        <v>0</v>
      </c>
      <c r="AJ176" s="36">
        <f t="shared" si="564"/>
        <v>0</v>
      </c>
      <c r="AK176" s="36">
        <f t="shared" si="565"/>
        <v>0</v>
      </c>
      <c r="AL176" s="36">
        <f t="shared" si="566"/>
        <v>0</v>
      </c>
      <c r="AM176" s="36">
        <f t="shared" si="567"/>
        <v>0</v>
      </c>
      <c r="AN176" s="36">
        <f t="shared" si="568"/>
        <v>0</v>
      </c>
      <c r="AO176" s="36">
        <f t="shared" si="569"/>
        <v>0</v>
      </c>
      <c r="AP176" s="36">
        <f t="shared" si="570"/>
        <v>0</v>
      </c>
      <c r="AQ176" s="36">
        <f t="shared" si="571"/>
        <v>0</v>
      </c>
      <c r="AR176" s="36">
        <f t="shared" si="572"/>
        <v>0</v>
      </c>
      <c r="AS176" s="31" t="str">
        <f t="shared" si="578"/>
        <v>SimulationStorage,1,</v>
      </c>
      <c r="AT176" s="31" t="str">
        <f t="shared" si="579"/>
        <v>AnalysisStorage,1,</v>
      </c>
      <c r="AU176" s="31" t="str">
        <f t="shared" si="580"/>
        <v>LogRuleEvaluation,0,</v>
      </c>
      <c r="AV176" s="31" t="str">
        <f t="shared" si="581"/>
        <v>ParallelSimulations,1,</v>
      </c>
      <c r="AW176" s="31" t="str">
        <f t="shared" si="582"/>
        <v>DurationStats,0,</v>
      </c>
      <c r="AX176" s="31" t="str">
        <f t="shared" si="583"/>
        <v>AnalysisThruStep,8,</v>
      </c>
      <c r="AY176" s="31" t="str">
        <f t="shared" si="584"/>
        <v>DontAbortOnErrorsThruStep,8,</v>
      </c>
      <c r="AZ176" s="31" t="str">
        <f t="shared" si="585"/>
        <v>BypassValidFileChecks,1,</v>
      </c>
      <c r="BA176" s="31" t="str">
        <f t="shared" si="586"/>
        <v>BypassInputChecks,0,</v>
      </c>
      <c r="BB176" s="31" t="str">
        <f t="shared" si="587"/>
        <v>BypassUMLHChecks,0,</v>
      </c>
      <c r="BC176" s="31" t="str">
        <f t="shared" si="588"/>
        <v>BypassCheckSimRules,0,</v>
      </c>
      <c r="BD176" s="31" t="str">
        <f t="shared" si="589"/>
        <v>BypassCheckCodeRules,0,</v>
      </c>
      <c r="BE176" s="31" t="str">
        <f t="shared" si="526"/>
        <v>StoreResultsToModelInput,1,</v>
      </c>
      <c r="BF176" s="31" t="str">
        <f t="shared" si="527"/>
        <v>StoreBEMDetails,0,</v>
      </c>
      <c r="BG176" s="31" t="str">
        <f t="shared" si="528"/>
        <v>ModelRpt_ALL,1,</v>
      </c>
      <c r="BH176" s="31" t="str">
        <f t="shared" si="529"/>
        <v>ExportHourlyResults_All,0,</v>
      </c>
      <c r="BI176" s="31" t="str">
        <f t="shared" si="530"/>
        <v>ComplianceReportPDF,0,</v>
      </c>
      <c r="BJ176" s="31" t="str">
        <f t="shared" si="531"/>
        <v>ComplianceReportXML,0,</v>
      </c>
      <c r="BK176" s="31" t="str">
        <f t="shared" si="532"/>
        <v>QuickAnalysis,0,</v>
      </c>
      <c r="BL176" s="31" t="str">
        <f t="shared" si="532"/>
        <v>PromptUserUMLHWarning,0,</v>
      </c>
      <c r="BM176" s="31" t="str">
        <f t="shared" si="533"/>
        <v>BypassOpenStudio_all,0,</v>
      </c>
      <c r="BN176" s="31" t="str">
        <f t="shared" si="534"/>
        <v>BypassOpenStudio_zp,0,</v>
      </c>
      <c r="BO176" s="31" t="str">
        <f t="shared" si="535"/>
        <v>BypassOpenStudio_zb,0,</v>
      </c>
      <c r="BP176" s="31" t="str">
        <f t="shared" si="536"/>
        <v>BypassOpenStudio_ap,0,</v>
      </c>
      <c r="BQ176" s="31" t="str">
        <f t="shared" si="537"/>
        <v>BypassOpenStudio_ab,0,</v>
      </c>
      <c r="BR176" s="31" t="str">
        <f t="shared" si="538"/>
        <v>BypassOpenStudio_zp,0,</v>
      </c>
      <c r="BS176" s="31" t="str">
        <f t="shared" si="539"/>
        <v>BypassOpenStudio_zb,0,</v>
      </c>
      <c r="BT176" s="31" t="str">
        <f t="shared" si="540"/>
        <v>BypassOpenStudio_ap,0,</v>
      </c>
      <c r="BU176" s="31" t="str">
        <f t="shared" si="541"/>
        <v>BypassOpenStudio_ab,0,</v>
      </c>
    </row>
    <row r="177" spans="1:73" hidden="1" outlineLevel="1" x14ac:dyDescent="0.25">
      <c r="A177" s="39">
        <f t="shared" si="542"/>
        <v>0</v>
      </c>
      <c r="B177" s="27" t="str">
        <f t="shared" si="543"/>
        <v>SoftwareSensitivity2016Tests\DetailedGeometry\x.cibd16</v>
      </c>
      <c r="C177" s="27" t="str">
        <f t="shared" si="544"/>
        <v>BatchOut_171026_r5178_FinalRel-v3-SSTSG_SSTDG\x.cibd16</v>
      </c>
      <c r="D177" s="27" t="str">
        <f t="shared" si="545"/>
        <v>BatchOut_171026_r5178_FinalRel-v3-SSTSG_SSTDG\XML\</v>
      </c>
      <c r="E177" s="9" t="str">
        <f t="shared" si="546"/>
        <v>x</v>
      </c>
      <c r="F177" s="22"/>
      <c r="G177" s="29"/>
      <c r="H177" s="23" t="str">
        <f t="shared" si="547"/>
        <v/>
      </c>
      <c r="I177" s="9" t="s">
        <v>11</v>
      </c>
      <c r="J177"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7" s="15" t="s">
        <v>1</v>
      </c>
      <c r="L177" s="36">
        <f t="shared" si="573"/>
        <v>0</v>
      </c>
      <c r="M177" s="91" t="str">
        <f t="shared" si="548"/>
        <v>x</v>
      </c>
      <c r="N177" s="90" t="s">
        <v>149</v>
      </c>
      <c r="O177" s="28" t="str">
        <f t="shared" si="574"/>
        <v>x</v>
      </c>
      <c r="P177" s="36">
        <f t="shared" si="694"/>
        <v>1</v>
      </c>
      <c r="Q177" s="36">
        <f t="shared" si="694"/>
        <v>1</v>
      </c>
      <c r="R177" s="36">
        <f t="shared" si="694"/>
        <v>0</v>
      </c>
      <c r="S177" s="36">
        <f t="shared" si="694"/>
        <v>1</v>
      </c>
      <c r="T177" s="36">
        <f t="shared" si="694"/>
        <v>0</v>
      </c>
      <c r="U177" s="36">
        <f t="shared" si="694"/>
        <v>8</v>
      </c>
      <c r="V177" s="36">
        <f t="shared" si="694"/>
        <v>8</v>
      </c>
      <c r="W177" s="36">
        <f t="shared" si="694"/>
        <v>1</v>
      </c>
      <c r="X177" s="36">
        <f t="shared" si="691"/>
        <v>0</v>
      </c>
      <c r="Y177" s="36">
        <f t="shared" si="691"/>
        <v>0</v>
      </c>
      <c r="Z177" s="36">
        <f t="shared" si="691"/>
        <v>0</v>
      </c>
      <c r="AA177" s="36">
        <f t="shared" si="691"/>
        <v>0</v>
      </c>
      <c r="AB177" s="36">
        <f t="shared" si="691"/>
        <v>1</v>
      </c>
      <c r="AC177" s="36">
        <f t="shared" si="560"/>
        <v>0</v>
      </c>
      <c r="AD177" s="36">
        <f t="shared" si="561"/>
        <v>1</v>
      </c>
      <c r="AE177" s="36">
        <f t="shared" si="561"/>
        <v>0</v>
      </c>
      <c r="AF177" s="36">
        <f t="shared" ref="AF177:AG177" si="705">AF176</f>
        <v>0</v>
      </c>
      <c r="AG177" s="36">
        <f t="shared" si="705"/>
        <v>0</v>
      </c>
      <c r="AH177" s="36">
        <f t="shared" ref="AH177:AI177" si="706">AH176</f>
        <v>0</v>
      </c>
      <c r="AI177" s="36">
        <f t="shared" si="706"/>
        <v>0</v>
      </c>
      <c r="AJ177" s="36">
        <f t="shared" si="564"/>
        <v>0</v>
      </c>
      <c r="AK177" s="36">
        <f t="shared" si="565"/>
        <v>0</v>
      </c>
      <c r="AL177" s="36">
        <f t="shared" si="566"/>
        <v>0</v>
      </c>
      <c r="AM177" s="36">
        <f t="shared" si="567"/>
        <v>0</v>
      </c>
      <c r="AN177" s="36">
        <f t="shared" si="568"/>
        <v>0</v>
      </c>
      <c r="AO177" s="36">
        <f t="shared" si="569"/>
        <v>0</v>
      </c>
      <c r="AP177" s="36">
        <f t="shared" si="570"/>
        <v>0</v>
      </c>
      <c r="AQ177" s="36">
        <f t="shared" si="571"/>
        <v>0</v>
      </c>
      <c r="AR177" s="36">
        <f t="shared" si="572"/>
        <v>0</v>
      </c>
      <c r="AS177" s="31" t="str">
        <f t="shared" si="578"/>
        <v>SimulationStorage,1,</v>
      </c>
      <c r="AT177" s="31" t="str">
        <f t="shared" si="579"/>
        <v>AnalysisStorage,1,</v>
      </c>
      <c r="AU177" s="31" t="str">
        <f t="shared" si="580"/>
        <v>LogRuleEvaluation,0,</v>
      </c>
      <c r="AV177" s="31" t="str">
        <f t="shared" si="581"/>
        <v>ParallelSimulations,1,</v>
      </c>
      <c r="AW177" s="31" t="str">
        <f t="shared" si="582"/>
        <v>DurationStats,0,</v>
      </c>
      <c r="AX177" s="31" t="str">
        <f t="shared" si="583"/>
        <v>AnalysisThruStep,8,</v>
      </c>
      <c r="AY177" s="31" t="str">
        <f t="shared" si="584"/>
        <v>DontAbortOnErrorsThruStep,8,</v>
      </c>
      <c r="AZ177" s="31" t="str">
        <f t="shared" si="585"/>
        <v>BypassValidFileChecks,1,</v>
      </c>
      <c r="BA177" s="31" t="str">
        <f t="shared" si="586"/>
        <v>BypassInputChecks,0,</v>
      </c>
      <c r="BB177" s="31" t="str">
        <f t="shared" si="587"/>
        <v>BypassUMLHChecks,0,</v>
      </c>
      <c r="BC177" s="31" t="str">
        <f t="shared" si="588"/>
        <v>BypassCheckSimRules,0,</v>
      </c>
      <c r="BD177" s="31" t="str">
        <f t="shared" si="589"/>
        <v>BypassCheckCodeRules,0,</v>
      </c>
      <c r="BE177" s="31" t="str">
        <f t="shared" si="526"/>
        <v>StoreResultsToModelInput,1,</v>
      </c>
      <c r="BF177" s="31" t="str">
        <f t="shared" si="527"/>
        <v>StoreBEMDetails,0,</v>
      </c>
      <c r="BG177" s="31" t="str">
        <f t="shared" si="528"/>
        <v>ModelRpt_ALL,1,</v>
      </c>
      <c r="BH177" s="31" t="str">
        <f t="shared" si="529"/>
        <v>ExportHourlyResults_All,0,</v>
      </c>
      <c r="BI177" s="31" t="str">
        <f t="shared" si="530"/>
        <v>ComplianceReportPDF,0,</v>
      </c>
      <c r="BJ177" s="31" t="str">
        <f t="shared" si="531"/>
        <v>ComplianceReportXML,0,</v>
      </c>
      <c r="BK177" s="31" t="str">
        <f t="shared" si="532"/>
        <v>QuickAnalysis,0,</v>
      </c>
      <c r="BL177" s="31" t="str">
        <f t="shared" si="532"/>
        <v>PromptUserUMLHWarning,0,</v>
      </c>
      <c r="BM177" s="31" t="str">
        <f t="shared" si="533"/>
        <v>BypassOpenStudio_all,0,</v>
      </c>
      <c r="BN177" s="31" t="str">
        <f t="shared" si="534"/>
        <v>BypassOpenStudio_zp,0,</v>
      </c>
      <c r="BO177" s="31" t="str">
        <f t="shared" si="535"/>
        <v>BypassOpenStudio_zb,0,</v>
      </c>
      <c r="BP177" s="31" t="str">
        <f t="shared" si="536"/>
        <v>BypassOpenStudio_ap,0,</v>
      </c>
      <c r="BQ177" s="31" t="str">
        <f t="shared" si="537"/>
        <v>BypassOpenStudio_ab,0,</v>
      </c>
      <c r="BR177" s="31" t="str">
        <f t="shared" si="538"/>
        <v>BypassOpenStudio_zp,0,</v>
      </c>
      <c r="BS177" s="31" t="str">
        <f t="shared" si="539"/>
        <v>BypassOpenStudio_zb,0,</v>
      </c>
      <c r="BT177" s="31" t="str">
        <f t="shared" si="540"/>
        <v>BypassOpenStudio_ap,0,</v>
      </c>
      <c r="BU177" s="31" t="str">
        <f t="shared" si="541"/>
        <v>BypassOpenStudio_ab,0,</v>
      </c>
    </row>
    <row r="178" spans="1:73" hidden="1" outlineLevel="1" x14ac:dyDescent="0.25">
      <c r="A178" s="39">
        <f t="shared" si="542"/>
        <v>0</v>
      </c>
      <c r="B178" s="27" t="str">
        <f t="shared" si="543"/>
        <v>SoftwareSensitivity2016Tests\DetailedGeometry\x.cibd16</v>
      </c>
      <c r="C178" s="27" t="str">
        <f t="shared" si="544"/>
        <v>BatchOut_171026_r5178_FinalRel-v3-SSTSG_SSTDG\x.cibd16</v>
      </c>
      <c r="D178" s="27" t="str">
        <f t="shared" si="545"/>
        <v>BatchOut_171026_r5178_FinalRel-v3-SSTSG_SSTDG\XML\</v>
      </c>
      <c r="E178" s="9" t="str">
        <f t="shared" si="546"/>
        <v>x</v>
      </c>
      <c r="F178" s="22"/>
      <c r="G178" s="29"/>
      <c r="H178" s="23" t="str">
        <f t="shared" si="547"/>
        <v/>
      </c>
      <c r="I178" s="9" t="s">
        <v>11</v>
      </c>
      <c r="J178"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8" s="15" t="s">
        <v>1</v>
      </c>
      <c r="L178" s="92">
        <f t="shared" si="573"/>
        <v>0</v>
      </c>
      <c r="M178" s="91" t="str">
        <f t="shared" si="548"/>
        <v>x</v>
      </c>
      <c r="N178" s="90" t="s">
        <v>149</v>
      </c>
      <c r="O178" s="28" t="str">
        <f t="shared" si="574"/>
        <v>x</v>
      </c>
      <c r="P178" s="36">
        <f t="shared" si="694"/>
        <v>1</v>
      </c>
      <c r="Q178" s="36">
        <f t="shared" si="694"/>
        <v>1</v>
      </c>
      <c r="R178" s="36">
        <f t="shared" si="694"/>
        <v>0</v>
      </c>
      <c r="S178" s="36">
        <f t="shared" si="694"/>
        <v>1</v>
      </c>
      <c r="T178" s="36">
        <f t="shared" si="694"/>
        <v>0</v>
      </c>
      <c r="U178" s="36">
        <f t="shared" si="694"/>
        <v>8</v>
      </c>
      <c r="V178" s="36">
        <f t="shared" si="694"/>
        <v>8</v>
      </c>
      <c r="W178" s="36">
        <f t="shared" si="694"/>
        <v>1</v>
      </c>
      <c r="X178" s="36">
        <f t="shared" si="691"/>
        <v>0</v>
      </c>
      <c r="Y178" s="36">
        <f t="shared" si="691"/>
        <v>0</v>
      </c>
      <c r="Z178" s="36">
        <f t="shared" si="691"/>
        <v>0</v>
      </c>
      <c r="AA178" s="36">
        <f t="shared" si="691"/>
        <v>0</v>
      </c>
      <c r="AB178" s="36">
        <f t="shared" si="691"/>
        <v>1</v>
      </c>
      <c r="AC178" s="36">
        <f t="shared" si="560"/>
        <v>0</v>
      </c>
      <c r="AD178" s="36">
        <f t="shared" si="561"/>
        <v>1</v>
      </c>
      <c r="AE178" s="36">
        <f t="shared" si="561"/>
        <v>0</v>
      </c>
      <c r="AF178" s="36">
        <f t="shared" ref="AF178:AG178" si="707">AF177</f>
        <v>0</v>
      </c>
      <c r="AG178" s="36">
        <f t="shared" si="707"/>
        <v>0</v>
      </c>
      <c r="AH178" s="36">
        <f t="shared" ref="AH178:AI178" si="708">AH177</f>
        <v>0</v>
      </c>
      <c r="AI178" s="36">
        <f t="shared" si="708"/>
        <v>0</v>
      </c>
      <c r="AJ178" s="36">
        <f t="shared" si="564"/>
        <v>0</v>
      </c>
      <c r="AK178" s="36">
        <f t="shared" si="565"/>
        <v>0</v>
      </c>
      <c r="AL178" s="36">
        <f t="shared" si="566"/>
        <v>0</v>
      </c>
      <c r="AM178" s="36">
        <f t="shared" si="567"/>
        <v>0</v>
      </c>
      <c r="AN178" s="36">
        <f t="shared" si="568"/>
        <v>0</v>
      </c>
      <c r="AO178" s="36">
        <f t="shared" si="569"/>
        <v>0</v>
      </c>
      <c r="AP178" s="36">
        <f t="shared" si="570"/>
        <v>0</v>
      </c>
      <c r="AQ178" s="36">
        <f t="shared" si="571"/>
        <v>0</v>
      </c>
      <c r="AR178" s="36">
        <f t="shared" si="572"/>
        <v>0</v>
      </c>
      <c r="AS178" s="31" t="str">
        <f t="shared" si="578"/>
        <v>SimulationStorage,1,</v>
      </c>
      <c r="AT178" s="31" t="str">
        <f t="shared" si="579"/>
        <v>AnalysisStorage,1,</v>
      </c>
      <c r="AU178" s="31" t="str">
        <f t="shared" si="580"/>
        <v>LogRuleEvaluation,0,</v>
      </c>
      <c r="AV178" s="31" t="str">
        <f t="shared" si="581"/>
        <v>ParallelSimulations,1,</v>
      </c>
      <c r="AW178" s="31" t="str">
        <f t="shared" si="582"/>
        <v>DurationStats,0,</v>
      </c>
      <c r="AX178" s="31" t="str">
        <f t="shared" si="583"/>
        <v>AnalysisThruStep,8,</v>
      </c>
      <c r="AY178" s="31" t="str">
        <f t="shared" si="584"/>
        <v>DontAbortOnErrorsThruStep,8,</v>
      </c>
      <c r="AZ178" s="31" t="str">
        <f t="shared" si="585"/>
        <v>BypassValidFileChecks,1,</v>
      </c>
      <c r="BA178" s="31" t="str">
        <f t="shared" si="586"/>
        <v>BypassInputChecks,0,</v>
      </c>
      <c r="BB178" s="31" t="str">
        <f t="shared" si="587"/>
        <v>BypassUMLHChecks,0,</v>
      </c>
      <c r="BC178" s="31" t="str">
        <f t="shared" si="588"/>
        <v>BypassCheckSimRules,0,</v>
      </c>
      <c r="BD178" s="31" t="str">
        <f t="shared" si="589"/>
        <v>BypassCheckCodeRules,0,</v>
      </c>
      <c r="BE178" s="31" t="str">
        <f t="shared" si="526"/>
        <v>StoreResultsToModelInput,1,</v>
      </c>
      <c r="BF178" s="31" t="str">
        <f t="shared" si="527"/>
        <v>StoreBEMDetails,0,</v>
      </c>
      <c r="BG178" s="31" t="str">
        <f t="shared" si="528"/>
        <v>ModelRpt_ALL,1,</v>
      </c>
      <c r="BH178" s="31" t="str">
        <f t="shared" si="529"/>
        <v>ExportHourlyResults_All,0,</v>
      </c>
      <c r="BI178" s="31" t="str">
        <f t="shared" si="530"/>
        <v>ComplianceReportPDF,0,</v>
      </c>
      <c r="BJ178" s="31" t="str">
        <f t="shared" si="531"/>
        <v>ComplianceReportXML,0,</v>
      </c>
      <c r="BK178" s="31" t="str">
        <f t="shared" si="532"/>
        <v>QuickAnalysis,0,</v>
      </c>
      <c r="BL178" s="31" t="str">
        <f t="shared" si="532"/>
        <v>PromptUserUMLHWarning,0,</v>
      </c>
      <c r="BM178" s="31" t="str">
        <f t="shared" si="533"/>
        <v>BypassOpenStudio_all,0,</v>
      </c>
      <c r="BN178" s="31" t="str">
        <f t="shared" si="534"/>
        <v>BypassOpenStudio_zp,0,</v>
      </c>
      <c r="BO178" s="31" t="str">
        <f t="shared" si="535"/>
        <v>BypassOpenStudio_zb,0,</v>
      </c>
      <c r="BP178" s="31" t="str">
        <f t="shared" si="536"/>
        <v>BypassOpenStudio_ap,0,</v>
      </c>
      <c r="BQ178" s="31" t="str">
        <f t="shared" si="537"/>
        <v>BypassOpenStudio_ab,0,</v>
      </c>
      <c r="BR178" s="31" t="str">
        <f t="shared" si="538"/>
        <v>BypassOpenStudio_zp,0,</v>
      </c>
      <c r="BS178" s="31" t="str">
        <f t="shared" si="539"/>
        <v>BypassOpenStudio_zb,0,</v>
      </c>
      <c r="BT178" s="31" t="str">
        <f t="shared" si="540"/>
        <v>BypassOpenStudio_ap,0,</v>
      </c>
      <c r="BU178" s="31" t="str">
        <f t="shared" si="541"/>
        <v>BypassOpenStudio_ab,0,</v>
      </c>
    </row>
    <row r="179" spans="1:73" hidden="1" outlineLevel="1" x14ac:dyDescent="0.25">
      <c r="A179" s="39">
        <f t="shared" si="542"/>
        <v>0</v>
      </c>
      <c r="B179" s="27" t="str">
        <f t="shared" si="543"/>
        <v>SoftwareSensitivity2016Tests\DetailedGeometry\x.cibd16</v>
      </c>
      <c r="C179" s="27" t="str">
        <f t="shared" si="544"/>
        <v>BatchOut_171026_r5178_FinalRel-v3-SSTSG_SSTDG\x.cibd16</v>
      </c>
      <c r="D179" s="27" t="str">
        <f t="shared" si="545"/>
        <v>BatchOut_171026_r5178_FinalRel-v3-SSTSG_SSTDG\XML\</v>
      </c>
      <c r="E179" s="9" t="str">
        <f t="shared" si="546"/>
        <v>x</v>
      </c>
      <c r="F179" s="22"/>
      <c r="G179" s="29"/>
      <c r="H179" s="23" t="str">
        <f t="shared" si="547"/>
        <v/>
      </c>
      <c r="I179" s="9" t="s">
        <v>11</v>
      </c>
      <c r="J179"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9" s="15" t="s">
        <v>1</v>
      </c>
      <c r="L179" s="92">
        <f t="shared" si="573"/>
        <v>0</v>
      </c>
      <c r="M179" s="91" t="str">
        <f t="shared" si="548"/>
        <v>x</v>
      </c>
      <c r="N179" s="90" t="s">
        <v>149</v>
      </c>
      <c r="O179" s="28" t="str">
        <f t="shared" si="574"/>
        <v>x</v>
      </c>
      <c r="P179" s="36">
        <f t="shared" si="694"/>
        <v>1</v>
      </c>
      <c r="Q179" s="36">
        <f t="shared" si="694"/>
        <v>1</v>
      </c>
      <c r="R179" s="36">
        <f t="shared" si="694"/>
        <v>0</v>
      </c>
      <c r="S179" s="36">
        <f t="shared" si="694"/>
        <v>1</v>
      </c>
      <c r="T179" s="36">
        <f t="shared" si="694"/>
        <v>0</v>
      </c>
      <c r="U179" s="36">
        <f t="shared" si="694"/>
        <v>8</v>
      </c>
      <c r="V179" s="36">
        <f t="shared" si="694"/>
        <v>8</v>
      </c>
      <c r="W179" s="36">
        <f t="shared" si="694"/>
        <v>1</v>
      </c>
      <c r="X179" s="36">
        <f t="shared" si="691"/>
        <v>0</v>
      </c>
      <c r="Y179" s="36">
        <f t="shared" si="691"/>
        <v>0</v>
      </c>
      <c r="Z179" s="36">
        <f t="shared" si="691"/>
        <v>0</v>
      </c>
      <c r="AA179" s="36">
        <f t="shared" si="691"/>
        <v>0</v>
      </c>
      <c r="AB179" s="36">
        <f t="shared" si="691"/>
        <v>1</v>
      </c>
      <c r="AC179" s="36">
        <f t="shared" si="560"/>
        <v>0</v>
      </c>
      <c r="AD179" s="36">
        <f t="shared" si="561"/>
        <v>1</v>
      </c>
      <c r="AE179" s="36">
        <f t="shared" si="561"/>
        <v>0</v>
      </c>
      <c r="AF179" s="36">
        <f t="shared" ref="AF179:AG179" si="709">AF178</f>
        <v>0</v>
      </c>
      <c r="AG179" s="36">
        <f t="shared" si="709"/>
        <v>0</v>
      </c>
      <c r="AH179" s="36">
        <f t="shared" ref="AH179:AI179" si="710">AH178</f>
        <v>0</v>
      </c>
      <c r="AI179" s="36">
        <f t="shared" si="710"/>
        <v>0</v>
      </c>
      <c r="AJ179" s="36">
        <f t="shared" si="564"/>
        <v>0</v>
      </c>
      <c r="AK179" s="36">
        <f t="shared" si="565"/>
        <v>0</v>
      </c>
      <c r="AL179" s="36">
        <f t="shared" si="566"/>
        <v>0</v>
      </c>
      <c r="AM179" s="36">
        <f t="shared" si="567"/>
        <v>0</v>
      </c>
      <c r="AN179" s="36">
        <f t="shared" si="568"/>
        <v>0</v>
      </c>
      <c r="AO179" s="36">
        <f t="shared" si="569"/>
        <v>0</v>
      </c>
      <c r="AP179" s="36">
        <f t="shared" si="570"/>
        <v>0</v>
      </c>
      <c r="AQ179" s="36">
        <f t="shared" si="571"/>
        <v>0</v>
      </c>
      <c r="AR179" s="36">
        <f t="shared" si="572"/>
        <v>0</v>
      </c>
      <c r="AS179" s="31" t="str">
        <f t="shared" si="578"/>
        <v>SimulationStorage,1,</v>
      </c>
      <c r="AT179" s="31" t="str">
        <f t="shared" si="579"/>
        <v>AnalysisStorage,1,</v>
      </c>
      <c r="AU179" s="31" t="str">
        <f t="shared" si="580"/>
        <v>LogRuleEvaluation,0,</v>
      </c>
      <c r="AV179" s="31" t="str">
        <f t="shared" si="581"/>
        <v>ParallelSimulations,1,</v>
      </c>
      <c r="AW179" s="31" t="str">
        <f t="shared" si="582"/>
        <v>DurationStats,0,</v>
      </c>
      <c r="AX179" s="31" t="str">
        <f t="shared" si="583"/>
        <v>AnalysisThruStep,8,</v>
      </c>
      <c r="AY179" s="31" t="str">
        <f t="shared" si="584"/>
        <v>DontAbortOnErrorsThruStep,8,</v>
      </c>
      <c r="AZ179" s="31" t="str">
        <f t="shared" si="585"/>
        <v>BypassValidFileChecks,1,</v>
      </c>
      <c r="BA179" s="31" t="str">
        <f t="shared" si="586"/>
        <v>BypassInputChecks,0,</v>
      </c>
      <c r="BB179" s="31" t="str">
        <f t="shared" si="587"/>
        <v>BypassUMLHChecks,0,</v>
      </c>
      <c r="BC179" s="31" t="str">
        <f t="shared" si="588"/>
        <v>BypassCheckSimRules,0,</v>
      </c>
      <c r="BD179" s="31" t="str">
        <f t="shared" si="589"/>
        <v>BypassCheckCodeRules,0,</v>
      </c>
      <c r="BE179" s="31" t="str">
        <f t="shared" si="526"/>
        <v>StoreResultsToModelInput,1,</v>
      </c>
      <c r="BF179" s="31" t="str">
        <f t="shared" si="527"/>
        <v>StoreBEMDetails,0,</v>
      </c>
      <c r="BG179" s="31" t="str">
        <f t="shared" si="528"/>
        <v>ModelRpt_ALL,1,</v>
      </c>
      <c r="BH179" s="31" t="str">
        <f t="shared" si="529"/>
        <v>ExportHourlyResults_All,0,</v>
      </c>
      <c r="BI179" s="31" t="str">
        <f t="shared" si="530"/>
        <v>ComplianceReportPDF,0,</v>
      </c>
      <c r="BJ179" s="31" t="str">
        <f t="shared" si="531"/>
        <v>ComplianceReportXML,0,</v>
      </c>
      <c r="BK179" s="31" t="str">
        <f t="shared" si="532"/>
        <v>QuickAnalysis,0,</v>
      </c>
      <c r="BL179" s="31" t="str">
        <f t="shared" si="532"/>
        <v>PromptUserUMLHWarning,0,</v>
      </c>
      <c r="BM179" s="31" t="str">
        <f t="shared" si="533"/>
        <v>BypassOpenStudio_all,0,</v>
      </c>
      <c r="BN179" s="31" t="str">
        <f t="shared" si="534"/>
        <v>BypassOpenStudio_zp,0,</v>
      </c>
      <c r="BO179" s="31" t="str">
        <f t="shared" si="535"/>
        <v>BypassOpenStudio_zb,0,</v>
      </c>
      <c r="BP179" s="31" t="str">
        <f t="shared" si="536"/>
        <v>BypassOpenStudio_ap,0,</v>
      </c>
      <c r="BQ179" s="31" t="str">
        <f t="shared" si="537"/>
        <v>BypassOpenStudio_ab,0,</v>
      </c>
      <c r="BR179" s="31" t="str">
        <f t="shared" si="538"/>
        <v>BypassOpenStudio_zp,0,</v>
      </c>
      <c r="BS179" s="31" t="str">
        <f t="shared" si="539"/>
        <v>BypassOpenStudio_zb,0,</v>
      </c>
      <c r="BT179" s="31" t="str">
        <f t="shared" si="540"/>
        <v>BypassOpenStudio_ap,0,</v>
      </c>
      <c r="BU179" s="31" t="str">
        <f t="shared" si="541"/>
        <v>BypassOpenStudio_ab,0,</v>
      </c>
    </row>
    <row r="180" spans="1:73" hidden="1" outlineLevel="1" x14ac:dyDescent="0.25">
      <c r="A180" s="39">
        <f t="shared" si="542"/>
        <v>0</v>
      </c>
      <c r="B180" s="27" t="str">
        <f t="shared" si="543"/>
        <v>SoftwareSensitivity2016Tests\DetailedGeometry\x.cibd16</v>
      </c>
      <c r="C180" s="27" t="str">
        <f t="shared" si="544"/>
        <v>BatchOut_171026_r5178_FinalRel-v3-SSTSG_SSTDG\x.cibd16</v>
      </c>
      <c r="D180" s="27" t="str">
        <f t="shared" si="545"/>
        <v>BatchOut_171026_r5178_FinalRel-v3-SSTSG_SSTDG\XML\</v>
      </c>
      <c r="E180" s="9" t="str">
        <f t="shared" si="546"/>
        <v>x</v>
      </c>
      <c r="F180" s="22"/>
      <c r="G180" s="29"/>
      <c r="H180" s="23" t="str">
        <f t="shared" si="547"/>
        <v/>
      </c>
      <c r="I180" s="9" t="s">
        <v>11</v>
      </c>
      <c r="J180"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0" s="15" t="s">
        <v>1</v>
      </c>
      <c r="L180" s="92">
        <f t="shared" si="573"/>
        <v>0</v>
      </c>
      <c r="M180" s="91" t="str">
        <f t="shared" si="548"/>
        <v>x</v>
      </c>
      <c r="N180" s="90" t="s">
        <v>149</v>
      </c>
      <c r="O180" s="28" t="str">
        <f t="shared" si="574"/>
        <v>x</v>
      </c>
      <c r="P180" s="36">
        <f t="shared" si="694"/>
        <v>1</v>
      </c>
      <c r="Q180" s="36">
        <f t="shared" si="694"/>
        <v>1</v>
      </c>
      <c r="R180" s="36">
        <f t="shared" si="694"/>
        <v>0</v>
      </c>
      <c r="S180" s="36">
        <f t="shared" si="694"/>
        <v>1</v>
      </c>
      <c r="T180" s="36">
        <f t="shared" si="694"/>
        <v>0</v>
      </c>
      <c r="U180" s="36">
        <f t="shared" si="694"/>
        <v>8</v>
      </c>
      <c r="V180" s="36">
        <f t="shared" si="694"/>
        <v>8</v>
      </c>
      <c r="W180" s="36">
        <f t="shared" si="694"/>
        <v>1</v>
      </c>
      <c r="X180" s="36">
        <f t="shared" si="691"/>
        <v>0</v>
      </c>
      <c r="Y180" s="36">
        <f t="shared" si="691"/>
        <v>0</v>
      </c>
      <c r="Z180" s="36">
        <f t="shared" si="691"/>
        <v>0</v>
      </c>
      <c r="AA180" s="36">
        <f t="shared" si="691"/>
        <v>0</v>
      </c>
      <c r="AB180" s="36">
        <f t="shared" si="691"/>
        <v>1</v>
      </c>
      <c r="AC180" s="36">
        <f t="shared" si="560"/>
        <v>0</v>
      </c>
      <c r="AD180" s="36">
        <f t="shared" si="561"/>
        <v>1</v>
      </c>
      <c r="AE180" s="36">
        <f t="shared" si="561"/>
        <v>0</v>
      </c>
      <c r="AF180" s="36">
        <f t="shared" ref="AF180:AG180" si="711">AF179</f>
        <v>0</v>
      </c>
      <c r="AG180" s="36">
        <f t="shared" si="711"/>
        <v>0</v>
      </c>
      <c r="AH180" s="36">
        <f t="shared" ref="AH180:AI180" si="712">AH179</f>
        <v>0</v>
      </c>
      <c r="AI180" s="36">
        <f t="shared" si="712"/>
        <v>0</v>
      </c>
      <c r="AJ180" s="36">
        <f t="shared" si="564"/>
        <v>0</v>
      </c>
      <c r="AK180" s="36">
        <f t="shared" si="565"/>
        <v>0</v>
      </c>
      <c r="AL180" s="36">
        <f t="shared" si="566"/>
        <v>0</v>
      </c>
      <c r="AM180" s="36">
        <f t="shared" si="567"/>
        <v>0</v>
      </c>
      <c r="AN180" s="36">
        <f t="shared" si="568"/>
        <v>0</v>
      </c>
      <c r="AO180" s="36">
        <f t="shared" si="569"/>
        <v>0</v>
      </c>
      <c r="AP180" s="36">
        <f t="shared" si="570"/>
        <v>0</v>
      </c>
      <c r="AQ180" s="36">
        <f t="shared" si="571"/>
        <v>0</v>
      </c>
      <c r="AR180" s="36">
        <f t="shared" si="572"/>
        <v>0</v>
      </c>
      <c r="AS180" s="31" t="str">
        <f t="shared" si="578"/>
        <v>SimulationStorage,1,</v>
      </c>
      <c r="AT180" s="31" t="str">
        <f t="shared" si="579"/>
        <v>AnalysisStorage,1,</v>
      </c>
      <c r="AU180" s="31" t="str">
        <f t="shared" si="580"/>
        <v>LogRuleEvaluation,0,</v>
      </c>
      <c r="AV180" s="31" t="str">
        <f t="shared" si="581"/>
        <v>ParallelSimulations,1,</v>
      </c>
      <c r="AW180" s="31" t="str">
        <f t="shared" si="582"/>
        <v>DurationStats,0,</v>
      </c>
      <c r="AX180" s="31" t="str">
        <f t="shared" si="583"/>
        <v>AnalysisThruStep,8,</v>
      </c>
      <c r="AY180" s="31" t="str">
        <f t="shared" si="584"/>
        <v>DontAbortOnErrorsThruStep,8,</v>
      </c>
      <c r="AZ180" s="31" t="str">
        <f t="shared" si="585"/>
        <v>BypassValidFileChecks,1,</v>
      </c>
      <c r="BA180" s="31" t="str">
        <f t="shared" si="586"/>
        <v>BypassInputChecks,0,</v>
      </c>
      <c r="BB180" s="31" t="str">
        <f t="shared" si="587"/>
        <v>BypassUMLHChecks,0,</v>
      </c>
      <c r="BC180" s="31" t="str">
        <f t="shared" si="588"/>
        <v>BypassCheckSimRules,0,</v>
      </c>
      <c r="BD180" s="31" t="str">
        <f t="shared" si="589"/>
        <v>BypassCheckCodeRules,0,</v>
      </c>
      <c r="BE180" s="31" t="str">
        <f t="shared" si="526"/>
        <v>StoreResultsToModelInput,1,</v>
      </c>
      <c r="BF180" s="31" t="str">
        <f t="shared" si="527"/>
        <v>StoreBEMDetails,0,</v>
      </c>
      <c r="BG180" s="31" t="str">
        <f t="shared" si="528"/>
        <v>ModelRpt_ALL,1,</v>
      </c>
      <c r="BH180" s="31" t="str">
        <f t="shared" si="529"/>
        <v>ExportHourlyResults_All,0,</v>
      </c>
      <c r="BI180" s="31" t="str">
        <f t="shared" si="530"/>
        <v>ComplianceReportPDF,0,</v>
      </c>
      <c r="BJ180" s="31" t="str">
        <f t="shared" si="531"/>
        <v>ComplianceReportXML,0,</v>
      </c>
      <c r="BK180" s="31" t="str">
        <f t="shared" si="532"/>
        <v>QuickAnalysis,0,</v>
      </c>
      <c r="BL180" s="31" t="str">
        <f t="shared" si="532"/>
        <v>PromptUserUMLHWarning,0,</v>
      </c>
      <c r="BM180" s="31" t="str">
        <f t="shared" si="533"/>
        <v>BypassOpenStudio_all,0,</v>
      </c>
      <c r="BN180" s="31" t="str">
        <f t="shared" si="534"/>
        <v>BypassOpenStudio_zp,0,</v>
      </c>
      <c r="BO180" s="31" t="str">
        <f t="shared" si="535"/>
        <v>BypassOpenStudio_zb,0,</v>
      </c>
      <c r="BP180" s="31" t="str">
        <f t="shared" si="536"/>
        <v>BypassOpenStudio_ap,0,</v>
      </c>
      <c r="BQ180" s="31" t="str">
        <f t="shared" si="537"/>
        <v>BypassOpenStudio_ab,0,</v>
      </c>
      <c r="BR180" s="31" t="str">
        <f t="shared" si="538"/>
        <v>BypassOpenStudio_zp,0,</v>
      </c>
      <c r="BS180" s="31" t="str">
        <f t="shared" si="539"/>
        <v>BypassOpenStudio_zb,0,</v>
      </c>
      <c r="BT180" s="31" t="str">
        <f t="shared" si="540"/>
        <v>BypassOpenStudio_ap,0,</v>
      </c>
      <c r="BU180" s="31" t="str">
        <f t="shared" si="541"/>
        <v>BypassOpenStudio_ab,0,</v>
      </c>
    </row>
    <row r="181" spans="1:73" hidden="1" outlineLevel="1" x14ac:dyDescent="0.25">
      <c r="A181" s="39">
        <f t="shared" si="542"/>
        <v>0</v>
      </c>
      <c r="B181" s="27" t="str">
        <f t="shared" si="543"/>
        <v>SoftwareSensitivity2016Tests\DetailedGeometry\x.cibd16</v>
      </c>
      <c r="C181" s="27" t="str">
        <f t="shared" si="544"/>
        <v>BatchOut_171026_r5178_FinalRel-v3-SSTSG_SSTDG\x.cibd16</v>
      </c>
      <c r="D181" s="27" t="str">
        <f t="shared" si="545"/>
        <v>BatchOut_171026_r5178_FinalRel-v3-SSTSG_SSTDG\XML\</v>
      </c>
      <c r="E181" s="9" t="str">
        <f t="shared" si="546"/>
        <v>x</v>
      </c>
      <c r="F181" s="22"/>
      <c r="G181" s="29"/>
      <c r="H181" s="23" t="str">
        <f t="shared" si="547"/>
        <v/>
      </c>
      <c r="I181" s="9" t="s">
        <v>11</v>
      </c>
      <c r="J181" s="87" t="str">
        <f t="shared" si="51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1" s="15" t="s">
        <v>1</v>
      </c>
      <c r="L181" s="92">
        <f t="shared" si="573"/>
        <v>0</v>
      </c>
      <c r="M181" s="91" t="str">
        <f t="shared" si="548"/>
        <v>x</v>
      </c>
      <c r="N181" s="90" t="s">
        <v>149</v>
      </c>
      <c r="O181" s="28" t="str">
        <f t="shared" si="574"/>
        <v>x</v>
      </c>
      <c r="P181" s="36">
        <f t="shared" si="694"/>
        <v>1</v>
      </c>
      <c r="Q181" s="36">
        <f t="shared" si="694"/>
        <v>1</v>
      </c>
      <c r="R181" s="36">
        <f t="shared" si="694"/>
        <v>0</v>
      </c>
      <c r="S181" s="36">
        <f t="shared" si="694"/>
        <v>1</v>
      </c>
      <c r="T181" s="36">
        <f t="shared" si="694"/>
        <v>0</v>
      </c>
      <c r="U181" s="36">
        <f t="shared" si="694"/>
        <v>8</v>
      </c>
      <c r="V181" s="36">
        <f t="shared" si="694"/>
        <v>8</v>
      </c>
      <c r="W181" s="36">
        <f t="shared" si="694"/>
        <v>1</v>
      </c>
      <c r="X181" s="36">
        <f t="shared" si="691"/>
        <v>0</v>
      </c>
      <c r="Y181" s="36">
        <f t="shared" si="691"/>
        <v>0</v>
      </c>
      <c r="Z181" s="36">
        <f t="shared" si="691"/>
        <v>0</v>
      </c>
      <c r="AA181" s="36">
        <f t="shared" si="691"/>
        <v>0</v>
      </c>
      <c r="AB181" s="36">
        <f t="shared" si="691"/>
        <v>1</v>
      </c>
      <c r="AC181" s="36">
        <f t="shared" si="560"/>
        <v>0</v>
      </c>
      <c r="AD181" s="36">
        <f t="shared" si="561"/>
        <v>1</v>
      </c>
      <c r="AE181" s="36">
        <f t="shared" si="561"/>
        <v>0</v>
      </c>
      <c r="AF181" s="36">
        <f t="shared" ref="AF181:AG181" si="713">AF180</f>
        <v>0</v>
      </c>
      <c r="AG181" s="36">
        <f t="shared" si="713"/>
        <v>0</v>
      </c>
      <c r="AH181" s="36">
        <f t="shared" ref="AH181:AI181" si="714">AH180</f>
        <v>0</v>
      </c>
      <c r="AI181" s="36">
        <f t="shared" si="714"/>
        <v>0</v>
      </c>
      <c r="AJ181" s="36">
        <f t="shared" si="564"/>
        <v>0</v>
      </c>
      <c r="AK181" s="36">
        <f t="shared" si="565"/>
        <v>0</v>
      </c>
      <c r="AL181" s="36">
        <f t="shared" si="566"/>
        <v>0</v>
      </c>
      <c r="AM181" s="36">
        <f t="shared" si="567"/>
        <v>0</v>
      </c>
      <c r="AN181" s="36">
        <f t="shared" si="568"/>
        <v>0</v>
      </c>
      <c r="AO181" s="36">
        <f t="shared" si="569"/>
        <v>0</v>
      </c>
      <c r="AP181" s="36">
        <f t="shared" si="570"/>
        <v>0</v>
      </c>
      <c r="AQ181" s="36">
        <f t="shared" si="571"/>
        <v>0</v>
      </c>
      <c r="AR181" s="36">
        <f t="shared" si="572"/>
        <v>0</v>
      </c>
      <c r="AS181" s="31" t="str">
        <f t="shared" si="578"/>
        <v>SimulationStorage,1,</v>
      </c>
      <c r="AT181" s="31" t="str">
        <f t="shared" si="579"/>
        <v>AnalysisStorage,1,</v>
      </c>
      <c r="AU181" s="31" t="str">
        <f t="shared" si="580"/>
        <v>LogRuleEvaluation,0,</v>
      </c>
      <c r="AV181" s="31" t="str">
        <f t="shared" si="581"/>
        <v>ParallelSimulations,1,</v>
      </c>
      <c r="AW181" s="31" t="str">
        <f t="shared" si="582"/>
        <v>DurationStats,0,</v>
      </c>
      <c r="AX181" s="31" t="str">
        <f t="shared" si="583"/>
        <v>AnalysisThruStep,8,</v>
      </c>
      <c r="AY181" s="31" t="str">
        <f t="shared" si="584"/>
        <v>DontAbortOnErrorsThruStep,8,</v>
      </c>
      <c r="AZ181" s="31" t="str">
        <f t="shared" si="585"/>
        <v>BypassValidFileChecks,1,</v>
      </c>
      <c r="BA181" s="31" t="str">
        <f t="shared" si="586"/>
        <v>BypassInputChecks,0,</v>
      </c>
      <c r="BB181" s="31" t="str">
        <f t="shared" si="587"/>
        <v>BypassUMLHChecks,0,</v>
      </c>
      <c r="BC181" s="31" t="str">
        <f t="shared" si="588"/>
        <v>BypassCheckSimRules,0,</v>
      </c>
      <c r="BD181" s="31" t="str">
        <f t="shared" si="589"/>
        <v>BypassCheckCodeRules,0,</v>
      </c>
      <c r="BE181" s="31" t="str">
        <f t="shared" si="526"/>
        <v>StoreResultsToModelInput,1,</v>
      </c>
      <c r="BF181" s="31" t="str">
        <f t="shared" si="527"/>
        <v>StoreBEMDetails,0,</v>
      </c>
      <c r="BG181" s="31" t="str">
        <f t="shared" si="528"/>
        <v>ModelRpt_ALL,1,</v>
      </c>
      <c r="BH181" s="31" t="str">
        <f t="shared" si="529"/>
        <v>ExportHourlyResults_All,0,</v>
      </c>
      <c r="BI181" s="31" t="str">
        <f t="shared" si="530"/>
        <v>ComplianceReportPDF,0,</v>
      </c>
      <c r="BJ181" s="31" t="str">
        <f t="shared" si="531"/>
        <v>ComplianceReportXML,0,</v>
      </c>
      <c r="BK181" s="31" t="str">
        <f t="shared" si="532"/>
        <v>QuickAnalysis,0,</v>
      </c>
      <c r="BL181" s="31" t="str">
        <f t="shared" si="532"/>
        <v>PromptUserUMLHWarning,0,</v>
      </c>
      <c r="BM181" s="31" t="str">
        <f t="shared" si="533"/>
        <v>BypassOpenStudio_all,0,</v>
      </c>
      <c r="BN181" s="31" t="str">
        <f t="shared" si="534"/>
        <v>BypassOpenStudio_zp,0,</v>
      </c>
      <c r="BO181" s="31" t="str">
        <f t="shared" si="535"/>
        <v>BypassOpenStudio_zb,0,</v>
      </c>
      <c r="BP181" s="31" t="str">
        <f t="shared" si="536"/>
        <v>BypassOpenStudio_ap,0,</v>
      </c>
      <c r="BQ181" s="31" t="str">
        <f t="shared" si="537"/>
        <v>BypassOpenStudio_ab,0,</v>
      </c>
      <c r="BR181" s="31" t="str">
        <f t="shared" si="538"/>
        <v>BypassOpenStudio_zp,0,</v>
      </c>
      <c r="BS181" s="31" t="str">
        <f t="shared" si="539"/>
        <v>BypassOpenStudio_zb,0,</v>
      </c>
      <c r="BT181" s="31" t="str">
        <f t="shared" si="540"/>
        <v>BypassOpenStudio_ap,0,</v>
      </c>
      <c r="BU181" s="31" t="str">
        <f t="shared" si="541"/>
        <v>BypassOpenStudio_ab,0,</v>
      </c>
    </row>
    <row r="182" spans="1:73" hidden="1" outlineLevel="1" x14ac:dyDescent="0.25">
      <c r="A182" s="39">
        <f t="shared" si="542"/>
        <v>0</v>
      </c>
      <c r="B182" s="27" t="str">
        <f t="shared" si="543"/>
        <v>SoftwareSensitivity2016Tests\DetailedGeometry\x.cibd16</v>
      </c>
      <c r="C182" s="27" t="str">
        <f t="shared" si="544"/>
        <v>BatchOut_171026_r5178_FinalRel-v3-SSTSG_SSTDG\x.cibd16</v>
      </c>
      <c r="D182" s="27" t="str">
        <f t="shared" si="545"/>
        <v>BatchOut_171026_r5178_FinalRel-v3-SSTSG_SSTDG\XML\</v>
      </c>
      <c r="E182" s="9" t="str">
        <f t="shared" si="546"/>
        <v>x</v>
      </c>
      <c r="F182" s="22"/>
      <c r="G182" s="29"/>
      <c r="H182" s="23" t="str">
        <f t="shared" si="547"/>
        <v/>
      </c>
      <c r="I182" s="9" t="s">
        <v>11</v>
      </c>
      <c r="J182" s="87" t="str">
        <f t="shared" ref="J182:J245" si="715">CONCATENATE(AS182,AT182,AU182,AV182,AW182,AX182,AY182,AZ182,BA182,BB182,BC182,BD182,BE182,BF182,BG182,BH182,BI182,BJ182,BK182,BL182,BM182,BN182,BO182,BP182,BQ182,BR182,BS182,BT182,BU182)</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2" s="15" t="s">
        <v>1</v>
      </c>
      <c r="L182" s="92">
        <f t="shared" si="573"/>
        <v>0</v>
      </c>
      <c r="M182" s="91" t="str">
        <f t="shared" si="548"/>
        <v>x</v>
      </c>
      <c r="N182" s="90" t="s">
        <v>149</v>
      </c>
      <c r="O182" s="28" t="str">
        <f t="shared" si="574"/>
        <v>x</v>
      </c>
      <c r="P182" s="36">
        <f t="shared" si="694"/>
        <v>1</v>
      </c>
      <c r="Q182" s="36">
        <f t="shared" si="694"/>
        <v>1</v>
      </c>
      <c r="R182" s="36">
        <f t="shared" si="694"/>
        <v>0</v>
      </c>
      <c r="S182" s="36">
        <f t="shared" si="694"/>
        <v>1</v>
      </c>
      <c r="T182" s="36">
        <f t="shared" si="694"/>
        <v>0</v>
      </c>
      <c r="U182" s="36">
        <f t="shared" si="694"/>
        <v>8</v>
      </c>
      <c r="V182" s="36">
        <f t="shared" si="694"/>
        <v>8</v>
      </c>
      <c r="W182" s="36">
        <f t="shared" si="694"/>
        <v>1</v>
      </c>
      <c r="X182" s="36">
        <f t="shared" si="691"/>
        <v>0</v>
      </c>
      <c r="Y182" s="36">
        <f t="shared" si="691"/>
        <v>0</v>
      </c>
      <c r="Z182" s="36">
        <f t="shared" si="691"/>
        <v>0</v>
      </c>
      <c r="AA182" s="36">
        <f t="shared" si="691"/>
        <v>0</v>
      </c>
      <c r="AB182" s="36">
        <f t="shared" si="691"/>
        <v>1</v>
      </c>
      <c r="AC182" s="36">
        <f t="shared" si="560"/>
        <v>0</v>
      </c>
      <c r="AD182" s="36">
        <f t="shared" si="561"/>
        <v>1</v>
      </c>
      <c r="AE182" s="36">
        <f t="shared" si="561"/>
        <v>0</v>
      </c>
      <c r="AF182" s="36">
        <f t="shared" ref="AF182:AG182" si="716">AF181</f>
        <v>0</v>
      </c>
      <c r="AG182" s="36">
        <f t="shared" si="716"/>
        <v>0</v>
      </c>
      <c r="AH182" s="36">
        <f t="shared" ref="AH182:AI182" si="717">AH181</f>
        <v>0</v>
      </c>
      <c r="AI182" s="36">
        <f t="shared" si="717"/>
        <v>0</v>
      </c>
      <c r="AJ182" s="36">
        <f t="shared" si="564"/>
        <v>0</v>
      </c>
      <c r="AK182" s="36">
        <f t="shared" si="565"/>
        <v>0</v>
      </c>
      <c r="AL182" s="36">
        <f t="shared" si="566"/>
        <v>0</v>
      </c>
      <c r="AM182" s="36">
        <f t="shared" si="567"/>
        <v>0</v>
      </c>
      <c r="AN182" s="36">
        <f t="shared" si="568"/>
        <v>0</v>
      </c>
      <c r="AO182" s="36">
        <f t="shared" si="569"/>
        <v>0</v>
      </c>
      <c r="AP182" s="36">
        <f t="shared" si="570"/>
        <v>0</v>
      </c>
      <c r="AQ182" s="36">
        <f t="shared" si="571"/>
        <v>0</v>
      </c>
      <c r="AR182" s="36">
        <f t="shared" si="572"/>
        <v>0</v>
      </c>
      <c r="AS182" s="31" t="str">
        <f t="shared" si="578"/>
        <v>SimulationStorage,1,</v>
      </c>
      <c r="AT182" s="31" t="str">
        <f t="shared" si="579"/>
        <v>AnalysisStorage,1,</v>
      </c>
      <c r="AU182" s="31" t="str">
        <f t="shared" si="580"/>
        <v>LogRuleEvaluation,0,</v>
      </c>
      <c r="AV182" s="31" t="str">
        <f t="shared" si="581"/>
        <v>ParallelSimulations,1,</v>
      </c>
      <c r="AW182" s="31" t="str">
        <f t="shared" si="582"/>
        <v>DurationStats,0,</v>
      </c>
      <c r="AX182" s="31" t="str">
        <f t="shared" si="583"/>
        <v>AnalysisThruStep,8,</v>
      </c>
      <c r="AY182" s="31" t="str">
        <f t="shared" si="584"/>
        <v>DontAbortOnErrorsThruStep,8,</v>
      </c>
      <c r="AZ182" s="31" t="str">
        <f t="shared" si="585"/>
        <v>BypassValidFileChecks,1,</v>
      </c>
      <c r="BA182" s="31" t="str">
        <f t="shared" si="586"/>
        <v>BypassInputChecks,0,</v>
      </c>
      <c r="BB182" s="31" t="str">
        <f t="shared" si="587"/>
        <v>BypassUMLHChecks,0,</v>
      </c>
      <c r="BC182" s="31" t="str">
        <f t="shared" si="588"/>
        <v>BypassCheckSimRules,0,</v>
      </c>
      <c r="BD182" s="31" t="str">
        <f t="shared" si="589"/>
        <v>BypassCheckCodeRules,0,</v>
      </c>
      <c r="BE182" s="31" t="str">
        <f t="shared" ref="BE182:BE245" si="718">AB$13&amp;AB182&amp;","</f>
        <v>StoreResultsToModelInput,1,</v>
      </c>
      <c r="BF182" s="31" t="str">
        <f t="shared" ref="BF182:BF245" si="719">AC$13&amp;AC182&amp;","</f>
        <v>StoreBEMDetails,0,</v>
      </c>
      <c r="BG182" s="31" t="str">
        <f t="shared" ref="BG182:BG245" si="720">AD$13&amp;AD182&amp;","</f>
        <v>ModelRpt_ALL,1,</v>
      </c>
      <c r="BH182" s="31" t="str">
        <f t="shared" ref="BH182:BH245" si="721">AE$13&amp;AE182&amp;","</f>
        <v>ExportHourlyResults_All,0,</v>
      </c>
      <c r="BI182" s="31" t="str">
        <f t="shared" ref="BI182:BI245" si="722">AF$13&amp;AF182&amp;","</f>
        <v>ComplianceReportPDF,0,</v>
      </c>
      <c r="BJ182" s="31" t="str">
        <f t="shared" ref="BJ182:BJ245" si="723">AG$13&amp;AG182&amp;","</f>
        <v>ComplianceReportXML,0,</v>
      </c>
      <c r="BK182" s="31" t="str">
        <f t="shared" ref="BK182:BL245" si="724">AH$13&amp;AH182&amp;","</f>
        <v>QuickAnalysis,0,</v>
      </c>
      <c r="BL182" s="31" t="str">
        <f t="shared" si="724"/>
        <v>PromptUserUMLHWarning,0,</v>
      </c>
      <c r="BM182" s="31" t="str">
        <f t="shared" ref="BM182:BM245" si="725">AJ$13&amp;AJ182&amp;","</f>
        <v>BypassOpenStudio_all,0,</v>
      </c>
      <c r="BN182" s="31" t="str">
        <f t="shared" ref="BN182:BN245" si="726">AK$13&amp;AK182&amp;","</f>
        <v>BypassOpenStudio_zp,0,</v>
      </c>
      <c r="BO182" s="31" t="str">
        <f t="shared" ref="BO182:BO245" si="727">AL$13&amp;AL182&amp;","</f>
        <v>BypassOpenStudio_zb,0,</v>
      </c>
      <c r="BP182" s="31" t="str">
        <f t="shared" ref="BP182:BP245" si="728">AM$13&amp;AM182&amp;","</f>
        <v>BypassOpenStudio_ap,0,</v>
      </c>
      <c r="BQ182" s="31" t="str">
        <f t="shared" ref="BQ182:BQ245" si="729">AN$13&amp;AN182&amp;","</f>
        <v>BypassOpenStudio_ab,0,</v>
      </c>
      <c r="BR182" s="31" t="str">
        <f t="shared" ref="BR182:BR245" si="730">AO$13&amp;AO182&amp;","</f>
        <v>BypassOpenStudio_zp,0,</v>
      </c>
      <c r="BS182" s="31" t="str">
        <f t="shared" ref="BS182:BS245" si="731">AP$13&amp;AP182&amp;","</f>
        <v>BypassOpenStudio_zb,0,</v>
      </c>
      <c r="BT182" s="31" t="str">
        <f t="shared" ref="BT182:BT245" si="732">AQ$13&amp;AQ182&amp;","</f>
        <v>BypassOpenStudio_ap,0,</v>
      </c>
      <c r="BU182" s="31" t="str">
        <f t="shared" ref="BU182:BU245" si="733">AR$13&amp;AR182&amp;","</f>
        <v>BypassOpenStudio_ab,0,</v>
      </c>
    </row>
    <row r="183" spans="1:73" hidden="1" outlineLevel="1" x14ac:dyDescent="0.25">
      <c r="A183" s="39">
        <f t="shared" ref="A183:A246" si="734">L183</f>
        <v>0</v>
      </c>
      <c r="B183" s="27" t="str">
        <f t="shared" ref="B183:B246" si="735">M$114&amp;N183&amp;".cibd16"</f>
        <v>SoftwareSensitivity2016Tests\DetailedGeometry\x.cibd16</v>
      </c>
      <c r="C183" s="27" t="str">
        <f t="shared" ref="C183:C246" si="736" xml:space="preserve"> M$115 &amp; O183 &amp; ".cibd16"</f>
        <v>BatchOut_171026_r5178_FinalRel-v3-SSTSG_SSTDG\x.cibd16</v>
      </c>
      <c r="D183" s="27" t="str">
        <f t="shared" ref="D183:D246" si="737">$M$116</f>
        <v>BatchOut_171026_r5178_FinalRel-v3-SSTSG_SSTDG\XML\</v>
      </c>
      <c r="E183" s="9" t="str">
        <f t="shared" ref="E183:E246" si="738">M183</f>
        <v>x</v>
      </c>
      <c r="F183" s="22"/>
      <c r="G183" s="29"/>
      <c r="H183" s="23" t="str">
        <f t="shared" ref="H183:H246" si="739">IF(F183&gt;1,1,"")</f>
        <v/>
      </c>
      <c r="I183" s="9" t="s">
        <v>11</v>
      </c>
      <c r="J18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3" s="15" t="s">
        <v>1</v>
      </c>
      <c r="L183" s="92">
        <f t="shared" si="573"/>
        <v>0</v>
      </c>
      <c r="M183" s="91" t="str">
        <f t="shared" ref="M183:M246" si="740">N183</f>
        <v>x</v>
      </c>
      <c r="N183" s="90" t="s">
        <v>149</v>
      </c>
      <c r="O183" s="28" t="str">
        <f t="shared" si="574"/>
        <v>x</v>
      </c>
      <c r="P183" s="36">
        <f t="shared" si="694"/>
        <v>1</v>
      </c>
      <c r="Q183" s="36">
        <f t="shared" si="694"/>
        <v>1</v>
      </c>
      <c r="R183" s="36">
        <f t="shared" si="694"/>
        <v>0</v>
      </c>
      <c r="S183" s="36">
        <f t="shared" si="694"/>
        <v>1</v>
      </c>
      <c r="T183" s="36">
        <f t="shared" si="694"/>
        <v>0</v>
      </c>
      <c r="U183" s="36">
        <f t="shared" si="694"/>
        <v>8</v>
      </c>
      <c r="V183" s="36">
        <f t="shared" si="694"/>
        <v>8</v>
      </c>
      <c r="W183" s="36">
        <f t="shared" si="694"/>
        <v>1</v>
      </c>
      <c r="X183" s="36">
        <f t="shared" si="691"/>
        <v>0</v>
      </c>
      <c r="Y183" s="36">
        <f t="shared" si="691"/>
        <v>0</v>
      </c>
      <c r="Z183" s="36">
        <f t="shared" si="691"/>
        <v>0</v>
      </c>
      <c r="AA183" s="36">
        <f t="shared" si="691"/>
        <v>0</v>
      </c>
      <c r="AB183" s="36">
        <f t="shared" si="691"/>
        <v>1</v>
      </c>
      <c r="AC183" s="36">
        <f t="shared" si="691"/>
        <v>0</v>
      </c>
      <c r="AD183" s="36">
        <f t="shared" si="691"/>
        <v>1</v>
      </c>
      <c r="AE183" s="36">
        <f t="shared" ref="AE183:AF183" si="741">AE182</f>
        <v>0</v>
      </c>
      <c r="AF183" s="36">
        <f t="shared" si="741"/>
        <v>0</v>
      </c>
      <c r="AG183" s="36">
        <f t="shared" ref="AG183:AH183" si="742">AG182</f>
        <v>0</v>
      </c>
      <c r="AH183" s="36">
        <f t="shared" si="742"/>
        <v>0</v>
      </c>
      <c r="AI183" s="36">
        <f t="shared" ref="AI183" si="743">AI182</f>
        <v>0</v>
      </c>
      <c r="AJ183" s="36">
        <f t="shared" si="691"/>
        <v>0</v>
      </c>
      <c r="AK183" s="36">
        <f t="shared" si="691"/>
        <v>0</v>
      </c>
      <c r="AL183" s="36">
        <f t="shared" si="691"/>
        <v>0</v>
      </c>
      <c r="AM183" s="36">
        <f t="shared" si="691"/>
        <v>0</v>
      </c>
      <c r="AN183" s="36">
        <f t="shared" si="691"/>
        <v>0</v>
      </c>
      <c r="AO183" s="36">
        <f t="shared" si="691"/>
        <v>0</v>
      </c>
      <c r="AP183" s="36">
        <f t="shared" si="691"/>
        <v>0</v>
      </c>
      <c r="AQ183" s="36">
        <f t="shared" si="691"/>
        <v>0</v>
      </c>
      <c r="AR183" s="36">
        <f t="shared" si="691"/>
        <v>0</v>
      </c>
      <c r="AS183" s="31" t="str">
        <f t="shared" si="578"/>
        <v>SimulationStorage,1,</v>
      </c>
      <c r="AT183" s="31" t="str">
        <f t="shared" si="579"/>
        <v>AnalysisStorage,1,</v>
      </c>
      <c r="AU183" s="31" t="str">
        <f t="shared" si="580"/>
        <v>LogRuleEvaluation,0,</v>
      </c>
      <c r="AV183" s="31" t="str">
        <f t="shared" si="581"/>
        <v>ParallelSimulations,1,</v>
      </c>
      <c r="AW183" s="31" t="str">
        <f t="shared" si="582"/>
        <v>DurationStats,0,</v>
      </c>
      <c r="AX183" s="31" t="str">
        <f t="shared" si="583"/>
        <v>AnalysisThruStep,8,</v>
      </c>
      <c r="AY183" s="31" t="str">
        <f t="shared" si="584"/>
        <v>DontAbortOnErrorsThruStep,8,</v>
      </c>
      <c r="AZ183" s="31" t="str">
        <f t="shared" si="585"/>
        <v>BypassValidFileChecks,1,</v>
      </c>
      <c r="BA183" s="31" t="str">
        <f t="shared" si="586"/>
        <v>BypassInputChecks,0,</v>
      </c>
      <c r="BB183" s="31" t="str">
        <f t="shared" si="587"/>
        <v>BypassUMLHChecks,0,</v>
      </c>
      <c r="BC183" s="31" t="str">
        <f t="shared" si="588"/>
        <v>BypassCheckSimRules,0,</v>
      </c>
      <c r="BD183" s="31" t="str">
        <f t="shared" si="589"/>
        <v>BypassCheckCodeRules,0,</v>
      </c>
      <c r="BE183" s="31" t="str">
        <f t="shared" si="718"/>
        <v>StoreResultsToModelInput,1,</v>
      </c>
      <c r="BF183" s="31" t="str">
        <f t="shared" si="719"/>
        <v>StoreBEMDetails,0,</v>
      </c>
      <c r="BG183" s="31" t="str">
        <f t="shared" si="720"/>
        <v>ModelRpt_ALL,1,</v>
      </c>
      <c r="BH183" s="31" t="str">
        <f t="shared" si="721"/>
        <v>ExportHourlyResults_All,0,</v>
      </c>
      <c r="BI183" s="31" t="str">
        <f t="shared" si="722"/>
        <v>ComplianceReportPDF,0,</v>
      </c>
      <c r="BJ183" s="31" t="str">
        <f t="shared" si="723"/>
        <v>ComplianceReportXML,0,</v>
      </c>
      <c r="BK183" s="31" t="str">
        <f t="shared" si="724"/>
        <v>QuickAnalysis,0,</v>
      </c>
      <c r="BL183" s="31" t="str">
        <f t="shared" si="724"/>
        <v>PromptUserUMLHWarning,0,</v>
      </c>
      <c r="BM183" s="31" t="str">
        <f t="shared" si="725"/>
        <v>BypassOpenStudio_all,0,</v>
      </c>
      <c r="BN183" s="31" t="str">
        <f t="shared" si="726"/>
        <v>BypassOpenStudio_zp,0,</v>
      </c>
      <c r="BO183" s="31" t="str">
        <f t="shared" si="727"/>
        <v>BypassOpenStudio_zb,0,</v>
      </c>
      <c r="BP183" s="31" t="str">
        <f t="shared" si="728"/>
        <v>BypassOpenStudio_ap,0,</v>
      </c>
      <c r="BQ183" s="31" t="str">
        <f t="shared" si="729"/>
        <v>BypassOpenStudio_ab,0,</v>
      </c>
      <c r="BR183" s="31" t="str">
        <f t="shared" si="730"/>
        <v>BypassOpenStudio_zp,0,</v>
      </c>
      <c r="BS183" s="31" t="str">
        <f t="shared" si="731"/>
        <v>BypassOpenStudio_zb,0,</v>
      </c>
      <c r="BT183" s="31" t="str">
        <f t="shared" si="732"/>
        <v>BypassOpenStudio_ap,0,</v>
      </c>
      <c r="BU183" s="31" t="str">
        <f t="shared" si="733"/>
        <v>BypassOpenStudio_ab,0,</v>
      </c>
    </row>
    <row r="184" spans="1:73" hidden="1" outlineLevel="1" x14ac:dyDescent="0.25">
      <c r="A184" s="39">
        <f t="shared" si="734"/>
        <v>0</v>
      </c>
      <c r="B184" s="27" t="str">
        <f t="shared" si="735"/>
        <v>SoftwareSensitivity2016Tests\DetailedGeometry\x.cibd16</v>
      </c>
      <c r="C184" s="27" t="str">
        <f t="shared" si="736"/>
        <v>BatchOut_171026_r5178_FinalRel-v3-SSTSG_SSTDG\x.cibd16</v>
      </c>
      <c r="D184" s="27" t="str">
        <f t="shared" si="737"/>
        <v>BatchOut_171026_r5178_FinalRel-v3-SSTSG_SSTDG\XML\</v>
      </c>
      <c r="E184" s="9" t="str">
        <f t="shared" si="738"/>
        <v>x</v>
      </c>
      <c r="F184" s="22"/>
      <c r="G184" s="29"/>
      <c r="H184" s="23" t="str">
        <f t="shared" si="739"/>
        <v/>
      </c>
      <c r="I184" s="9" t="s">
        <v>11</v>
      </c>
      <c r="J18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4" s="15" t="s">
        <v>1</v>
      </c>
      <c r="L184" s="92">
        <f t="shared" ref="L184:L215" si="744">L183</f>
        <v>0</v>
      </c>
      <c r="M184" s="91" t="str">
        <f t="shared" si="740"/>
        <v>x</v>
      </c>
      <c r="N184" s="90" t="s">
        <v>149</v>
      </c>
      <c r="O184" s="28" t="str">
        <f t="shared" ref="O184:O247" si="745">N184</f>
        <v>x</v>
      </c>
      <c r="P184" s="36">
        <f t="shared" si="694"/>
        <v>1</v>
      </c>
      <c r="Q184" s="36">
        <f t="shared" si="694"/>
        <v>1</v>
      </c>
      <c r="R184" s="36">
        <f t="shared" si="694"/>
        <v>0</v>
      </c>
      <c r="S184" s="36">
        <f t="shared" si="694"/>
        <v>1</v>
      </c>
      <c r="T184" s="36">
        <f t="shared" si="694"/>
        <v>0</v>
      </c>
      <c r="U184" s="36">
        <f t="shared" si="694"/>
        <v>8</v>
      </c>
      <c r="V184" s="36">
        <f t="shared" si="694"/>
        <v>8</v>
      </c>
      <c r="W184" s="36">
        <f t="shared" si="694"/>
        <v>1</v>
      </c>
      <c r="X184" s="36">
        <f t="shared" si="691"/>
        <v>0</v>
      </c>
      <c r="Y184" s="36">
        <f t="shared" si="691"/>
        <v>0</v>
      </c>
      <c r="Z184" s="36">
        <f t="shared" si="691"/>
        <v>0</v>
      </c>
      <c r="AA184" s="36">
        <f t="shared" si="691"/>
        <v>0</v>
      </c>
      <c r="AB184" s="36">
        <f t="shared" si="691"/>
        <v>1</v>
      </c>
      <c r="AC184" s="36">
        <f t="shared" si="691"/>
        <v>0</v>
      </c>
      <c r="AD184" s="36">
        <f t="shared" si="691"/>
        <v>1</v>
      </c>
      <c r="AE184" s="36">
        <f t="shared" ref="AE184:AF184" si="746">AE183</f>
        <v>0</v>
      </c>
      <c r="AF184" s="36">
        <f t="shared" si="746"/>
        <v>0</v>
      </c>
      <c r="AG184" s="36">
        <f t="shared" ref="AG184:AH184" si="747">AG183</f>
        <v>0</v>
      </c>
      <c r="AH184" s="36">
        <f t="shared" si="747"/>
        <v>0</v>
      </c>
      <c r="AI184" s="36">
        <f t="shared" ref="AI184" si="748">AI183</f>
        <v>0</v>
      </c>
      <c r="AJ184" s="36">
        <f t="shared" si="691"/>
        <v>0</v>
      </c>
      <c r="AK184" s="36">
        <f t="shared" si="691"/>
        <v>0</v>
      </c>
      <c r="AL184" s="36">
        <f t="shared" si="691"/>
        <v>0</v>
      </c>
      <c r="AM184" s="36">
        <f t="shared" si="691"/>
        <v>0</v>
      </c>
      <c r="AN184" s="36">
        <f t="shared" si="691"/>
        <v>0</v>
      </c>
      <c r="AO184" s="36">
        <f t="shared" si="691"/>
        <v>0</v>
      </c>
      <c r="AP184" s="36">
        <f t="shared" si="691"/>
        <v>0</v>
      </c>
      <c r="AQ184" s="36">
        <f t="shared" si="691"/>
        <v>0</v>
      </c>
      <c r="AR184" s="36">
        <f t="shared" si="691"/>
        <v>0</v>
      </c>
      <c r="AS184" s="31" t="str">
        <f t="shared" ref="AS184:AS247" si="749">P$13&amp;P184&amp;","</f>
        <v>SimulationStorage,1,</v>
      </c>
      <c r="AT184" s="31" t="str">
        <f t="shared" ref="AT184:AT247" si="750">Q$13&amp;Q184&amp;","</f>
        <v>AnalysisStorage,1,</v>
      </c>
      <c r="AU184" s="31" t="str">
        <f t="shared" ref="AU184:AU247" si="751">R$13&amp;R184&amp;","</f>
        <v>LogRuleEvaluation,0,</v>
      </c>
      <c r="AV184" s="31" t="str">
        <f t="shared" ref="AV184:AV247" si="752">S$13&amp;S184&amp;","</f>
        <v>ParallelSimulations,1,</v>
      </c>
      <c r="AW184" s="31" t="str">
        <f t="shared" ref="AW184:AW247" si="753">T$13&amp;T184&amp;","</f>
        <v>DurationStats,0,</v>
      </c>
      <c r="AX184" s="31" t="str">
        <f t="shared" ref="AX184:AX247" si="754">U$13&amp;U184&amp;","</f>
        <v>AnalysisThruStep,8,</v>
      </c>
      <c r="AY184" s="31" t="str">
        <f t="shared" ref="AY184:AY247" si="755">V$13&amp;V184&amp;","</f>
        <v>DontAbortOnErrorsThruStep,8,</v>
      </c>
      <c r="AZ184" s="31" t="str">
        <f t="shared" ref="AZ184:AZ247" si="756">W$13&amp;W184&amp;","</f>
        <v>BypassValidFileChecks,1,</v>
      </c>
      <c r="BA184" s="31" t="str">
        <f t="shared" ref="BA184:BA247" si="757">X$13&amp;X184&amp;","</f>
        <v>BypassInputChecks,0,</v>
      </c>
      <c r="BB184" s="31" t="str">
        <f t="shared" ref="BB184:BB247" si="758">Y$13&amp;Y184&amp;","</f>
        <v>BypassUMLHChecks,0,</v>
      </c>
      <c r="BC184" s="31" t="str">
        <f t="shared" ref="BC184:BC247" si="759">Z$13&amp;Z184&amp;","</f>
        <v>BypassCheckSimRules,0,</v>
      </c>
      <c r="BD184" s="31" t="str">
        <f t="shared" ref="BD184:BD247" si="760">AA$13&amp;AA184&amp;","</f>
        <v>BypassCheckCodeRules,0,</v>
      </c>
      <c r="BE184" s="31" t="str">
        <f t="shared" si="718"/>
        <v>StoreResultsToModelInput,1,</v>
      </c>
      <c r="BF184" s="31" t="str">
        <f t="shared" si="719"/>
        <v>StoreBEMDetails,0,</v>
      </c>
      <c r="BG184" s="31" t="str">
        <f t="shared" si="720"/>
        <v>ModelRpt_ALL,1,</v>
      </c>
      <c r="BH184" s="31" t="str">
        <f t="shared" si="721"/>
        <v>ExportHourlyResults_All,0,</v>
      </c>
      <c r="BI184" s="31" t="str">
        <f t="shared" si="722"/>
        <v>ComplianceReportPDF,0,</v>
      </c>
      <c r="BJ184" s="31" t="str">
        <f t="shared" si="723"/>
        <v>ComplianceReportXML,0,</v>
      </c>
      <c r="BK184" s="31" t="str">
        <f t="shared" si="724"/>
        <v>QuickAnalysis,0,</v>
      </c>
      <c r="BL184" s="31" t="str">
        <f t="shared" si="724"/>
        <v>PromptUserUMLHWarning,0,</v>
      </c>
      <c r="BM184" s="31" t="str">
        <f t="shared" si="725"/>
        <v>BypassOpenStudio_all,0,</v>
      </c>
      <c r="BN184" s="31" t="str">
        <f t="shared" si="726"/>
        <v>BypassOpenStudio_zp,0,</v>
      </c>
      <c r="BO184" s="31" t="str">
        <f t="shared" si="727"/>
        <v>BypassOpenStudio_zb,0,</v>
      </c>
      <c r="BP184" s="31" t="str">
        <f t="shared" si="728"/>
        <v>BypassOpenStudio_ap,0,</v>
      </c>
      <c r="BQ184" s="31" t="str">
        <f t="shared" si="729"/>
        <v>BypassOpenStudio_ab,0,</v>
      </c>
      <c r="BR184" s="31" t="str">
        <f t="shared" si="730"/>
        <v>BypassOpenStudio_zp,0,</v>
      </c>
      <c r="BS184" s="31" t="str">
        <f t="shared" si="731"/>
        <v>BypassOpenStudio_zb,0,</v>
      </c>
      <c r="BT184" s="31" t="str">
        <f t="shared" si="732"/>
        <v>BypassOpenStudio_ap,0,</v>
      </c>
      <c r="BU184" s="31" t="str">
        <f t="shared" si="733"/>
        <v>BypassOpenStudio_ab,0,</v>
      </c>
    </row>
    <row r="185" spans="1:73" hidden="1" outlineLevel="1" x14ac:dyDescent="0.25">
      <c r="A185" s="39">
        <f t="shared" si="734"/>
        <v>0</v>
      </c>
      <c r="B185" s="27" t="str">
        <f t="shared" si="735"/>
        <v>SoftwareSensitivity2016Tests\DetailedGeometry\x.cibd16</v>
      </c>
      <c r="C185" s="27" t="str">
        <f t="shared" si="736"/>
        <v>BatchOut_171026_r5178_FinalRel-v3-SSTSG_SSTDG\x.cibd16</v>
      </c>
      <c r="D185" s="27" t="str">
        <f t="shared" si="737"/>
        <v>BatchOut_171026_r5178_FinalRel-v3-SSTSG_SSTDG\XML\</v>
      </c>
      <c r="E185" s="9" t="str">
        <f t="shared" si="738"/>
        <v>x</v>
      </c>
      <c r="F185" s="22"/>
      <c r="G185" s="29"/>
      <c r="H185" s="23" t="str">
        <f t="shared" si="739"/>
        <v/>
      </c>
      <c r="I185" s="9" t="s">
        <v>11</v>
      </c>
      <c r="J18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5" s="15" t="s">
        <v>1</v>
      </c>
      <c r="L185" s="92">
        <f t="shared" si="744"/>
        <v>0</v>
      </c>
      <c r="M185" s="91" t="str">
        <f t="shared" si="740"/>
        <v>x</v>
      </c>
      <c r="N185" s="90" t="s">
        <v>149</v>
      </c>
      <c r="O185" s="28" t="str">
        <f t="shared" si="745"/>
        <v>x</v>
      </c>
      <c r="P185" s="36">
        <f t="shared" si="694"/>
        <v>1</v>
      </c>
      <c r="Q185" s="36">
        <f t="shared" si="694"/>
        <v>1</v>
      </c>
      <c r="R185" s="36">
        <f t="shared" si="694"/>
        <v>0</v>
      </c>
      <c r="S185" s="36">
        <f t="shared" si="694"/>
        <v>1</v>
      </c>
      <c r="T185" s="36">
        <f t="shared" si="694"/>
        <v>0</v>
      </c>
      <c r="U185" s="36">
        <f t="shared" si="694"/>
        <v>8</v>
      </c>
      <c r="V185" s="36">
        <f t="shared" si="694"/>
        <v>8</v>
      </c>
      <c r="W185" s="36">
        <f t="shared" si="694"/>
        <v>1</v>
      </c>
      <c r="X185" s="36">
        <f t="shared" si="691"/>
        <v>0</v>
      </c>
      <c r="Y185" s="36">
        <f t="shared" si="691"/>
        <v>0</v>
      </c>
      <c r="Z185" s="36">
        <f t="shared" si="691"/>
        <v>0</v>
      </c>
      <c r="AA185" s="36">
        <f t="shared" si="691"/>
        <v>0</v>
      </c>
      <c r="AB185" s="36">
        <f t="shared" si="691"/>
        <v>1</v>
      </c>
      <c r="AC185" s="36">
        <f t="shared" si="691"/>
        <v>0</v>
      </c>
      <c r="AD185" s="36">
        <f t="shared" si="691"/>
        <v>1</v>
      </c>
      <c r="AE185" s="36">
        <f t="shared" ref="AE185:AF185" si="761">AE184</f>
        <v>0</v>
      </c>
      <c r="AF185" s="36">
        <f t="shared" si="761"/>
        <v>0</v>
      </c>
      <c r="AG185" s="36">
        <f t="shared" ref="AG185:AH185" si="762">AG184</f>
        <v>0</v>
      </c>
      <c r="AH185" s="36">
        <f t="shared" si="762"/>
        <v>0</v>
      </c>
      <c r="AI185" s="36">
        <f t="shared" ref="AI185" si="763">AI184</f>
        <v>0</v>
      </c>
      <c r="AJ185" s="36">
        <f t="shared" si="691"/>
        <v>0</v>
      </c>
      <c r="AK185" s="36">
        <f t="shared" si="691"/>
        <v>0</v>
      </c>
      <c r="AL185" s="36">
        <f t="shared" si="691"/>
        <v>0</v>
      </c>
      <c r="AM185" s="36">
        <f t="shared" si="691"/>
        <v>0</v>
      </c>
      <c r="AN185" s="36">
        <f t="shared" si="691"/>
        <v>0</v>
      </c>
      <c r="AO185" s="36">
        <f t="shared" si="691"/>
        <v>0</v>
      </c>
      <c r="AP185" s="36">
        <f t="shared" si="691"/>
        <v>0</v>
      </c>
      <c r="AQ185" s="36">
        <f t="shared" si="691"/>
        <v>0</v>
      </c>
      <c r="AR185" s="36">
        <f t="shared" si="691"/>
        <v>0</v>
      </c>
      <c r="AS185" s="31" t="str">
        <f t="shared" si="749"/>
        <v>SimulationStorage,1,</v>
      </c>
      <c r="AT185" s="31" t="str">
        <f t="shared" si="750"/>
        <v>AnalysisStorage,1,</v>
      </c>
      <c r="AU185" s="31" t="str">
        <f t="shared" si="751"/>
        <v>LogRuleEvaluation,0,</v>
      </c>
      <c r="AV185" s="31" t="str">
        <f t="shared" si="752"/>
        <v>ParallelSimulations,1,</v>
      </c>
      <c r="AW185" s="31" t="str">
        <f t="shared" si="753"/>
        <v>DurationStats,0,</v>
      </c>
      <c r="AX185" s="31" t="str">
        <f t="shared" si="754"/>
        <v>AnalysisThruStep,8,</v>
      </c>
      <c r="AY185" s="31" t="str">
        <f t="shared" si="755"/>
        <v>DontAbortOnErrorsThruStep,8,</v>
      </c>
      <c r="AZ185" s="31" t="str">
        <f t="shared" si="756"/>
        <v>BypassValidFileChecks,1,</v>
      </c>
      <c r="BA185" s="31" t="str">
        <f t="shared" si="757"/>
        <v>BypassInputChecks,0,</v>
      </c>
      <c r="BB185" s="31" t="str">
        <f t="shared" si="758"/>
        <v>BypassUMLHChecks,0,</v>
      </c>
      <c r="BC185" s="31" t="str">
        <f t="shared" si="759"/>
        <v>BypassCheckSimRules,0,</v>
      </c>
      <c r="BD185" s="31" t="str">
        <f t="shared" si="760"/>
        <v>BypassCheckCodeRules,0,</v>
      </c>
      <c r="BE185" s="31" t="str">
        <f t="shared" si="718"/>
        <v>StoreResultsToModelInput,1,</v>
      </c>
      <c r="BF185" s="31" t="str">
        <f t="shared" si="719"/>
        <v>StoreBEMDetails,0,</v>
      </c>
      <c r="BG185" s="31" t="str">
        <f t="shared" si="720"/>
        <v>ModelRpt_ALL,1,</v>
      </c>
      <c r="BH185" s="31" t="str">
        <f t="shared" si="721"/>
        <v>ExportHourlyResults_All,0,</v>
      </c>
      <c r="BI185" s="31" t="str">
        <f t="shared" si="722"/>
        <v>ComplianceReportPDF,0,</v>
      </c>
      <c r="BJ185" s="31" t="str">
        <f t="shared" si="723"/>
        <v>ComplianceReportXML,0,</v>
      </c>
      <c r="BK185" s="31" t="str">
        <f t="shared" si="724"/>
        <v>QuickAnalysis,0,</v>
      </c>
      <c r="BL185" s="31" t="str">
        <f t="shared" si="724"/>
        <v>PromptUserUMLHWarning,0,</v>
      </c>
      <c r="BM185" s="31" t="str">
        <f t="shared" si="725"/>
        <v>BypassOpenStudio_all,0,</v>
      </c>
      <c r="BN185" s="31" t="str">
        <f t="shared" si="726"/>
        <v>BypassOpenStudio_zp,0,</v>
      </c>
      <c r="BO185" s="31" t="str">
        <f t="shared" si="727"/>
        <v>BypassOpenStudio_zb,0,</v>
      </c>
      <c r="BP185" s="31" t="str">
        <f t="shared" si="728"/>
        <v>BypassOpenStudio_ap,0,</v>
      </c>
      <c r="BQ185" s="31" t="str">
        <f t="shared" si="729"/>
        <v>BypassOpenStudio_ab,0,</v>
      </c>
      <c r="BR185" s="31" t="str">
        <f t="shared" si="730"/>
        <v>BypassOpenStudio_zp,0,</v>
      </c>
      <c r="BS185" s="31" t="str">
        <f t="shared" si="731"/>
        <v>BypassOpenStudio_zb,0,</v>
      </c>
      <c r="BT185" s="31" t="str">
        <f t="shared" si="732"/>
        <v>BypassOpenStudio_ap,0,</v>
      </c>
      <c r="BU185" s="31" t="str">
        <f t="shared" si="733"/>
        <v>BypassOpenStudio_ab,0,</v>
      </c>
    </row>
    <row r="186" spans="1:73" hidden="1" outlineLevel="1" x14ac:dyDescent="0.25">
      <c r="A186" s="39">
        <f t="shared" si="734"/>
        <v>0</v>
      </c>
      <c r="B186" s="27" t="str">
        <f t="shared" si="735"/>
        <v>SoftwareSensitivity2016Tests\DetailedGeometry\x.cibd16</v>
      </c>
      <c r="C186" s="27" t="str">
        <f t="shared" si="736"/>
        <v>BatchOut_171026_r5178_FinalRel-v3-SSTSG_SSTDG\x.cibd16</v>
      </c>
      <c r="D186" s="27" t="str">
        <f t="shared" si="737"/>
        <v>BatchOut_171026_r5178_FinalRel-v3-SSTSG_SSTDG\XML\</v>
      </c>
      <c r="E186" s="9" t="str">
        <f t="shared" si="738"/>
        <v>x</v>
      </c>
      <c r="F186" s="22"/>
      <c r="G186" s="29"/>
      <c r="H186" s="23" t="str">
        <f t="shared" si="739"/>
        <v/>
      </c>
      <c r="I186" s="9" t="s">
        <v>11</v>
      </c>
      <c r="J18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6" s="15" t="s">
        <v>1</v>
      </c>
      <c r="L186" s="92">
        <f t="shared" si="744"/>
        <v>0</v>
      </c>
      <c r="M186" s="91" t="str">
        <f t="shared" si="740"/>
        <v>x</v>
      </c>
      <c r="N186" s="90" t="s">
        <v>149</v>
      </c>
      <c r="O186" s="28" t="str">
        <f t="shared" si="745"/>
        <v>x</v>
      </c>
      <c r="P186" s="36">
        <f t="shared" si="694"/>
        <v>1</v>
      </c>
      <c r="Q186" s="36">
        <f t="shared" si="694"/>
        <v>1</v>
      </c>
      <c r="R186" s="36">
        <f t="shared" si="694"/>
        <v>0</v>
      </c>
      <c r="S186" s="36">
        <f t="shared" si="694"/>
        <v>1</v>
      </c>
      <c r="T186" s="36">
        <f t="shared" si="694"/>
        <v>0</v>
      </c>
      <c r="U186" s="36">
        <f t="shared" si="694"/>
        <v>8</v>
      </c>
      <c r="V186" s="36">
        <f t="shared" si="694"/>
        <v>8</v>
      </c>
      <c r="W186" s="36">
        <f t="shared" si="694"/>
        <v>1</v>
      </c>
      <c r="X186" s="36">
        <f t="shared" si="691"/>
        <v>0</v>
      </c>
      <c r="Y186" s="36">
        <f t="shared" si="691"/>
        <v>0</v>
      </c>
      <c r="Z186" s="36">
        <f t="shared" si="691"/>
        <v>0</v>
      </c>
      <c r="AA186" s="36">
        <f t="shared" si="691"/>
        <v>0</v>
      </c>
      <c r="AB186" s="36">
        <f t="shared" si="691"/>
        <v>1</v>
      </c>
      <c r="AC186" s="36">
        <f t="shared" si="691"/>
        <v>0</v>
      </c>
      <c r="AD186" s="36">
        <f t="shared" si="691"/>
        <v>1</v>
      </c>
      <c r="AE186" s="36">
        <f t="shared" ref="AE186:AF194" si="764">AE185</f>
        <v>0</v>
      </c>
      <c r="AF186" s="36">
        <f t="shared" si="764"/>
        <v>0</v>
      </c>
      <c r="AG186" s="36">
        <f t="shared" ref="AG186:AH186" si="765">AG185</f>
        <v>0</v>
      </c>
      <c r="AH186" s="36">
        <f t="shared" si="765"/>
        <v>0</v>
      </c>
      <c r="AI186" s="36">
        <f t="shared" ref="AI186" si="766">AI185</f>
        <v>0</v>
      </c>
      <c r="AJ186" s="36">
        <f t="shared" si="691"/>
        <v>0</v>
      </c>
      <c r="AK186" s="36">
        <f t="shared" si="691"/>
        <v>0</v>
      </c>
      <c r="AL186" s="36">
        <f t="shared" si="691"/>
        <v>0</v>
      </c>
      <c r="AM186" s="36">
        <f t="shared" si="691"/>
        <v>0</v>
      </c>
      <c r="AN186" s="36">
        <f t="shared" si="691"/>
        <v>0</v>
      </c>
      <c r="AO186" s="36">
        <f t="shared" si="691"/>
        <v>0</v>
      </c>
      <c r="AP186" s="36">
        <f t="shared" si="691"/>
        <v>0</v>
      </c>
      <c r="AQ186" s="36">
        <f t="shared" si="691"/>
        <v>0</v>
      </c>
      <c r="AR186" s="36">
        <f t="shared" si="691"/>
        <v>0</v>
      </c>
      <c r="AS186" s="31" t="str">
        <f t="shared" si="749"/>
        <v>SimulationStorage,1,</v>
      </c>
      <c r="AT186" s="31" t="str">
        <f t="shared" si="750"/>
        <v>AnalysisStorage,1,</v>
      </c>
      <c r="AU186" s="31" t="str">
        <f t="shared" si="751"/>
        <v>LogRuleEvaluation,0,</v>
      </c>
      <c r="AV186" s="31" t="str">
        <f t="shared" si="752"/>
        <v>ParallelSimulations,1,</v>
      </c>
      <c r="AW186" s="31" t="str">
        <f t="shared" si="753"/>
        <v>DurationStats,0,</v>
      </c>
      <c r="AX186" s="31" t="str">
        <f t="shared" si="754"/>
        <v>AnalysisThruStep,8,</v>
      </c>
      <c r="AY186" s="31" t="str">
        <f t="shared" si="755"/>
        <v>DontAbortOnErrorsThruStep,8,</v>
      </c>
      <c r="AZ186" s="31" t="str">
        <f t="shared" si="756"/>
        <v>BypassValidFileChecks,1,</v>
      </c>
      <c r="BA186" s="31" t="str">
        <f t="shared" si="757"/>
        <v>BypassInputChecks,0,</v>
      </c>
      <c r="BB186" s="31" t="str">
        <f t="shared" si="758"/>
        <v>BypassUMLHChecks,0,</v>
      </c>
      <c r="BC186" s="31" t="str">
        <f t="shared" si="759"/>
        <v>BypassCheckSimRules,0,</v>
      </c>
      <c r="BD186" s="31" t="str">
        <f t="shared" si="760"/>
        <v>BypassCheckCodeRules,0,</v>
      </c>
      <c r="BE186" s="31" t="str">
        <f t="shared" si="718"/>
        <v>StoreResultsToModelInput,1,</v>
      </c>
      <c r="BF186" s="31" t="str">
        <f t="shared" si="719"/>
        <v>StoreBEMDetails,0,</v>
      </c>
      <c r="BG186" s="31" t="str">
        <f t="shared" si="720"/>
        <v>ModelRpt_ALL,1,</v>
      </c>
      <c r="BH186" s="31" t="str">
        <f t="shared" si="721"/>
        <v>ExportHourlyResults_All,0,</v>
      </c>
      <c r="BI186" s="31" t="str">
        <f t="shared" si="722"/>
        <v>ComplianceReportPDF,0,</v>
      </c>
      <c r="BJ186" s="31" t="str">
        <f t="shared" si="723"/>
        <v>ComplianceReportXML,0,</v>
      </c>
      <c r="BK186" s="31" t="str">
        <f t="shared" si="724"/>
        <v>QuickAnalysis,0,</v>
      </c>
      <c r="BL186" s="31" t="str">
        <f t="shared" si="724"/>
        <v>PromptUserUMLHWarning,0,</v>
      </c>
      <c r="BM186" s="31" t="str">
        <f t="shared" si="725"/>
        <v>BypassOpenStudio_all,0,</v>
      </c>
      <c r="BN186" s="31" t="str">
        <f t="shared" si="726"/>
        <v>BypassOpenStudio_zp,0,</v>
      </c>
      <c r="BO186" s="31" t="str">
        <f t="shared" si="727"/>
        <v>BypassOpenStudio_zb,0,</v>
      </c>
      <c r="BP186" s="31" t="str">
        <f t="shared" si="728"/>
        <v>BypassOpenStudio_ap,0,</v>
      </c>
      <c r="BQ186" s="31" t="str">
        <f t="shared" si="729"/>
        <v>BypassOpenStudio_ab,0,</v>
      </c>
      <c r="BR186" s="31" t="str">
        <f t="shared" si="730"/>
        <v>BypassOpenStudio_zp,0,</v>
      </c>
      <c r="BS186" s="31" t="str">
        <f t="shared" si="731"/>
        <v>BypassOpenStudio_zb,0,</v>
      </c>
      <c r="BT186" s="31" t="str">
        <f t="shared" si="732"/>
        <v>BypassOpenStudio_ap,0,</v>
      </c>
      <c r="BU186" s="31" t="str">
        <f t="shared" si="733"/>
        <v>BypassOpenStudio_ab,0,</v>
      </c>
    </row>
    <row r="187" spans="1:73" hidden="1" outlineLevel="1" x14ac:dyDescent="0.25">
      <c r="A187" s="39">
        <f t="shared" si="734"/>
        <v>0</v>
      </c>
      <c r="B187" s="27" t="str">
        <f t="shared" si="735"/>
        <v>SoftwareSensitivity2016Tests\DetailedGeometry\x.cibd16</v>
      </c>
      <c r="C187" s="27" t="str">
        <f t="shared" si="736"/>
        <v>BatchOut_171026_r5178_FinalRel-v3-SSTSG_SSTDG\x.cibd16</v>
      </c>
      <c r="D187" s="27" t="str">
        <f t="shared" si="737"/>
        <v>BatchOut_171026_r5178_FinalRel-v3-SSTSG_SSTDG\XML\</v>
      </c>
      <c r="E187" s="9" t="str">
        <f t="shared" si="738"/>
        <v>x</v>
      </c>
      <c r="F187" s="22"/>
      <c r="G187" s="29"/>
      <c r="H187" s="23" t="str">
        <f t="shared" si="739"/>
        <v/>
      </c>
      <c r="I187" s="9" t="s">
        <v>11</v>
      </c>
      <c r="J18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7" s="15" t="s">
        <v>1</v>
      </c>
      <c r="L187" s="92">
        <f t="shared" si="744"/>
        <v>0</v>
      </c>
      <c r="M187" s="91" t="str">
        <f t="shared" si="740"/>
        <v>x</v>
      </c>
      <c r="N187" s="90" t="s">
        <v>149</v>
      </c>
      <c r="O187" s="28" t="str">
        <f t="shared" si="745"/>
        <v>x</v>
      </c>
      <c r="P187" s="36">
        <f t="shared" si="694"/>
        <v>1</v>
      </c>
      <c r="Q187" s="36">
        <f t="shared" si="694"/>
        <v>1</v>
      </c>
      <c r="R187" s="36">
        <f t="shared" si="694"/>
        <v>0</v>
      </c>
      <c r="S187" s="36">
        <f t="shared" si="694"/>
        <v>1</v>
      </c>
      <c r="T187" s="36">
        <f t="shared" si="694"/>
        <v>0</v>
      </c>
      <c r="U187" s="36">
        <f t="shared" si="694"/>
        <v>8</v>
      </c>
      <c r="V187" s="36">
        <f t="shared" si="694"/>
        <v>8</v>
      </c>
      <c r="W187" s="36">
        <f t="shared" si="694"/>
        <v>1</v>
      </c>
      <c r="X187" s="36">
        <f t="shared" si="694"/>
        <v>0</v>
      </c>
      <c r="Y187" s="36">
        <f t="shared" si="694"/>
        <v>0</v>
      </c>
      <c r="Z187" s="36">
        <f t="shared" si="694"/>
        <v>0</v>
      </c>
      <c r="AA187" s="36">
        <f t="shared" si="694"/>
        <v>0</v>
      </c>
      <c r="AB187" s="36">
        <f t="shared" si="694"/>
        <v>1</v>
      </c>
      <c r="AC187" s="36">
        <f t="shared" si="694"/>
        <v>0</v>
      </c>
      <c r="AD187" s="36">
        <f t="shared" si="694"/>
        <v>1</v>
      </c>
      <c r="AE187" s="36">
        <f t="shared" si="764"/>
        <v>0</v>
      </c>
      <c r="AF187" s="36">
        <f t="shared" si="764"/>
        <v>0</v>
      </c>
      <c r="AG187" s="36">
        <f t="shared" ref="AG187:AH187" si="767">AG186</f>
        <v>0</v>
      </c>
      <c r="AH187" s="36">
        <f t="shared" si="767"/>
        <v>0</v>
      </c>
      <c r="AI187" s="36">
        <f t="shared" ref="AI187" si="768">AI186</f>
        <v>0</v>
      </c>
      <c r="AJ187" s="36">
        <f t="shared" si="694"/>
        <v>0</v>
      </c>
      <c r="AK187" s="36">
        <f t="shared" ref="AK187:AR202" si="769">AK186</f>
        <v>0</v>
      </c>
      <c r="AL187" s="36">
        <f t="shared" si="769"/>
        <v>0</v>
      </c>
      <c r="AM187" s="36">
        <f t="shared" si="769"/>
        <v>0</v>
      </c>
      <c r="AN187" s="36">
        <f t="shared" si="769"/>
        <v>0</v>
      </c>
      <c r="AO187" s="36">
        <f t="shared" si="769"/>
        <v>0</v>
      </c>
      <c r="AP187" s="36">
        <f t="shared" si="769"/>
        <v>0</v>
      </c>
      <c r="AQ187" s="36">
        <f t="shared" si="769"/>
        <v>0</v>
      </c>
      <c r="AR187" s="36">
        <f t="shared" si="769"/>
        <v>0</v>
      </c>
      <c r="AS187" s="31" t="str">
        <f t="shared" si="749"/>
        <v>SimulationStorage,1,</v>
      </c>
      <c r="AT187" s="31" t="str">
        <f t="shared" si="750"/>
        <v>AnalysisStorage,1,</v>
      </c>
      <c r="AU187" s="31" t="str">
        <f t="shared" si="751"/>
        <v>LogRuleEvaluation,0,</v>
      </c>
      <c r="AV187" s="31" t="str">
        <f t="shared" si="752"/>
        <v>ParallelSimulations,1,</v>
      </c>
      <c r="AW187" s="31" t="str">
        <f t="shared" si="753"/>
        <v>DurationStats,0,</v>
      </c>
      <c r="AX187" s="31" t="str">
        <f t="shared" si="754"/>
        <v>AnalysisThruStep,8,</v>
      </c>
      <c r="AY187" s="31" t="str">
        <f t="shared" si="755"/>
        <v>DontAbortOnErrorsThruStep,8,</v>
      </c>
      <c r="AZ187" s="31" t="str">
        <f t="shared" si="756"/>
        <v>BypassValidFileChecks,1,</v>
      </c>
      <c r="BA187" s="31" t="str">
        <f t="shared" si="757"/>
        <v>BypassInputChecks,0,</v>
      </c>
      <c r="BB187" s="31" t="str">
        <f t="shared" si="758"/>
        <v>BypassUMLHChecks,0,</v>
      </c>
      <c r="BC187" s="31" t="str">
        <f t="shared" si="759"/>
        <v>BypassCheckSimRules,0,</v>
      </c>
      <c r="BD187" s="31" t="str">
        <f t="shared" si="760"/>
        <v>BypassCheckCodeRules,0,</v>
      </c>
      <c r="BE187" s="31" t="str">
        <f t="shared" si="718"/>
        <v>StoreResultsToModelInput,1,</v>
      </c>
      <c r="BF187" s="31" t="str">
        <f t="shared" si="719"/>
        <v>StoreBEMDetails,0,</v>
      </c>
      <c r="BG187" s="31" t="str">
        <f t="shared" si="720"/>
        <v>ModelRpt_ALL,1,</v>
      </c>
      <c r="BH187" s="31" t="str">
        <f t="shared" si="721"/>
        <v>ExportHourlyResults_All,0,</v>
      </c>
      <c r="BI187" s="31" t="str">
        <f t="shared" si="722"/>
        <v>ComplianceReportPDF,0,</v>
      </c>
      <c r="BJ187" s="31" t="str">
        <f t="shared" si="723"/>
        <v>ComplianceReportXML,0,</v>
      </c>
      <c r="BK187" s="31" t="str">
        <f t="shared" si="724"/>
        <v>QuickAnalysis,0,</v>
      </c>
      <c r="BL187" s="31" t="str">
        <f t="shared" si="724"/>
        <v>PromptUserUMLHWarning,0,</v>
      </c>
      <c r="BM187" s="31" t="str">
        <f t="shared" si="725"/>
        <v>BypassOpenStudio_all,0,</v>
      </c>
      <c r="BN187" s="31" t="str">
        <f t="shared" si="726"/>
        <v>BypassOpenStudio_zp,0,</v>
      </c>
      <c r="BO187" s="31" t="str">
        <f t="shared" si="727"/>
        <v>BypassOpenStudio_zb,0,</v>
      </c>
      <c r="BP187" s="31" t="str">
        <f t="shared" si="728"/>
        <v>BypassOpenStudio_ap,0,</v>
      </c>
      <c r="BQ187" s="31" t="str">
        <f t="shared" si="729"/>
        <v>BypassOpenStudio_ab,0,</v>
      </c>
      <c r="BR187" s="31" t="str">
        <f t="shared" si="730"/>
        <v>BypassOpenStudio_zp,0,</v>
      </c>
      <c r="BS187" s="31" t="str">
        <f t="shared" si="731"/>
        <v>BypassOpenStudio_zb,0,</v>
      </c>
      <c r="BT187" s="31" t="str">
        <f t="shared" si="732"/>
        <v>BypassOpenStudio_ap,0,</v>
      </c>
      <c r="BU187" s="31" t="str">
        <f t="shared" si="733"/>
        <v>BypassOpenStudio_ab,0,</v>
      </c>
    </row>
    <row r="188" spans="1:73" hidden="1" outlineLevel="1" x14ac:dyDescent="0.25">
      <c r="A188" s="39">
        <f t="shared" si="734"/>
        <v>0</v>
      </c>
      <c r="B188" s="27" t="str">
        <f t="shared" si="735"/>
        <v>SoftwareSensitivity2016Tests\DetailedGeometry\x.cibd16</v>
      </c>
      <c r="C188" s="27" t="str">
        <f t="shared" si="736"/>
        <v>BatchOut_171026_r5178_FinalRel-v3-SSTSG_SSTDG\x.cibd16</v>
      </c>
      <c r="D188" s="27" t="str">
        <f t="shared" si="737"/>
        <v>BatchOut_171026_r5178_FinalRel-v3-SSTSG_SSTDG\XML\</v>
      </c>
      <c r="E188" s="9" t="str">
        <f t="shared" si="738"/>
        <v>x</v>
      </c>
      <c r="F188" s="22"/>
      <c r="G188" s="29"/>
      <c r="H188" s="23" t="str">
        <f t="shared" si="739"/>
        <v/>
      </c>
      <c r="I188" s="9" t="s">
        <v>11</v>
      </c>
      <c r="J18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8" s="15" t="s">
        <v>1</v>
      </c>
      <c r="L188" s="92">
        <f t="shared" si="744"/>
        <v>0</v>
      </c>
      <c r="M188" s="91" t="str">
        <f t="shared" si="740"/>
        <v>x</v>
      </c>
      <c r="N188" s="90" t="s">
        <v>149</v>
      </c>
      <c r="O188" s="28" t="str">
        <f t="shared" si="745"/>
        <v>x</v>
      </c>
      <c r="P188" s="36">
        <f t="shared" si="694"/>
        <v>1</v>
      </c>
      <c r="Q188" s="36">
        <f t="shared" si="694"/>
        <v>1</v>
      </c>
      <c r="R188" s="36">
        <f t="shared" si="694"/>
        <v>0</v>
      </c>
      <c r="S188" s="36">
        <f t="shared" si="694"/>
        <v>1</v>
      </c>
      <c r="T188" s="36">
        <f t="shared" si="694"/>
        <v>0</v>
      </c>
      <c r="U188" s="36">
        <f t="shared" si="694"/>
        <v>8</v>
      </c>
      <c r="V188" s="36">
        <f t="shared" si="694"/>
        <v>8</v>
      </c>
      <c r="W188" s="36">
        <f t="shared" si="694"/>
        <v>1</v>
      </c>
      <c r="X188" s="36">
        <f t="shared" si="694"/>
        <v>0</v>
      </c>
      <c r="Y188" s="36">
        <f t="shared" si="694"/>
        <v>0</v>
      </c>
      <c r="Z188" s="36">
        <f t="shared" si="694"/>
        <v>0</v>
      </c>
      <c r="AA188" s="36">
        <f t="shared" si="694"/>
        <v>0</v>
      </c>
      <c r="AB188" s="36">
        <f t="shared" si="694"/>
        <v>1</v>
      </c>
      <c r="AC188" s="36">
        <f t="shared" si="694"/>
        <v>0</v>
      </c>
      <c r="AD188" s="36">
        <f t="shared" si="694"/>
        <v>1</v>
      </c>
      <c r="AE188" s="36">
        <f t="shared" si="764"/>
        <v>0</v>
      </c>
      <c r="AF188" s="36">
        <f t="shared" si="764"/>
        <v>0</v>
      </c>
      <c r="AG188" s="36">
        <f t="shared" ref="AG188:AH188" si="770">AG187</f>
        <v>0</v>
      </c>
      <c r="AH188" s="36">
        <f t="shared" si="770"/>
        <v>0</v>
      </c>
      <c r="AI188" s="36">
        <f t="shared" ref="AI188" si="771">AI187</f>
        <v>0</v>
      </c>
      <c r="AJ188" s="36">
        <f t="shared" si="694"/>
        <v>0</v>
      </c>
      <c r="AK188" s="36">
        <f t="shared" si="769"/>
        <v>0</v>
      </c>
      <c r="AL188" s="36">
        <f t="shared" si="769"/>
        <v>0</v>
      </c>
      <c r="AM188" s="36">
        <f t="shared" si="769"/>
        <v>0</v>
      </c>
      <c r="AN188" s="36">
        <f t="shared" si="769"/>
        <v>0</v>
      </c>
      <c r="AO188" s="36">
        <f t="shared" si="769"/>
        <v>0</v>
      </c>
      <c r="AP188" s="36">
        <f t="shared" si="769"/>
        <v>0</v>
      </c>
      <c r="AQ188" s="36">
        <f t="shared" si="769"/>
        <v>0</v>
      </c>
      <c r="AR188" s="36">
        <f t="shared" si="769"/>
        <v>0</v>
      </c>
      <c r="AS188" s="31" t="str">
        <f t="shared" si="749"/>
        <v>SimulationStorage,1,</v>
      </c>
      <c r="AT188" s="31" t="str">
        <f t="shared" si="750"/>
        <v>AnalysisStorage,1,</v>
      </c>
      <c r="AU188" s="31" t="str">
        <f t="shared" si="751"/>
        <v>LogRuleEvaluation,0,</v>
      </c>
      <c r="AV188" s="31" t="str">
        <f t="shared" si="752"/>
        <v>ParallelSimulations,1,</v>
      </c>
      <c r="AW188" s="31" t="str">
        <f t="shared" si="753"/>
        <v>DurationStats,0,</v>
      </c>
      <c r="AX188" s="31" t="str">
        <f t="shared" si="754"/>
        <v>AnalysisThruStep,8,</v>
      </c>
      <c r="AY188" s="31" t="str">
        <f t="shared" si="755"/>
        <v>DontAbortOnErrorsThruStep,8,</v>
      </c>
      <c r="AZ188" s="31" t="str">
        <f t="shared" si="756"/>
        <v>BypassValidFileChecks,1,</v>
      </c>
      <c r="BA188" s="31" t="str">
        <f t="shared" si="757"/>
        <v>BypassInputChecks,0,</v>
      </c>
      <c r="BB188" s="31" t="str">
        <f t="shared" si="758"/>
        <v>BypassUMLHChecks,0,</v>
      </c>
      <c r="BC188" s="31" t="str">
        <f t="shared" si="759"/>
        <v>BypassCheckSimRules,0,</v>
      </c>
      <c r="BD188" s="31" t="str">
        <f t="shared" si="760"/>
        <v>BypassCheckCodeRules,0,</v>
      </c>
      <c r="BE188" s="31" t="str">
        <f t="shared" si="718"/>
        <v>StoreResultsToModelInput,1,</v>
      </c>
      <c r="BF188" s="31" t="str">
        <f t="shared" si="719"/>
        <v>StoreBEMDetails,0,</v>
      </c>
      <c r="BG188" s="31" t="str">
        <f t="shared" si="720"/>
        <v>ModelRpt_ALL,1,</v>
      </c>
      <c r="BH188" s="31" t="str">
        <f t="shared" si="721"/>
        <v>ExportHourlyResults_All,0,</v>
      </c>
      <c r="BI188" s="31" t="str">
        <f t="shared" si="722"/>
        <v>ComplianceReportPDF,0,</v>
      </c>
      <c r="BJ188" s="31" t="str">
        <f t="shared" si="723"/>
        <v>ComplianceReportXML,0,</v>
      </c>
      <c r="BK188" s="31" t="str">
        <f t="shared" si="724"/>
        <v>QuickAnalysis,0,</v>
      </c>
      <c r="BL188" s="31" t="str">
        <f t="shared" si="724"/>
        <v>PromptUserUMLHWarning,0,</v>
      </c>
      <c r="BM188" s="31" t="str">
        <f t="shared" si="725"/>
        <v>BypassOpenStudio_all,0,</v>
      </c>
      <c r="BN188" s="31" t="str">
        <f t="shared" si="726"/>
        <v>BypassOpenStudio_zp,0,</v>
      </c>
      <c r="BO188" s="31" t="str">
        <f t="shared" si="727"/>
        <v>BypassOpenStudio_zb,0,</v>
      </c>
      <c r="BP188" s="31" t="str">
        <f t="shared" si="728"/>
        <v>BypassOpenStudio_ap,0,</v>
      </c>
      <c r="BQ188" s="31" t="str">
        <f t="shared" si="729"/>
        <v>BypassOpenStudio_ab,0,</v>
      </c>
      <c r="BR188" s="31" t="str">
        <f t="shared" si="730"/>
        <v>BypassOpenStudio_zp,0,</v>
      </c>
      <c r="BS188" s="31" t="str">
        <f t="shared" si="731"/>
        <v>BypassOpenStudio_zb,0,</v>
      </c>
      <c r="BT188" s="31" t="str">
        <f t="shared" si="732"/>
        <v>BypassOpenStudio_ap,0,</v>
      </c>
      <c r="BU188" s="31" t="str">
        <f t="shared" si="733"/>
        <v>BypassOpenStudio_ab,0,</v>
      </c>
    </row>
    <row r="189" spans="1:73" hidden="1" outlineLevel="1" x14ac:dyDescent="0.25">
      <c r="A189" s="39">
        <f t="shared" si="734"/>
        <v>0</v>
      </c>
      <c r="B189" s="27" t="str">
        <f t="shared" si="735"/>
        <v>SoftwareSensitivity2016Tests\DetailedGeometry\x.cibd16</v>
      </c>
      <c r="C189" s="27" t="str">
        <f t="shared" si="736"/>
        <v>BatchOut_171026_r5178_FinalRel-v3-SSTSG_SSTDG\x.cibd16</v>
      </c>
      <c r="D189" s="27" t="str">
        <f t="shared" si="737"/>
        <v>BatchOut_171026_r5178_FinalRel-v3-SSTSG_SSTDG\XML\</v>
      </c>
      <c r="E189" s="9" t="str">
        <f t="shared" si="738"/>
        <v>x</v>
      </c>
      <c r="F189" s="22"/>
      <c r="G189" s="29"/>
      <c r="H189" s="23" t="str">
        <f t="shared" si="739"/>
        <v/>
      </c>
      <c r="I189" s="9" t="s">
        <v>11</v>
      </c>
      <c r="J18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9" s="15" t="s">
        <v>1</v>
      </c>
      <c r="L189" s="92">
        <f t="shared" si="744"/>
        <v>0</v>
      </c>
      <c r="M189" s="91" t="str">
        <f t="shared" si="740"/>
        <v>x</v>
      </c>
      <c r="N189" s="90" t="s">
        <v>149</v>
      </c>
      <c r="O189" s="28" t="str">
        <f t="shared" si="745"/>
        <v>x</v>
      </c>
      <c r="P189" s="36">
        <f t="shared" si="694"/>
        <v>1</v>
      </c>
      <c r="Q189" s="36">
        <f t="shared" si="694"/>
        <v>1</v>
      </c>
      <c r="R189" s="36">
        <f t="shared" si="694"/>
        <v>0</v>
      </c>
      <c r="S189" s="36">
        <f t="shared" si="694"/>
        <v>1</v>
      </c>
      <c r="T189" s="36">
        <f t="shared" si="694"/>
        <v>0</v>
      </c>
      <c r="U189" s="36">
        <f t="shared" si="694"/>
        <v>8</v>
      </c>
      <c r="V189" s="36">
        <f t="shared" si="694"/>
        <v>8</v>
      </c>
      <c r="W189" s="36">
        <f t="shared" si="694"/>
        <v>1</v>
      </c>
      <c r="X189" s="36">
        <f t="shared" si="694"/>
        <v>0</v>
      </c>
      <c r="Y189" s="36">
        <f t="shared" si="694"/>
        <v>0</v>
      </c>
      <c r="Z189" s="36">
        <f t="shared" si="694"/>
        <v>0</v>
      </c>
      <c r="AA189" s="36">
        <f t="shared" si="694"/>
        <v>0</v>
      </c>
      <c r="AB189" s="36">
        <f t="shared" si="694"/>
        <v>1</v>
      </c>
      <c r="AC189" s="36">
        <f t="shared" si="694"/>
        <v>0</v>
      </c>
      <c r="AD189" s="36">
        <f t="shared" si="694"/>
        <v>1</v>
      </c>
      <c r="AE189" s="36">
        <f t="shared" si="764"/>
        <v>0</v>
      </c>
      <c r="AF189" s="36">
        <f t="shared" si="764"/>
        <v>0</v>
      </c>
      <c r="AG189" s="36">
        <f t="shared" ref="AG189:AH189" si="772">AG188</f>
        <v>0</v>
      </c>
      <c r="AH189" s="36">
        <f t="shared" si="772"/>
        <v>0</v>
      </c>
      <c r="AI189" s="36">
        <f t="shared" ref="AI189" si="773">AI188</f>
        <v>0</v>
      </c>
      <c r="AJ189" s="36">
        <f t="shared" si="694"/>
        <v>0</v>
      </c>
      <c r="AK189" s="36">
        <f t="shared" si="769"/>
        <v>0</v>
      </c>
      <c r="AL189" s="36">
        <f t="shared" si="769"/>
        <v>0</v>
      </c>
      <c r="AM189" s="36">
        <f t="shared" si="769"/>
        <v>0</v>
      </c>
      <c r="AN189" s="36">
        <f t="shared" si="769"/>
        <v>0</v>
      </c>
      <c r="AO189" s="36">
        <f t="shared" si="769"/>
        <v>0</v>
      </c>
      <c r="AP189" s="36">
        <f t="shared" si="769"/>
        <v>0</v>
      </c>
      <c r="AQ189" s="36">
        <f t="shared" si="769"/>
        <v>0</v>
      </c>
      <c r="AR189" s="36">
        <f t="shared" si="769"/>
        <v>0</v>
      </c>
      <c r="AS189" s="31" t="str">
        <f t="shared" si="749"/>
        <v>SimulationStorage,1,</v>
      </c>
      <c r="AT189" s="31" t="str">
        <f t="shared" si="750"/>
        <v>AnalysisStorage,1,</v>
      </c>
      <c r="AU189" s="31" t="str">
        <f t="shared" si="751"/>
        <v>LogRuleEvaluation,0,</v>
      </c>
      <c r="AV189" s="31" t="str">
        <f t="shared" si="752"/>
        <v>ParallelSimulations,1,</v>
      </c>
      <c r="AW189" s="31" t="str">
        <f t="shared" si="753"/>
        <v>DurationStats,0,</v>
      </c>
      <c r="AX189" s="31" t="str">
        <f t="shared" si="754"/>
        <v>AnalysisThruStep,8,</v>
      </c>
      <c r="AY189" s="31" t="str">
        <f t="shared" si="755"/>
        <v>DontAbortOnErrorsThruStep,8,</v>
      </c>
      <c r="AZ189" s="31" t="str">
        <f t="shared" si="756"/>
        <v>BypassValidFileChecks,1,</v>
      </c>
      <c r="BA189" s="31" t="str">
        <f t="shared" si="757"/>
        <v>BypassInputChecks,0,</v>
      </c>
      <c r="BB189" s="31" t="str">
        <f t="shared" si="758"/>
        <v>BypassUMLHChecks,0,</v>
      </c>
      <c r="BC189" s="31" t="str">
        <f t="shared" si="759"/>
        <v>BypassCheckSimRules,0,</v>
      </c>
      <c r="BD189" s="31" t="str">
        <f t="shared" si="760"/>
        <v>BypassCheckCodeRules,0,</v>
      </c>
      <c r="BE189" s="31" t="str">
        <f t="shared" si="718"/>
        <v>StoreResultsToModelInput,1,</v>
      </c>
      <c r="BF189" s="31" t="str">
        <f t="shared" si="719"/>
        <v>StoreBEMDetails,0,</v>
      </c>
      <c r="BG189" s="31" t="str">
        <f t="shared" si="720"/>
        <v>ModelRpt_ALL,1,</v>
      </c>
      <c r="BH189" s="31" t="str">
        <f t="shared" si="721"/>
        <v>ExportHourlyResults_All,0,</v>
      </c>
      <c r="BI189" s="31" t="str">
        <f t="shared" si="722"/>
        <v>ComplianceReportPDF,0,</v>
      </c>
      <c r="BJ189" s="31" t="str">
        <f t="shared" si="723"/>
        <v>ComplianceReportXML,0,</v>
      </c>
      <c r="BK189" s="31" t="str">
        <f t="shared" si="724"/>
        <v>QuickAnalysis,0,</v>
      </c>
      <c r="BL189" s="31" t="str">
        <f t="shared" si="724"/>
        <v>PromptUserUMLHWarning,0,</v>
      </c>
      <c r="BM189" s="31" t="str">
        <f t="shared" si="725"/>
        <v>BypassOpenStudio_all,0,</v>
      </c>
      <c r="BN189" s="31" t="str">
        <f t="shared" si="726"/>
        <v>BypassOpenStudio_zp,0,</v>
      </c>
      <c r="BO189" s="31" t="str">
        <f t="shared" si="727"/>
        <v>BypassOpenStudio_zb,0,</v>
      </c>
      <c r="BP189" s="31" t="str">
        <f t="shared" si="728"/>
        <v>BypassOpenStudio_ap,0,</v>
      </c>
      <c r="BQ189" s="31" t="str">
        <f t="shared" si="729"/>
        <v>BypassOpenStudio_ab,0,</v>
      </c>
      <c r="BR189" s="31" t="str">
        <f t="shared" si="730"/>
        <v>BypassOpenStudio_zp,0,</v>
      </c>
      <c r="BS189" s="31" t="str">
        <f t="shared" si="731"/>
        <v>BypassOpenStudio_zb,0,</v>
      </c>
      <c r="BT189" s="31" t="str">
        <f t="shared" si="732"/>
        <v>BypassOpenStudio_ap,0,</v>
      </c>
      <c r="BU189" s="31" t="str">
        <f t="shared" si="733"/>
        <v>BypassOpenStudio_ab,0,</v>
      </c>
    </row>
    <row r="190" spans="1:73" hidden="1" outlineLevel="1" x14ac:dyDescent="0.25">
      <c r="A190" s="39">
        <f t="shared" si="734"/>
        <v>0</v>
      </c>
      <c r="B190" s="27" t="str">
        <f t="shared" si="735"/>
        <v>SoftwareSensitivity2016Tests\DetailedGeometry\x.cibd16</v>
      </c>
      <c r="C190" s="27" t="str">
        <f t="shared" si="736"/>
        <v>BatchOut_171026_r5178_FinalRel-v3-SSTSG_SSTDG\x.cibd16</v>
      </c>
      <c r="D190" s="27" t="str">
        <f t="shared" si="737"/>
        <v>BatchOut_171026_r5178_FinalRel-v3-SSTSG_SSTDG\XML\</v>
      </c>
      <c r="E190" s="9" t="str">
        <f t="shared" si="738"/>
        <v>x</v>
      </c>
      <c r="F190" s="22"/>
      <c r="G190" s="29"/>
      <c r="H190" s="23" t="str">
        <f t="shared" si="739"/>
        <v/>
      </c>
      <c r="I190" s="9" t="s">
        <v>11</v>
      </c>
      <c r="J19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0" s="15" t="s">
        <v>1</v>
      </c>
      <c r="L190" s="92">
        <f t="shared" si="744"/>
        <v>0</v>
      </c>
      <c r="M190" s="91" t="str">
        <f t="shared" si="740"/>
        <v>x</v>
      </c>
      <c r="N190" s="90" t="s">
        <v>149</v>
      </c>
      <c r="O190" s="28" t="str">
        <f t="shared" si="745"/>
        <v>x</v>
      </c>
      <c r="P190" s="36">
        <f t="shared" si="694"/>
        <v>1</v>
      </c>
      <c r="Q190" s="36">
        <f t="shared" si="694"/>
        <v>1</v>
      </c>
      <c r="R190" s="36">
        <f t="shared" si="694"/>
        <v>0</v>
      </c>
      <c r="S190" s="36">
        <f t="shared" si="694"/>
        <v>1</v>
      </c>
      <c r="T190" s="36">
        <f t="shared" si="694"/>
        <v>0</v>
      </c>
      <c r="U190" s="36">
        <f t="shared" si="694"/>
        <v>8</v>
      </c>
      <c r="V190" s="36">
        <f t="shared" si="694"/>
        <v>8</v>
      </c>
      <c r="W190" s="36">
        <f t="shared" si="694"/>
        <v>1</v>
      </c>
      <c r="X190" s="36">
        <f t="shared" si="694"/>
        <v>0</v>
      </c>
      <c r="Y190" s="36">
        <f t="shared" si="694"/>
        <v>0</v>
      </c>
      <c r="Z190" s="36">
        <f t="shared" si="694"/>
        <v>0</v>
      </c>
      <c r="AA190" s="36">
        <f t="shared" si="694"/>
        <v>0</v>
      </c>
      <c r="AB190" s="36">
        <f t="shared" si="694"/>
        <v>1</v>
      </c>
      <c r="AC190" s="36">
        <f t="shared" si="694"/>
        <v>0</v>
      </c>
      <c r="AD190" s="36">
        <f t="shared" si="694"/>
        <v>1</v>
      </c>
      <c r="AE190" s="36">
        <f t="shared" si="764"/>
        <v>0</v>
      </c>
      <c r="AF190" s="36">
        <f t="shared" si="764"/>
        <v>0</v>
      </c>
      <c r="AG190" s="36">
        <f t="shared" ref="AG190:AH190" si="774">AG189</f>
        <v>0</v>
      </c>
      <c r="AH190" s="36">
        <f t="shared" si="774"/>
        <v>0</v>
      </c>
      <c r="AI190" s="36">
        <f t="shared" ref="AI190" si="775">AI189</f>
        <v>0</v>
      </c>
      <c r="AJ190" s="36">
        <f t="shared" si="694"/>
        <v>0</v>
      </c>
      <c r="AK190" s="36">
        <f t="shared" si="769"/>
        <v>0</v>
      </c>
      <c r="AL190" s="36">
        <f t="shared" si="769"/>
        <v>0</v>
      </c>
      <c r="AM190" s="36">
        <f t="shared" si="769"/>
        <v>0</v>
      </c>
      <c r="AN190" s="36">
        <f t="shared" si="769"/>
        <v>0</v>
      </c>
      <c r="AO190" s="36">
        <f t="shared" si="769"/>
        <v>0</v>
      </c>
      <c r="AP190" s="36">
        <f t="shared" si="769"/>
        <v>0</v>
      </c>
      <c r="AQ190" s="36">
        <f t="shared" si="769"/>
        <v>0</v>
      </c>
      <c r="AR190" s="36">
        <f t="shared" si="769"/>
        <v>0</v>
      </c>
      <c r="AS190" s="31" t="str">
        <f t="shared" si="749"/>
        <v>SimulationStorage,1,</v>
      </c>
      <c r="AT190" s="31" t="str">
        <f t="shared" si="750"/>
        <v>AnalysisStorage,1,</v>
      </c>
      <c r="AU190" s="31" t="str">
        <f t="shared" si="751"/>
        <v>LogRuleEvaluation,0,</v>
      </c>
      <c r="AV190" s="31" t="str">
        <f t="shared" si="752"/>
        <v>ParallelSimulations,1,</v>
      </c>
      <c r="AW190" s="31" t="str">
        <f t="shared" si="753"/>
        <v>DurationStats,0,</v>
      </c>
      <c r="AX190" s="31" t="str">
        <f t="shared" si="754"/>
        <v>AnalysisThruStep,8,</v>
      </c>
      <c r="AY190" s="31" t="str">
        <f t="shared" si="755"/>
        <v>DontAbortOnErrorsThruStep,8,</v>
      </c>
      <c r="AZ190" s="31" t="str">
        <f t="shared" si="756"/>
        <v>BypassValidFileChecks,1,</v>
      </c>
      <c r="BA190" s="31" t="str">
        <f t="shared" si="757"/>
        <v>BypassInputChecks,0,</v>
      </c>
      <c r="BB190" s="31" t="str">
        <f t="shared" si="758"/>
        <v>BypassUMLHChecks,0,</v>
      </c>
      <c r="BC190" s="31" t="str">
        <f t="shared" si="759"/>
        <v>BypassCheckSimRules,0,</v>
      </c>
      <c r="BD190" s="31" t="str">
        <f t="shared" si="760"/>
        <v>BypassCheckCodeRules,0,</v>
      </c>
      <c r="BE190" s="31" t="str">
        <f t="shared" si="718"/>
        <v>StoreResultsToModelInput,1,</v>
      </c>
      <c r="BF190" s="31" t="str">
        <f t="shared" si="719"/>
        <v>StoreBEMDetails,0,</v>
      </c>
      <c r="BG190" s="31" t="str">
        <f t="shared" si="720"/>
        <v>ModelRpt_ALL,1,</v>
      </c>
      <c r="BH190" s="31" t="str">
        <f t="shared" si="721"/>
        <v>ExportHourlyResults_All,0,</v>
      </c>
      <c r="BI190" s="31" t="str">
        <f t="shared" si="722"/>
        <v>ComplianceReportPDF,0,</v>
      </c>
      <c r="BJ190" s="31" t="str">
        <f t="shared" si="723"/>
        <v>ComplianceReportXML,0,</v>
      </c>
      <c r="BK190" s="31" t="str">
        <f t="shared" si="724"/>
        <v>QuickAnalysis,0,</v>
      </c>
      <c r="BL190" s="31" t="str">
        <f t="shared" si="724"/>
        <v>PromptUserUMLHWarning,0,</v>
      </c>
      <c r="BM190" s="31" t="str">
        <f t="shared" si="725"/>
        <v>BypassOpenStudio_all,0,</v>
      </c>
      <c r="BN190" s="31" t="str">
        <f t="shared" si="726"/>
        <v>BypassOpenStudio_zp,0,</v>
      </c>
      <c r="BO190" s="31" t="str">
        <f t="shared" si="727"/>
        <v>BypassOpenStudio_zb,0,</v>
      </c>
      <c r="BP190" s="31" t="str">
        <f t="shared" si="728"/>
        <v>BypassOpenStudio_ap,0,</v>
      </c>
      <c r="BQ190" s="31" t="str">
        <f t="shared" si="729"/>
        <v>BypassOpenStudio_ab,0,</v>
      </c>
      <c r="BR190" s="31" t="str">
        <f t="shared" si="730"/>
        <v>BypassOpenStudio_zp,0,</v>
      </c>
      <c r="BS190" s="31" t="str">
        <f t="shared" si="731"/>
        <v>BypassOpenStudio_zb,0,</v>
      </c>
      <c r="BT190" s="31" t="str">
        <f t="shared" si="732"/>
        <v>BypassOpenStudio_ap,0,</v>
      </c>
      <c r="BU190" s="31" t="str">
        <f t="shared" si="733"/>
        <v>BypassOpenStudio_ab,0,</v>
      </c>
    </row>
    <row r="191" spans="1:73" hidden="1" outlineLevel="1" x14ac:dyDescent="0.25">
      <c r="A191" s="39">
        <f t="shared" si="734"/>
        <v>0</v>
      </c>
      <c r="B191" s="27" t="str">
        <f t="shared" si="735"/>
        <v>SoftwareSensitivity2016Tests\DetailedGeometry\x.cibd16</v>
      </c>
      <c r="C191" s="27" t="str">
        <f t="shared" si="736"/>
        <v>BatchOut_171026_r5178_FinalRel-v3-SSTSG_SSTDG\x.cibd16</v>
      </c>
      <c r="D191" s="27" t="str">
        <f t="shared" si="737"/>
        <v>BatchOut_171026_r5178_FinalRel-v3-SSTSG_SSTDG\XML\</v>
      </c>
      <c r="E191" s="9" t="str">
        <f t="shared" si="738"/>
        <v>x</v>
      </c>
      <c r="F191" s="22"/>
      <c r="G191" s="29"/>
      <c r="H191" s="23" t="str">
        <f t="shared" si="739"/>
        <v/>
      </c>
      <c r="I191" s="9" t="s">
        <v>11</v>
      </c>
      <c r="J19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1" s="15" t="s">
        <v>1</v>
      </c>
      <c r="L191" s="92">
        <f t="shared" si="744"/>
        <v>0</v>
      </c>
      <c r="M191" s="91" t="str">
        <f t="shared" si="740"/>
        <v>x</v>
      </c>
      <c r="N191" s="90" t="s">
        <v>149</v>
      </c>
      <c r="O191" s="28" t="str">
        <f t="shared" si="745"/>
        <v>x</v>
      </c>
      <c r="P191" s="36">
        <f t="shared" si="694"/>
        <v>1</v>
      </c>
      <c r="Q191" s="36">
        <f t="shared" si="694"/>
        <v>1</v>
      </c>
      <c r="R191" s="36">
        <f t="shared" si="694"/>
        <v>0</v>
      </c>
      <c r="S191" s="36">
        <f t="shared" si="694"/>
        <v>1</v>
      </c>
      <c r="T191" s="36">
        <f t="shared" si="694"/>
        <v>0</v>
      </c>
      <c r="U191" s="36">
        <f t="shared" si="694"/>
        <v>8</v>
      </c>
      <c r="V191" s="36">
        <f t="shared" si="694"/>
        <v>8</v>
      </c>
      <c r="W191" s="36">
        <f t="shared" si="694"/>
        <v>1</v>
      </c>
      <c r="X191" s="36">
        <f t="shared" si="694"/>
        <v>0</v>
      </c>
      <c r="Y191" s="36">
        <f t="shared" si="694"/>
        <v>0</v>
      </c>
      <c r="Z191" s="36">
        <f t="shared" si="694"/>
        <v>0</v>
      </c>
      <c r="AA191" s="36">
        <f t="shared" si="694"/>
        <v>0</v>
      </c>
      <c r="AB191" s="36">
        <f t="shared" si="694"/>
        <v>1</v>
      </c>
      <c r="AC191" s="36">
        <f t="shared" si="694"/>
        <v>0</v>
      </c>
      <c r="AD191" s="36">
        <f t="shared" si="694"/>
        <v>1</v>
      </c>
      <c r="AE191" s="36">
        <f t="shared" si="764"/>
        <v>0</v>
      </c>
      <c r="AF191" s="36">
        <f t="shared" si="764"/>
        <v>0</v>
      </c>
      <c r="AG191" s="36">
        <f t="shared" ref="AG191:AH191" si="776">AG190</f>
        <v>0</v>
      </c>
      <c r="AH191" s="36">
        <f t="shared" si="776"/>
        <v>0</v>
      </c>
      <c r="AI191" s="36">
        <f t="shared" ref="AI191" si="777">AI190</f>
        <v>0</v>
      </c>
      <c r="AJ191" s="36">
        <f t="shared" si="694"/>
        <v>0</v>
      </c>
      <c r="AK191" s="36">
        <f t="shared" si="769"/>
        <v>0</v>
      </c>
      <c r="AL191" s="36">
        <f t="shared" si="769"/>
        <v>0</v>
      </c>
      <c r="AM191" s="36">
        <f t="shared" si="769"/>
        <v>0</v>
      </c>
      <c r="AN191" s="36">
        <f t="shared" si="769"/>
        <v>0</v>
      </c>
      <c r="AO191" s="36">
        <f t="shared" si="769"/>
        <v>0</v>
      </c>
      <c r="AP191" s="36">
        <f t="shared" si="769"/>
        <v>0</v>
      </c>
      <c r="AQ191" s="36">
        <f t="shared" si="769"/>
        <v>0</v>
      </c>
      <c r="AR191" s="36">
        <f t="shared" si="769"/>
        <v>0</v>
      </c>
      <c r="AS191" s="31" t="str">
        <f t="shared" si="749"/>
        <v>SimulationStorage,1,</v>
      </c>
      <c r="AT191" s="31" t="str">
        <f t="shared" si="750"/>
        <v>AnalysisStorage,1,</v>
      </c>
      <c r="AU191" s="31" t="str">
        <f t="shared" si="751"/>
        <v>LogRuleEvaluation,0,</v>
      </c>
      <c r="AV191" s="31" t="str">
        <f t="shared" si="752"/>
        <v>ParallelSimulations,1,</v>
      </c>
      <c r="AW191" s="31" t="str">
        <f t="shared" si="753"/>
        <v>DurationStats,0,</v>
      </c>
      <c r="AX191" s="31" t="str">
        <f t="shared" si="754"/>
        <v>AnalysisThruStep,8,</v>
      </c>
      <c r="AY191" s="31" t="str">
        <f t="shared" si="755"/>
        <v>DontAbortOnErrorsThruStep,8,</v>
      </c>
      <c r="AZ191" s="31" t="str">
        <f t="shared" si="756"/>
        <v>BypassValidFileChecks,1,</v>
      </c>
      <c r="BA191" s="31" t="str">
        <f t="shared" si="757"/>
        <v>BypassInputChecks,0,</v>
      </c>
      <c r="BB191" s="31" t="str">
        <f t="shared" si="758"/>
        <v>BypassUMLHChecks,0,</v>
      </c>
      <c r="BC191" s="31" t="str">
        <f t="shared" si="759"/>
        <v>BypassCheckSimRules,0,</v>
      </c>
      <c r="BD191" s="31" t="str">
        <f t="shared" si="760"/>
        <v>BypassCheckCodeRules,0,</v>
      </c>
      <c r="BE191" s="31" t="str">
        <f t="shared" si="718"/>
        <v>StoreResultsToModelInput,1,</v>
      </c>
      <c r="BF191" s="31" t="str">
        <f t="shared" si="719"/>
        <v>StoreBEMDetails,0,</v>
      </c>
      <c r="BG191" s="31" t="str">
        <f t="shared" si="720"/>
        <v>ModelRpt_ALL,1,</v>
      </c>
      <c r="BH191" s="31" t="str">
        <f t="shared" si="721"/>
        <v>ExportHourlyResults_All,0,</v>
      </c>
      <c r="BI191" s="31" t="str">
        <f t="shared" si="722"/>
        <v>ComplianceReportPDF,0,</v>
      </c>
      <c r="BJ191" s="31" t="str">
        <f t="shared" si="723"/>
        <v>ComplianceReportXML,0,</v>
      </c>
      <c r="BK191" s="31" t="str">
        <f t="shared" si="724"/>
        <v>QuickAnalysis,0,</v>
      </c>
      <c r="BL191" s="31" t="str">
        <f t="shared" si="724"/>
        <v>PromptUserUMLHWarning,0,</v>
      </c>
      <c r="BM191" s="31" t="str">
        <f t="shared" si="725"/>
        <v>BypassOpenStudio_all,0,</v>
      </c>
      <c r="BN191" s="31" t="str">
        <f t="shared" si="726"/>
        <v>BypassOpenStudio_zp,0,</v>
      </c>
      <c r="BO191" s="31" t="str">
        <f t="shared" si="727"/>
        <v>BypassOpenStudio_zb,0,</v>
      </c>
      <c r="BP191" s="31" t="str">
        <f t="shared" si="728"/>
        <v>BypassOpenStudio_ap,0,</v>
      </c>
      <c r="BQ191" s="31" t="str">
        <f t="shared" si="729"/>
        <v>BypassOpenStudio_ab,0,</v>
      </c>
      <c r="BR191" s="31" t="str">
        <f t="shared" si="730"/>
        <v>BypassOpenStudio_zp,0,</v>
      </c>
      <c r="BS191" s="31" t="str">
        <f t="shared" si="731"/>
        <v>BypassOpenStudio_zb,0,</v>
      </c>
      <c r="BT191" s="31" t="str">
        <f t="shared" si="732"/>
        <v>BypassOpenStudio_ap,0,</v>
      </c>
      <c r="BU191" s="31" t="str">
        <f t="shared" si="733"/>
        <v>BypassOpenStudio_ab,0,</v>
      </c>
    </row>
    <row r="192" spans="1:73" hidden="1" outlineLevel="1" x14ac:dyDescent="0.25">
      <c r="A192" s="39">
        <f t="shared" si="734"/>
        <v>0</v>
      </c>
      <c r="B192" s="27" t="str">
        <f t="shared" si="735"/>
        <v>SoftwareSensitivity2016Tests\DetailedGeometry\x.cibd16</v>
      </c>
      <c r="C192" s="27" t="str">
        <f t="shared" si="736"/>
        <v>BatchOut_171026_r5178_FinalRel-v3-SSTSG_SSTDG\x.cibd16</v>
      </c>
      <c r="D192" s="27" t="str">
        <f t="shared" si="737"/>
        <v>BatchOut_171026_r5178_FinalRel-v3-SSTSG_SSTDG\XML\</v>
      </c>
      <c r="E192" s="9" t="str">
        <f t="shared" si="738"/>
        <v>x</v>
      </c>
      <c r="F192" s="22"/>
      <c r="G192" s="29"/>
      <c r="H192" s="23" t="str">
        <f t="shared" si="739"/>
        <v/>
      </c>
      <c r="I192" s="9" t="s">
        <v>11</v>
      </c>
      <c r="J19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2" s="15" t="s">
        <v>1</v>
      </c>
      <c r="L192" s="92">
        <f t="shared" si="744"/>
        <v>0</v>
      </c>
      <c r="M192" s="91" t="str">
        <f t="shared" si="740"/>
        <v>x</v>
      </c>
      <c r="N192" s="90" t="s">
        <v>149</v>
      </c>
      <c r="O192" s="28" t="str">
        <f t="shared" si="745"/>
        <v>x</v>
      </c>
      <c r="P192" s="36">
        <f t="shared" si="694"/>
        <v>1</v>
      </c>
      <c r="Q192" s="36">
        <f t="shared" si="694"/>
        <v>1</v>
      </c>
      <c r="R192" s="36">
        <f t="shared" si="694"/>
        <v>0</v>
      </c>
      <c r="S192" s="36">
        <f t="shared" si="694"/>
        <v>1</v>
      </c>
      <c r="T192" s="36">
        <f t="shared" si="694"/>
        <v>0</v>
      </c>
      <c r="U192" s="36">
        <f t="shared" si="694"/>
        <v>8</v>
      </c>
      <c r="V192" s="36">
        <f t="shared" si="694"/>
        <v>8</v>
      </c>
      <c r="W192" s="36">
        <f t="shared" si="694"/>
        <v>1</v>
      </c>
      <c r="X192" s="36">
        <f t="shared" si="694"/>
        <v>0</v>
      </c>
      <c r="Y192" s="36">
        <f t="shared" si="694"/>
        <v>0</v>
      </c>
      <c r="Z192" s="36">
        <f t="shared" si="694"/>
        <v>0</v>
      </c>
      <c r="AA192" s="36">
        <f t="shared" si="694"/>
        <v>0</v>
      </c>
      <c r="AB192" s="36">
        <f t="shared" si="694"/>
        <v>1</v>
      </c>
      <c r="AC192" s="36">
        <f t="shared" si="694"/>
        <v>0</v>
      </c>
      <c r="AD192" s="36">
        <f t="shared" si="694"/>
        <v>1</v>
      </c>
      <c r="AE192" s="36">
        <f t="shared" si="764"/>
        <v>0</v>
      </c>
      <c r="AF192" s="36">
        <f t="shared" si="764"/>
        <v>0</v>
      </c>
      <c r="AG192" s="36">
        <f t="shared" ref="AG192:AH192" si="778">AG191</f>
        <v>0</v>
      </c>
      <c r="AH192" s="36">
        <f t="shared" si="778"/>
        <v>0</v>
      </c>
      <c r="AI192" s="36">
        <f t="shared" ref="AI192" si="779">AI191</f>
        <v>0</v>
      </c>
      <c r="AJ192" s="36">
        <f t="shared" si="694"/>
        <v>0</v>
      </c>
      <c r="AK192" s="36">
        <f t="shared" si="769"/>
        <v>0</v>
      </c>
      <c r="AL192" s="36">
        <f t="shared" si="769"/>
        <v>0</v>
      </c>
      <c r="AM192" s="36">
        <f t="shared" si="769"/>
        <v>0</v>
      </c>
      <c r="AN192" s="36">
        <f t="shared" si="769"/>
        <v>0</v>
      </c>
      <c r="AO192" s="36">
        <f t="shared" si="769"/>
        <v>0</v>
      </c>
      <c r="AP192" s="36">
        <f t="shared" si="769"/>
        <v>0</v>
      </c>
      <c r="AQ192" s="36">
        <f t="shared" si="769"/>
        <v>0</v>
      </c>
      <c r="AR192" s="36">
        <f t="shared" si="769"/>
        <v>0</v>
      </c>
      <c r="AS192" s="31" t="str">
        <f t="shared" si="749"/>
        <v>SimulationStorage,1,</v>
      </c>
      <c r="AT192" s="31" t="str">
        <f t="shared" si="750"/>
        <v>AnalysisStorage,1,</v>
      </c>
      <c r="AU192" s="31" t="str">
        <f t="shared" si="751"/>
        <v>LogRuleEvaluation,0,</v>
      </c>
      <c r="AV192" s="31" t="str">
        <f t="shared" si="752"/>
        <v>ParallelSimulations,1,</v>
      </c>
      <c r="AW192" s="31" t="str">
        <f t="shared" si="753"/>
        <v>DurationStats,0,</v>
      </c>
      <c r="AX192" s="31" t="str">
        <f t="shared" si="754"/>
        <v>AnalysisThruStep,8,</v>
      </c>
      <c r="AY192" s="31" t="str">
        <f t="shared" si="755"/>
        <v>DontAbortOnErrorsThruStep,8,</v>
      </c>
      <c r="AZ192" s="31" t="str">
        <f t="shared" si="756"/>
        <v>BypassValidFileChecks,1,</v>
      </c>
      <c r="BA192" s="31" t="str">
        <f t="shared" si="757"/>
        <v>BypassInputChecks,0,</v>
      </c>
      <c r="BB192" s="31" t="str">
        <f t="shared" si="758"/>
        <v>BypassUMLHChecks,0,</v>
      </c>
      <c r="BC192" s="31" t="str">
        <f t="shared" si="759"/>
        <v>BypassCheckSimRules,0,</v>
      </c>
      <c r="BD192" s="31" t="str">
        <f t="shared" si="760"/>
        <v>BypassCheckCodeRules,0,</v>
      </c>
      <c r="BE192" s="31" t="str">
        <f t="shared" si="718"/>
        <v>StoreResultsToModelInput,1,</v>
      </c>
      <c r="BF192" s="31" t="str">
        <f t="shared" si="719"/>
        <v>StoreBEMDetails,0,</v>
      </c>
      <c r="BG192" s="31" t="str">
        <f t="shared" si="720"/>
        <v>ModelRpt_ALL,1,</v>
      </c>
      <c r="BH192" s="31" t="str">
        <f t="shared" si="721"/>
        <v>ExportHourlyResults_All,0,</v>
      </c>
      <c r="BI192" s="31" t="str">
        <f t="shared" si="722"/>
        <v>ComplianceReportPDF,0,</v>
      </c>
      <c r="BJ192" s="31" t="str">
        <f t="shared" si="723"/>
        <v>ComplianceReportXML,0,</v>
      </c>
      <c r="BK192" s="31" t="str">
        <f t="shared" si="724"/>
        <v>QuickAnalysis,0,</v>
      </c>
      <c r="BL192" s="31" t="str">
        <f t="shared" si="724"/>
        <v>PromptUserUMLHWarning,0,</v>
      </c>
      <c r="BM192" s="31" t="str">
        <f t="shared" si="725"/>
        <v>BypassOpenStudio_all,0,</v>
      </c>
      <c r="BN192" s="31" t="str">
        <f t="shared" si="726"/>
        <v>BypassOpenStudio_zp,0,</v>
      </c>
      <c r="BO192" s="31" t="str">
        <f t="shared" si="727"/>
        <v>BypassOpenStudio_zb,0,</v>
      </c>
      <c r="BP192" s="31" t="str">
        <f t="shared" si="728"/>
        <v>BypassOpenStudio_ap,0,</v>
      </c>
      <c r="BQ192" s="31" t="str">
        <f t="shared" si="729"/>
        <v>BypassOpenStudio_ab,0,</v>
      </c>
      <c r="BR192" s="31" t="str">
        <f t="shared" si="730"/>
        <v>BypassOpenStudio_zp,0,</v>
      </c>
      <c r="BS192" s="31" t="str">
        <f t="shared" si="731"/>
        <v>BypassOpenStudio_zb,0,</v>
      </c>
      <c r="BT192" s="31" t="str">
        <f t="shared" si="732"/>
        <v>BypassOpenStudio_ap,0,</v>
      </c>
      <c r="BU192" s="31" t="str">
        <f t="shared" si="733"/>
        <v>BypassOpenStudio_ab,0,</v>
      </c>
    </row>
    <row r="193" spans="1:73" hidden="1" outlineLevel="1" x14ac:dyDescent="0.25">
      <c r="A193" s="39">
        <f t="shared" si="734"/>
        <v>0</v>
      </c>
      <c r="B193" s="27" t="str">
        <f t="shared" si="735"/>
        <v>SoftwareSensitivity2016Tests\DetailedGeometry\x.cibd16</v>
      </c>
      <c r="C193" s="27" t="str">
        <f t="shared" si="736"/>
        <v>BatchOut_171026_r5178_FinalRel-v3-SSTSG_SSTDG\x.cibd16</v>
      </c>
      <c r="D193" s="27" t="str">
        <f t="shared" si="737"/>
        <v>BatchOut_171026_r5178_FinalRel-v3-SSTSG_SSTDG\XML\</v>
      </c>
      <c r="E193" s="9" t="str">
        <f t="shared" si="738"/>
        <v>x</v>
      </c>
      <c r="F193" s="22"/>
      <c r="G193" s="29"/>
      <c r="H193" s="23" t="str">
        <f t="shared" si="739"/>
        <v/>
      </c>
      <c r="I193" s="9" t="s">
        <v>11</v>
      </c>
      <c r="J19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3" s="15" t="s">
        <v>1</v>
      </c>
      <c r="L193" s="92">
        <v>0</v>
      </c>
      <c r="M193" s="91" t="str">
        <f t="shared" si="740"/>
        <v>x</v>
      </c>
      <c r="N193" s="90" t="s">
        <v>149</v>
      </c>
      <c r="O193" s="28" t="str">
        <f t="shared" si="745"/>
        <v>x</v>
      </c>
      <c r="P193" s="36">
        <f t="shared" si="694"/>
        <v>1</v>
      </c>
      <c r="Q193" s="36">
        <f t="shared" si="694"/>
        <v>1</v>
      </c>
      <c r="R193" s="36">
        <f t="shared" si="694"/>
        <v>0</v>
      </c>
      <c r="S193" s="36">
        <f t="shared" si="694"/>
        <v>1</v>
      </c>
      <c r="T193" s="36">
        <f t="shared" si="694"/>
        <v>0</v>
      </c>
      <c r="U193" s="36">
        <f t="shared" si="694"/>
        <v>8</v>
      </c>
      <c r="V193" s="36">
        <f t="shared" si="694"/>
        <v>8</v>
      </c>
      <c r="W193" s="36">
        <f t="shared" si="694"/>
        <v>1</v>
      </c>
      <c r="X193" s="36">
        <f t="shared" si="694"/>
        <v>0</v>
      </c>
      <c r="Y193" s="36">
        <f t="shared" si="694"/>
        <v>0</v>
      </c>
      <c r="Z193" s="36">
        <f t="shared" si="694"/>
        <v>0</v>
      </c>
      <c r="AA193" s="36">
        <f t="shared" si="694"/>
        <v>0</v>
      </c>
      <c r="AB193" s="36">
        <f t="shared" si="694"/>
        <v>1</v>
      </c>
      <c r="AC193" s="36">
        <f t="shared" si="694"/>
        <v>0</v>
      </c>
      <c r="AD193" s="36">
        <f t="shared" si="694"/>
        <v>1</v>
      </c>
      <c r="AE193" s="36">
        <f t="shared" si="764"/>
        <v>0</v>
      </c>
      <c r="AF193" s="36">
        <f t="shared" si="764"/>
        <v>0</v>
      </c>
      <c r="AG193" s="36">
        <f t="shared" ref="AG193:AH193" si="780">AG192</f>
        <v>0</v>
      </c>
      <c r="AH193" s="36">
        <f t="shared" si="780"/>
        <v>0</v>
      </c>
      <c r="AI193" s="36">
        <f t="shared" ref="AI193" si="781">AI192</f>
        <v>0</v>
      </c>
      <c r="AJ193" s="36">
        <f t="shared" si="694"/>
        <v>0</v>
      </c>
      <c r="AK193" s="36">
        <f t="shared" si="769"/>
        <v>0</v>
      </c>
      <c r="AL193" s="36">
        <f t="shared" si="769"/>
        <v>0</v>
      </c>
      <c r="AM193" s="36">
        <f t="shared" si="769"/>
        <v>0</v>
      </c>
      <c r="AN193" s="36">
        <f t="shared" si="769"/>
        <v>0</v>
      </c>
      <c r="AO193" s="36">
        <f t="shared" si="769"/>
        <v>0</v>
      </c>
      <c r="AP193" s="36">
        <f t="shared" si="769"/>
        <v>0</v>
      </c>
      <c r="AQ193" s="36">
        <f t="shared" si="769"/>
        <v>0</v>
      </c>
      <c r="AR193" s="36">
        <f t="shared" si="769"/>
        <v>0</v>
      </c>
      <c r="AS193" s="31" t="str">
        <f t="shared" si="749"/>
        <v>SimulationStorage,1,</v>
      </c>
      <c r="AT193" s="31" t="str">
        <f t="shared" si="750"/>
        <v>AnalysisStorage,1,</v>
      </c>
      <c r="AU193" s="31" t="str">
        <f t="shared" si="751"/>
        <v>LogRuleEvaluation,0,</v>
      </c>
      <c r="AV193" s="31" t="str">
        <f t="shared" si="752"/>
        <v>ParallelSimulations,1,</v>
      </c>
      <c r="AW193" s="31" t="str">
        <f t="shared" si="753"/>
        <v>DurationStats,0,</v>
      </c>
      <c r="AX193" s="31" t="str">
        <f t="shared" si="754"/>
        <v>AnalysisThruStep,8,</v>
      </c>
      <c r="AY193" s="31" t="str">
        <f t="shared" si="755"/>
        <v>DontAbortOnErrorsThruStep,8,</v>
      </c>
      <c r="AZ193" s="31" t="str">
        <f t="shared" si="756"/>
        <v>BypassValidFileChecks,1,</v>
      </c>
      <c r="BA193" s="31" t="str">
        <f t="shared" si="757"/>
        <v>BypassInputChecks,0,</v>
      </c>
      <c r="BB193" s="31" t="str">
        <f t="shared" si="758"/>
        <v>BypassUMLHChecks,0,</v>
      </c>
      <c r="BC193" s="31" t="str">
        <f t="shared" si="759"/>
        <v>BypassCheckSimRules,0,</v>
      </c>
      <c r="BD193" s="31" t="str">
        <f t="shared" si="760"/>
        <v>BypassCheckCodeRules,0,</v>
      </c>
      <c r="BE193" s="31" t="str">
        <f t="shared" si="718"/>
        <v>StoreResultsToModelInput,1,</v>
      </c>
      <c r="BF193" s="31" t="str">
        <f t="shared" si="719"/>
        <v>StoreBEMDetails,0,</v>
      </c>
      <c r="BG193" s="31" t="str">
        <f t="shared" si="720"/>
        <v>ModelRpt_ALL,1,</v>
      </c>
      <c r="BH193" s="31" t="str">
        <f t="shared" si="721"/>
        <v>ExportHourlyResults_All,0,</v>
      </c>
      <c r="BI193" s="31" t="str">
        <f t="shared" si="722"/>
        <v>ComplianceReportPDF,0,</v>
      </c>
      <c r="BJ193" s="31" t="str">
        <f t="shared" si="723"/>
        <v>ComplianceReportXML,0,</v>
      </c>
      <c r="BK193" s="31" t="str">
        <f t="shared" si="724"/>
        <v>QuickAnalysis,0,</v>
      </c>
      <c r="BL193" s="31" t="str">
        <f t="shared" si="724"/>
        <v>PromptUserUMLHWarning,0,</v>
      </c>
      <c r="BM193" s="31" t="str">
        <f t="shared" si="725"/>
        <v>BypassOpenStudio_all,0,</v>
      </c>
      <c r="BN193" s="31" t="str">
        <f t="shared" si="726"/>
        <v>BypassOpenStudio_zp,0,</v>
      </c>
      <c r="BO193" s="31" t="str">
        <f t="shared" si="727"/>
        <v>BypassOpenStudio_zb,0,</v>
      </c>
      <c r="BP193" s="31" t="str">
        <f t="shared" si="728"/>
        <v>BypassOpenStudio_ap,0,</v>
      </c>
      <c r="BQ193" s="31" t="str">
        <f t="shared" si="729"/>
        <v>BypassOpenStudio_ab,0,</v>
      </c>
      <c r="BR193" s="31" t="str">
        <f t="shared" si="730"/>
        <v>BypassOpenStudio_zp,0,</v>
      </c>
      <c r="BS193" s="31" t="str">
        <f t="shared" si="731"/>
        <v>BypassOpenStudio_zb,0,</v>
      </c>
      <c r="BT193" s="31" t="str">
        <f t="shared" si="732"/>
        <v>BypassOpenStudio_ap,0,</v>
      </c>
      <c r="BU193" s="31" t="str">
        <f t="shared" si="733"/>
        <v>BypassOpenStudio_ab,0,</v>
      </c>
    </row>
    <row r="194" spans="1:73" hidden="1" outlineLevel="1" x14ac:dyDescent="0.25">
      <c r="A194" s="39">
        <f t="shared" si="734"/>
        <v>0</v>
      </c>
      <c r="B194" s="27" t="str">
        <f t="shared" si="735"/>
        <v>SoftwareSensitivity2016Tests\DetailedGeometry\x.cibd16</v>
      </c>
      <c r="C194" s="27" t="str">
        <f t="shared" si="736"/>
        <v>BatchOut_171026_r5178_FinalRel-v3-SSTSG_SSTDG\x.cibd16</v>
      </c>
      <c r="D194" s="27" t="str">
        <f t="shared" si="737"/>
        <v>BatchOut_171026_r5178_FinalRel-v3-SSTSG_SSTDG\XML\</v>
      </c>
      <c r="E194" s="9" t="str">
        <f t="shared" si="738"/>
        <v>x</v>
      </c>
      <c r="F194" s="22"/>
      <c r="G194" s="29"/>
      <c r="H194" s="23" t="str">
        <f t="shared" si="739"/>
        <v/>
      </c>
      <c r="I194" s="9" t="s">
        <v>11</v>
      </c>
      <c r="J19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4" s="15" t="s">
        <v>1</v>
      </c>
      <c r="L194" s="92">
        <f t="shared" si="744"/>
        <v>0</v>
      </c>
      <c r="M194" s="91" t="str">
        <f t="shared" si="740"/>
        <v>x</v>
      </c>
      <c r="N194" s="90" t="s">
        <v>149</v>
      </c>
      <c r="O194" s="28" t="str">
        <f t="shared" si="745"/>
        <v>x</v>
      </c>
      <c r="P194" s="36">
        <f t="shared" si="694"/>
        <v>1</v>
      </c>
      <c r="Q194" s="36">
        <f t="shared" si="694"/>
        <v>1</v>
      </c>
      <c r="R194" s="36">
        <f t="shared" si="694"/>
        <v>0</v>
      </c>
      <c r="S194" s="36">
        <f t="shared" si="694"/>
        <v>1</v>
      </c>
      <c r="T194" s="36">
        <f t="shared" si="694"/>
        <v>0</v>
      </c>
      <c r="U194" s="36">
        <f t="shared" si="694"/>
        <v>8</v>
      </c>
      <c r="V194" s="36">
        <f t="shared" si="694"/>
        <v>8</v>
      </c>
      <c r="W194" s="36">
        <f t="shared" si="694"/>
        <v>1</v>
      </c>
      <c r="X194" s="36">
        <f t="shared" si="694"/>
        <v>0</v>
      </c>
      <c r="Y194" s="36">
        <f t="shared" si="694"/>
        <v>0</v>
      </c>
      <c r="Z194" s="36">
        <f t="shared" si="694"/>
        <v>0</v>
      </c>
      <c r="AA194" s="36">
        <f t="shared" si="694"/>
        <v>0</v>
      </c>
      <c r="AB194" s="36">
        <f t="shared" si="694"/>
        <v>1</v>
      </c>
      <c r="AC194" s="36">
        <f t="shared" si="694"/>
        <v>0</v>
      </c>
      <c r="AD194" s="36">
        <f t="shared" si="694"/>
        <v>1</v>
      </c>
      <c r="AE194" s="36">
        <f t="shared" si="764"/>
        <v>0</v>
      </c>
      <c r="AF194" s="36">
        <f t="shared" si="764"/>
        <v>0</v>
      </c>
      <c r="AG194" s="36">
        <f t="shared" ref="AG194:AH194" si="782">AG193</f>
        <v>0</v>
      </c>
      <c r="AH194" s="36">
        <f t="shared" si="782"/>
        <v>0</v>
      </c>
      <c r="AI194" s="36">
        <f t="shared" ref="AI194" si="783">AI193</f>
        <v>0</v>
      </c>
      <c r="AJ194" s="36">
        <f t="shared" si="694"/>
        <v>0</v>
      </c>
      <c r="AK194" s="36">
        <f t="shared" si="769"/>
        <v>0</v>
      </c>
      <c r="AL194" s="36">
        <f t="shared" si="769"/>
        <v>0</v>
      </c>
      <c r="AM194" s="36">
        <f t="shared" si="769"/>
        <v>0</v>
      </c>
      <c r="AN194" s="36">
        <f t="shared" si="769"/>
        <v>0</v>
      </c>
      <c r="AO194" s="36">
        <f t="shared" si="769"/>
        <v>0</v>
      </c>
      <c r="AP194" s="36">
        <f t="shared" si="769"/>
        <v>0</v>
      </c>
      <c r="AQ194" s="36">
        <f t="shared" si="769"/>
        <v>0</v>
      </c>
      <c r="AR194" s="36">
        <f t="shared" si="769"/>
        <v>0</v>
      </c>
      <c r="AS194" s="31" t="str">
        <f t="shared" si="749"/>
        <v>SimulationStorage,1,</v>
      </c>
      <c r="AT194" s="31" t="str">
        <f t="shared" si="750"/>
        <v>AnalysisStorage,1,</v>
      </c>
      <c r="AU194" s="31" t="str">
        <f t="shared" si="751"/>
        <v>LogRuleEvaluation,0,</v>
      </c>
      <c r="AV194" s="31" t="str">
        <f t="shared" si="752"/>
        <v>ParallelSimulations,1,</v>
      </c>
      <c r="AW194" s="31" t="str">
        <f t="shared" si="753"/>
        <v>DurationStats,0,</v>
      </c>
      <c r="AX194" s="31" t="str">
        <f t="shared" si="754"/>
        <v>AnalysisThruStep,8,</v>
      </c>
      <c r="AY194" s="31" t="str">
        <f t="shared" si="755"/>
        <v>DontAbortOnErrorsThruStep,8,</v>
      </c>
      <c r="AZ194" s="31" t="str">
        <f t="shared" si="756"/>
        <v>BypassValidFileChecks,1,</v>
      </c>
      <c r="BA194" s="31" t="str">
        <f t="shared" si="757"/>
        <v>BypassInputChecks,0,</v>
      </c>
      <c r="BB194" s="31" t="str">
        <f t="shared" si="758"/>
        <v>BypassUMLHChecks,0,</v>
      </c>
      <c r="BC194" s="31" t="str">
        <f t="shared" si="759"/>
        <v>BypassCheckSimRules,0,</v>
      </c>
      <c r="BD194" s="31" t="str">
        <f t="shared" si="760"/>
        <v>BypassCheckCodeRules,0,</v>
      </c>
      <c r="BE194" s="31" t="str">
        <f t="shared" si="718"/>
        <v>StoreResultsToModelInput,1,</v>
      </c>
      <c r="BF194" s="31" t="str">
        <f t="shared" si="719"/>
        <v>StoreBEMDetails,0,</v>
      </c>
      <c r="BG194" s="31" t="str">
        <f t="shared" si="720"/>
        <v>ModelRpt_ALL,1,</v>
      </c>
      <c r="BH194" s="31" t="str">
        <f t="shared" si="721"/>
        <v>ExportHourlyResults_All,0,</v>
      </c>
      <c r="BI194" s="31" t="str">
        <f t="shared" si="722"/>
        <v>ComplianceReportPDF,0,</v>
      </c>
      <c r="BJ194" s="31" t="str">
        <f t="shared" si="723"/>
        <v>ComplianceReportXML,0,</v>
      </c>
      <c r="BK194" s="31" t="str">
        <f t="shared" si="724"/>
        <v>QuickAnalysis,0,</v>
      </c>
      <c r="BL194" s="31" t="str">
        <f t="shared" si="724"/>
        <v>PromptUserUMLHWarning,0,</v>
      </c>
      <c r="BM194" s="31" t="str">
        <f t="shared" si="725"/>
        <v>BypassOpenStudio_all,0,</v>
      </c>
      <c r="BN194" s="31" t="str">
        <f t="shared" si="726"/>
        <v>BypassOpenStudio_zp,0,</v>
      </c>
      <c r="BO194" s="31" t="str">
        <f t="shared" si="727"/>
        <v>BypassOpenStudio_zb,0,</v>
      </c>
      <c r="BP194" s="31" t="str">
        <f t="shared" si="728"/>
        <v>BypassOpenStudio_ap,0,</v>
      </c>
      <c r="BQ194" s="31" t="str">
        <f t="shared" si="729"/>
        <v>BypassOpenStudio_ab,0,</v>
      </c>
      <c r="BR194" s="31" t="str">
        <f t="shared" si="730"/>
        <v>BypassOpenStudio_zp,0,</v>
      </c>
      <c r="BS194" s="31" t="str">
        <f t="shared" si="731"/>
        <v>BypassOpenStudio_zb,0,</v>
      </c>
      <c r="BT194" s="31" t="str">
        <f t="shared" si="732"/>
        <v>BypassOpenStudio_ap,0,</v>
      </c>
      <c r="BU194" s="31" t="str">
        <f t="shared" si="733"/>
        <v>BypassOpenStudio_ab,0,</v>
      </c>
    </row>
    <row r="195" spans="1:73" hidden="1" outlineLevel="1" x14ac:dyDescent="0.25">
      <c r="A195" s="39">
        <f t="shared" si="734"/>
        <v>0</v>
      </c>
      <c r="B195" s="27" t="str">
        <f t="shared" si="735"/>
        <v>SoftwareSensitivity2016Tests\DetailedGeometry\x.cibd16</v>
      </c>
      <c r="C195" s="27" t="str">
        <f t="shared" si="736"/>
        <v>BatchOut_171026_r5178_FinalRel-v3-SSTSG_SSTDG\x.cibd16</v>
      </c>
      <c r="D195" s="27" t="str">
        <f t="shared" si="737"/>
        <v>BatchOut_171026_r5178_FinalRel-v3-SSTSG_SSTDG\XML\</v>
      </c>
      <c r="E195" s="9" t="str">
        <f t="shared" si="738"/>
        <v>x</v>
      </c>
      <c r="F195" s="22"/>
      <c r="G195" s="29"/>
      <c r="H195" s="23" t="str">
        <f t="shared" si="739"/>
        <v/>
      </c>
      <c r="I195" s="9" t="s">
        <v>11</v>
      </c>
      <c r="J19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5" s="15" t="s">
        <v>1</v>
      </c>
      <c r="L195" s="92">
        <f t="shared" si="744"/>
        <v>0</v>
      </c>
      <c r="M195" s="91" t="str">
        <f t="shared" si="740"/>
        <v>x</v>
      </c>
      <c r="N195" s="90" t="s">
        <v>149</v>
      </c>
      <c r="O195" s="28" t="str">
        <f t="shared" si="745"/>
        <v>x</v>
      </c>
      <c r="P195" s="36">
        <f t="shared" si="694"/>
        <v>1</v>
      </c>
      <c r="Q195" s="36">
        <f t="shared" si="694"/>
        <v>1</v>
      </c>
      <c r="R195" s="36">
        <f t="shared" si="694"/>
        <v>0</v>
      </c>
      <c r="S195" s="36">
        <f t="shared" si="694"/>
        <v>1</v>
      </c>
      <c r="T195" s="36">
        <f t="shared" si="694"/>
        <v>0</v>
      </c>
      <c r="U195" s="36">
        <f t="shared" si="694"/>
        <v>8</v>
      </c>
      <c r="V195" s="36">
        <f t="shared" si="694"/>
        <v>8</v>
      </c>
      <c r="W195" s="36">
        <f t="shared" ref="W195:AQ210" si="784">W194</f>
        <v>1</v>
      </c>
      <c r="X195" s="36">
        <f t="shared" si="784"/>
        <v>0</v>
      </c>
      <c r="Y195" s="36">
        <f t="shared" si="784"/>
        <v>0</v>
      </c>
      <c r="Z195" s="36">
        <f t="shared" si="784"/>
        <v>0</v>
      </c>
      <c r="AA195" s="36">
        <f t="shared" si="784"/>
        <v>0</v>
      </c>
      <c r="AB195" s="36">
        <f t="shared" si="784"/>
        <v>1</v>
      </c>
      <c r="AC195" s="36">
        <f t="shared" si="784"/>
        <v>0</v>
      </c>
      <c r="AD195" s="36">
        <f t="shared" si="784"/>
        <v>1</v>
      </c>
      <c r="AE195" s="36">
        <f t="shared" ref="AE195:AF195" si="785">AE194</f>
        <v>0</v>
      </c>
      <c r="AF195" s="36">
        <f t="shared" si="785"/>
        <v>0</v>
      </c>
      <c r="AG195" s="36">
        <f t="shared" ref="AG195:AH195" si="786">AG194</f>
        <v>0</v>
      </c>
      <c r="AH195" s="36">
        <f t="shared" si="786"/>
        <v>0</v>
      </c>
      <c r="AI195" s="36">
        <f t="shared" ref="AI195" si="787">AI194</f>
        <v>0</v>
      </c>
      <c r="AJ195" s="36">
        <f t="shared" si="784"/>
        <v>0</v>
      </c>
      <c r="AK195" s="36">
        <f t="shared" si="769"/>
        <v>0</v>
      </c>
      <c r="AL195" s="36">
        <f t="shared" si="769"/>
        <v>0</v>
      </c>
      <c r="AM195" s="36">
        <f t="shared" si="769"/>
        <v>0</v>
      </c>
      <c r="AN195" s="36">
        <f t="shared" si="769"/>
        <v>0</v>
      </c>
      <c r="AO195" s="36">
        <f t="shared" si="769"/>
        <v>0</v>
      </c>
      <c r="AP195" s="36">
        <f t="shared" si="769"/>
        <v>0</v>
      </c>
      <c r="AQ195" s="36">
        <f t="shared" si="769"/>
        <v>0</v>
      </c>
      <c r="AR195" s="36">
        <f t="shared" si="769"/>
        <v>0</v>
      </c>
      <c r="AS195" s="31" t="str">
        <f t="shared" si="749"/>
        <v>SimulationStorage,1,</v>
      </c>
      <c r="AT195" s="31" t="str">
        <f t="shared" si="750"/>
        <v>AnalysisStorage,1,</v>
      </c>
      <c r="AU195" s="31" t="str">
        <f t="shared" si="751"/>
        <v>LogRuleEvaluation,0,</v>
      </c>
      <c r="AV195" s="31" t="str">
        <f t="shared" si="752"/>
        <v>ParallelSimulations,1,</v>
      </c>
      <c r="AW195" s="31" t="str">
        <f t="shared" si="753"/>
        <v>DurationStats,0,</v>
      </c>
      <c r="AX195" s="31" t="str">
        <f t="shared" si="754"/>
        <v>AnalysisThruStep,8,</v>
      </c>
      <c r="AY195" s="31" t="str">
        <f t="shared" si="755"/>
        <v>DontAbortOnErrorsThruStep,8,</v>
      </c>
      <c r="AZ195" s="31" t="str">
        <f t="shared" si="756"/>
        <v>BypassValidFileChecks,1,</v>
      </c>
      <c r="BA195" s="31" t="str">
        <f t="shared" si="757"/>
        <v>BypassInputChecks,0,</v>
      </c>
      <c r="BB195" s="31" t="str">
        <f t="shared" si="758"/>
        <v>BypassUMLHChecks,0,</v>
      </c>
      <c r="BC195" s="31" t="str">
        <f t="shared" si="759"/>
        <v>BypassCheckSimRules,0,</v>
      </c>
      <c r="BD195" s="31" t="str">
        <f t="shared" si="760"/>
        <v>BypassCheckCodeRules,0,</v>
      </c>
      <c r="BE195" s="31" t="str">
        <f t="shared" si="718"/>
        <v>StoreResultsToModelInput,1,</v>
      </c>
      <c r="BF195" s="31" t="str">
        <f t="shared" si="719"/>
        <v>StoreBEMDetails,0,</v>
      </c>
      <c r="BG195" s="31" t="str">
        <f t="shared" si="720"/>
        <v>ModelRpt_ALL,1,</v>
      </c>
      <c r="BH195" s="31" t="str">
        <f t="shared" si="721"/>
        <v>ExportHourlyResults_All,0,</v>
      </c>
      <c r="BI195" s="31" t="str">
        <f t="shared" si="722"/>
        <v>ComplianceReportPDF,0,</v>
      </c>
      <c r="BJ195" s="31" t="str">
        <f t="shared" si="723"/>
        <v>ComplianceReportXML,0,</v>
      </c>
      <c r="BK195" s="31" t="str">
        <f t="shared" si="724"/>
        <v>QuickAnalysis,0,</v>
      </c>
      <c r="BL195" s="31" t="str">
        <f t="shared" si="724"/>
        <v>PromptUserUMLHWarning,0,</v>
      </c>
      <c r="BM195" s="31" t="str">
        <f t="shared" si="725"/>
        <v>BypassOpenStudio_all,0,</v>
      </c>
      <c r="BN195" s="31" t="str">
        <f t="shared" si="726"/>
        <v>BypassOpenStudio_zp,0,</v>
      </c>
      <c r="BO195" s="31" t="str">
        <f t="shared" si="727"/>
        <v>BypassOpenStudio_zb,0,</v>
      </c>
      <c r="BP195" s="31" t="str">
        <f t="shared" si="728"/>
        <v>BypassOpenStudio_ap,0,</v>
      </c>
      <c r="BQ195" s="31" t="str">
        <f t="shared" si="729"/>
        <v>BypassOpenStudio_ab,0,</v>
      </c>
      <c r="BR195" s="31" t="str">
        <f t="shared" si="730"/>
        <v>BypassOpenStudio_zp,0,</v>
      </c>
      <c r="BS195" s="31" t="str">
        <f t="shared" si="731"/>
        <v>BypassOpenStudio_zb,0,</v>
      </c>
      <c r="BT195" s="31" t="str">
        <f t="shared" si="732"/>
        <v>BypassOpenStudio_ap,0,</v>
      </c>
      <c r="BU195" s="31" t="str">
        <f t="shared" si="733"/>
        <v>BypassOpenStudio_ab,0,</v>
      </c>
    </row>
    <row r="196" spans="1:73" hidden="1" outlineLevel="1" x14ac:dyDescent="0.25">
      <c r="A196" s="39">
        <f t="shared" si="734"/>
        <v>0</v>
      </c>
      <c r="B196" s="27" t="str">
        <f t="shared" si="735"/>
        <v>SoftwareSensitivity2016Tests\DetailedGeometry\x.cibd16</v>
      </c>
      <c r="C196" s="27" t="str">
        <f t="shared" si="736"/>
        <v>BatchOut_171026_r5178_FinalRel-v3-SSTSG_SSTDG\x.cibd16</v>
      </c>
      <c r="D196" s="27" t="str">
        <f t="shared" si="737"/>
        <v>BatchOut_171026_r5178_FinalRel-v3-SSTSG_SSTDG\XML\</v>
      </c>
      <c r="E196" s="9" t="str">
        <f t="shared" si="738"/>
        <v>x</v>
      </c>
      <c r="F196" s="22"/>
      <c r="G196" s="29"/>
      <c r="H196" s="23" t="str">
        <f t="shared" si="739"/>
        <v/>
      </c>
      <c r="I196" s="9" t="s">
        <v>11</v>
      </c>
      <c r="J19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6" s="15" t="s">
        <v>1</v>
      </c>
      <c r="L196" s="92">
        <f t="shared" si="744"/>
        <v>0</v>
      </c>
      <c r="M196" s="91" t="str">
        <f t="shared" si="740"/>
        <v>x</v>
      </c>
      <c r="N196" s="90" t="s">
        <v>149</v>
      </c>
      <c r="O196" s="28" t="str">
        <f t="shared" si="745"/>
        <v>x</v>
      </c>
      <c r="P196" s="36">
        <f t="shared" ref="P196:AJ220" si="788">P195</f>
        <v>1</v>
      </c>
      <c r="Q196" s="36">
        <f t="shared" si="788"/>
        <v>1</v>
      </c>
      <c r="R196" s="36">
        <f t="shared" si="788"/>
        <v>0</v>
      </c>
      <c r="S196" s="36">
        <f t="shared" si="788"/>
        <v>1</v>
      </c>
      <c r="T196" s="36">
        <f t="shared" si="788"/>
        <v>0</v>
      </c>
      <c r="U196" s="36">
        <f t="shared" si="788"/>
        <v>8</v>
      </c>
      <c r="V196" s="36">
        <f t="shared" si="788"/>
        <v>8</v>
      </c>
      <c r="W196" s="36">
        <f t="shared" si="784"/>
        <v>1</v>
      </c>
      <c r="X196" s="36">
        <f t="shared" si="784"/>
        <v>0</v>
      </c>
      <c r="Y196" s="36">
        <f t="shared" si="784"/>
        <v>0</v>
      </c>
      <c r="Z196" s="36">
        <f t="shared" si="784"/>
        <v>0</v>
      </c>
      <c r="AA196" s="36">
        <f t="shared" si="784"/>
        <v>0</v>
      </c>
      <c r="AB196" s="36">
        <f t="shared" si="784"/>
        <v>1</v>
      </c>
      <c r="AC196" s="36">
        <f t="shared" si="784"/>
        <v>0</v>
      </c>
      <c r="AD196" s="36">
        <f t="shared" si="784"/>
        <v>1</v>
      </c>
      <c r="AE196" s="36">
        <f t="shared" ref="AE196:AF196" si="789">AE195</f>
        <v>0</v>
      </c>
      <c r="AF196" s="36">
        <f t="shared" si="789"/>
        <v>0</v>
      </c>
      <c r="AG196" s="36">
        <f t="shared" ref="AG196:AH196" si="790">AG195</f>
        <v>0</v>
      </c>
      <c r="AH196" s="36">
        <f t="shared" si="790"/>
        <v>0</v>
      </c>
      <c r="AI196" s="36">
        <f t="shared" ref="AI196" si="791">AI195</f>
        <v>0</v>
      </c>
      <c r="AJ196" s="36">
        <f t="shared" si="784"/>
        <v>0</v>
      </c>
      <c r="AK196" s="36">
        <f t="shared" si="769"/>
        <v>0</v>
      </c>
      <c r="AL196" s="36">
        <f t="shared" si="769"/>
        <v>0</v>
      </c>
      <c r="AM196" s="36">
        <f t="shared" si="769"/>
        <v>0</v>
      </c>
      <c r="AN196" s="36">
        <f t="shared" si="769"/>
        <v>0</v>
      </c>
      <c r="AO196" s="36">
        <f t="shared" si="769"/>
        <v>0</v>
      </c>
      <c r="AP196" s="36">
        <f t="shared" si="769"/>
        <v>0</v>
      </c>
      <c r="AQ196" s="36">
        <f t="shared" si="769"/>
        <v>0</v>
      </c>
      <c r="AR196" s="36">
        <f t="shared" si="769"/>
        <v>0</v>
      </c>
      <c r="AS196" s="31" t="str">
        <f t="shared" si="749"/>
        <v>SimulationStorage,1,</v>
      </c>
      <c r="AT196" s="31" t="str">
        <f t="shared" si="750"/>
        <v>AnalysisStorage,1,</v>
      </c>
      <c r="AU196" s="31" t="str">
        <f t="shared" si="751"/>
        <v>LogRuleEvaluation,0,</v>
      </c>
      <c r="AV196" s="31" t="str">
        <f t="shared" si="752"/>
        <v>ParallelSimulations,1,</v>
      </c>
      <c r="AW196" s="31" t="str">
        <f t="shared" si="753"/>
        <v>DurationStats,0,</v>
      </c>
      <c r="AX196" s="31" t="str">
        <f t="shared" si="754"/>
        <v>AnalysisThruStep,8,</v>
      </c>
      <c r="AY196" s="31" t="str">
        <f t="shared" si="755"/>
        <v>DontAbortOnErrorsThruStep,8,</v>
      </c>
      <c r="AZ196" s="31" t="str">
        <f t="shared" si="756"/>
        <v>BypassValidFileChecks,1,</v>
      </c>
      <c r="BA196" s="31" t="str">
        <f t="shared" si="757"/>
        <v>BypassInputChecks,0,</v>
      </c>
      <c r="BB196" s="31" t="str">
        <f t="shared" si="758"/>
        <v>BypassUMLHChecks,0,</v>
      </c>
      <c r="BC196" s="31" t="str">
        <f t="shared" si="759"/>
        <v>BypassCheckSimRules,0,</v>
      </c>
      <c r="BD196" s="31" t="str">
        <f t="shared" si="760"/>
        <v>BypassCheckCodeRules,0,</v>
      </c>
      <c r="BE196" s="31" t="str">
        <f t="shared" si="718"/>
        <v>StoreResultsToModelInput,1,</v>
      </c>
      <c r="BF196" s="31" t="str">
        <f t="shared" si="719"/>
        <v>StoreBEMDetails,0,</v>
      </c>
      <c r="BG196" s="31" t="str">
        <f t="shared" si="720"/>
        <v>ModelRpt_ALL,1,</v>
      </c>
      <c r="BH196" s="31" t="str">
        <f t="shared" si="721"/>
        <v>ExportHourlyResults_All,0,</v>
      </c>
      <c r="BI196" s="31" t="str">
        <f t="shared" si="722"/>
        <v>ComplianceReportPDF,0,</v>
      </c>
      <c r="BJ196" s="31" t="str">
        <f t="shared" si="723"/>
        <v>ComplianceReportXML,0,</v>
      </c>
      <c r="BK196" s="31" t="str">
        <f t="shared" si="724"/>
        <v>QuickAnalysis,0,</v>
      </c>
      <c r="BL196" s="31" t="str">
        <f t="shared" si="724"/>
        <v>PromptUserUMLHWarning,0,</v>
      </c>
      <c r="BM196" s="31" t="str">
        <f t="shared" si="725"/>
        <v>BypassOpenStudio_all,0,</v>
      </c>
      <c r="BN196" s="31" t="str">
        <f t="shared" si="726"/>
        <v>BypassOpenStudio_zp,0,</v>
      </c>
      <c r="BO196" s="31" t="str">
        <f t="shared" si="727"/>
        <v>BypassOpenStudio_zb,0,</v>
      </c>
      <c r="BP196" s="31" t="str">
        <f t="shared" si="728"/>
        <v>BypassOpenStudio_ap,0,</v>
      </c>
      <c r="BQ196" s="31" t="str">
        <f t="shared" si="729"/>
        <v>BypassOpenStudio_ab,0,</v>
      </c>
      <c r="BR196" s="31" t="str">
        <f t="shared" si="730"/>
        <v>BypassOpenStudio_zp,0,</v>
      </c>
      <c r="BS196" s="31" t="str">
        <f t="shared" si="731"/>
        <v>BypassOpenStudio_zb,0,</v>
      </c>
      <c r="BT196" s="31" t="str">
        <f t="shared" si="732"/>
        <v>BypassOpenStudio_ap,0,</v>
      </c>
      <c r="BU196" s="31" t="str">
        <f t="shared" si="733"/>
        <v>BypassOpenStudio_ab,0,</v>
      </c>
    </row>
    <row r="197" spans="1:73" hidden="1" outlineLevel="1" x14ac:dyDescent="0.25">
      <c r="A197" s="39">
        <f t="shared" si="734"/>
        <v>0</v>
      </c>
      <c r="B197" s="27" t="str">
        <f t="shared" si="735"/>
        <v>SoftwareSensitivity2016Tests\DetailedGeometry\x.cibd16</v>
      </c>
      <c r="C197" s="27" t="str">
        <f t="shared" si="736"/>
        <v>BatchOut_171026_r5178_FinalRel-v3-SSTSG_SSTDG\x.cibd16</v>
      </c>
      <c r="D197" s="27" t="str">
        <f t="shared" si="737"/>
        <v>BatchOut_171026_r5178_FinalRel-v3-SSTSG_SSTDG\XML\</v>
      </c>
      <c r="E197" s="9" t="str">
        <f t="shared" si="738"/>
        <v>x</v>
      </c>
      <c r="F197" s="22"/>
      <c r="G197" s="29"/>
      <c r="H197" s="23" t="str">
        <f t="shared" si="739"/>
        <v/>
      </c>
      <c r="I197" s="9" t="s">
        <v>11</v>
      </c>
      <c r="J19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7" s="15" t="s">
        <v>1</v>
      </c>
      <c r="L197" s="92">
        <f t="shared" si="744"/>
        <v>0</v>
      </c>
      <c r="M197" s="91" t="str">
        <f t="shared" si="740"/>
        <v>x</v>
      </c>
      <c r="N197" s="90" t="s">
        <v>149</v>
      </c>
      <c r="O197" s="28" t="str">
        <f t="shared" si="745"/>
        <v>x</v>
      </c>
      <c r="P197" s="36">
        <f t="shared" si="788"/>
        <v>1</v>
      </c>
      <c r="Q197" s="36">
        <f t="shared" si="788"/>
        <v>1</v>
      </c>
      <c r="R197" s="36">
        <f t="shared" si="788"/>
        <v>0</v>
      </c>
      <c r="S197" s="36">
        <f t="shared" si="788"/>
        <v>1</v>
      </c>
      <c r="T197" s="36">
        <f t="shared" si="788"/>
        <v>0</v>
      </c>
      <c r="U197" s="36">
        <f t="shared" si="788"/>
        <v>8</v>
      </c>
      <c r="V197" s="36">
        <f t="shared" si="788"/>
        <v>8</v>
      </c>
      <c r="W197" s="36">
        <f t="shared" si="784"/>
        <v>1</v>
      </c>
      <c r="X197" s="36">
        <f t="shared" si="784"/>
        <v>0</v>
      </c>
      <c r="Y197" s="36">
        <f t="shared" si="784"/>
        <v>0</v>
      </c>
      <c r="Z197" s="36">
        <f t="shared" si="784"/>
        <v>0</v>
      </c>
      <c r="AA197" s="36">
        <f t="shared" si="784"/>
        <v>0</v>
      </c>
      <c r="AB197" s="36">
        <f t="shared" si="784"/>
        <v>1</v>
      </c>
      <c r="AC197" s="36">
        <f t="shared" si="784"/>
        <v>0</v>
      </c>
      <c r="AD197" s="36">
        <f t="shared" si="784"/>
        <v>1</v>
      </c>
      <c r="AE197" s="36">
        <f t="shared" ref="AE197:AF197" si="792">AE196</f>
        <v>0</v>
      </c>
      <c r="AF197" s="36">
        <f t="shared" si="792"/>
        <v>0</v>
      </c>
      <c r="AG197" s="36">
        <f t="shared" ref="AG197:AH197" si="793">AG196</f>
        <v>0</v>
      </c>
      <c r="AH197" s="36">
        <f t="shared" si="793"/>
        <v>0</v>
      </c>
      <c r="AI197" s="36">
        <f t="shared" ref="AI197" si="794">AI196</f>
        <v>0</v>
      </c>
      <c r="AJ197" s="36">
        <f t="shared" si="784"/>
        <v>0</v>
      </c>
      <c r="AK197" s="36">
        <f t="shared" si="769"/>
        <v>0</v>
      </c>
      <c r="AL197" s="36">
        <f t="shared" si="769"/>
        <v>0</v>
      </c>
      <c r="AM197" s="36">
        <f t="shared" si="769"/>
        <v>0</v>
      </c>
      <c r="AN197" s="36">
        <f t="shared" si="769"/>
        <v>0</v>
      </c>
      <c r="AO197" s="36">
        <f t="shared" si="769"/>
        <v>0</v>
      </c>
      <c r="AP197" s="36">
        <f t="shared" si="769"/>
        <v>0</v>
      </c>
      <c r="AQ197" s="36">
        <f t="shared" si="769"/>
        <v>0</v>
      </c>
      <c r="AR197" s="36">
        <f t="shared" si="769"/>
        <v>0</v>
      </c>
      <c r="AS197" s="31" t="str">
        <f t="shared" si="749"/>
        <v>SimulationStorage,1,</v>
      </c>
      <c r="AT197" s="31" t="str">
        <f t="shared" si="750"/>
        <v>AnalysisStorage,1,</v>
      </c>
      <c r="AU197" s="31" t="str">
        <f t="shared" si="751"/>
        <v>LogRuleEvaluation,0,</v>
      </c>
      <c r="AV197" s="31" t="str">
        <f t="shared" si="752"/>
        <v>ParallelSimulations,1,</v>
      </c>
      <c r="AW197" s="31" t="str">
        <f t="shared" si="753"/>
        <v>DurationStats,0,</v>
      </c>
      <c r="AX197" s="31" t="str">
        <f t="shared" si="754"/>
        <v>AnalysisThruStep,8,</v>
      </c>
      <c r="AY197" s="31" t="str">
        <f t="shared" si="755"/>
        <v>DontAbortOnErrorsThruStep,8,</v>
      </c>
      <c r="AZ197" s="31" t="str">
        <f t="shared" si="756"/>
        <v>BypassValidFileChecks,1,</v>
      </c>
      <c r="BA197" s="31" t="str">
        <f t="shared" si="757"/>
        <v>BypassInputChecks,0,</v>
      </c>
      <c r="BB197" s="31" t="str">
        <f t="shared" si="758"/>
        <v>BypassUMLHChecks,0,</v>
      </c>
      <c r="BC197" s="31" t="str">
        <f t="shared" si="759"/>
        <v>BypassCheckSimRules,0,</v>
      </c>
      <c r="BD197" s="31" t="str">
        <f t="shared" si="760"/>
        <v>BypassCheckCodeRules,0,</v>
      </c>
      <c r="BE197" s="31" t="str">
        <f t="shared" si="718"/>
        <v>StoreResultsToModelInput,1,</v>
      </c>
      <c r="BF197" s="31" t="str">
        <f t="shared" si="719"/>
        <v>StoreBEMDetails,0,</v>
      </c>
      <c r="BG197" s="31" t="str">
        <f t="shared" si="720"/>
        <v>ModelRpt_ALL,1,</v>
      </c>
      <c r="BH197" s="31" t="str">
        <f t="shared" si="721"/>
        <v>ExportHourlyResults_All,0,</v>
      </c>
      <c r="BI197" s="31" t="str">
        <f t="shared" si="722"/>
        <v>ComplianceReportPDF,0,</v>
      </c>
      <c r="BJ197" s="31" t="str">
        <f t="shared" si="723"/>
        <v>ComplianceReportXML,0,</v>
      </c>
      <c r="BK197" s="31" t="str">
        <f t="shared" si="724"/>
        <v>QuickAnalysis,0,</v>
      </c>
      <c r="BL197" s="31" t="str">
        <f t="shared" si="724"/>
        <v>PromptUserUMLHWarning,0,</v>
      </c>
      <c r="BM197" s="31" t="str">
        <f t="shared" si="725"/>
        <v>BypassOpenStudio_all,0,</v>
      </c>
      <c r="BN197" s="31" t="str">
        <f t="shared" si="726"/>
        <v>BypassOpenStudio_zp,0,</v>
      </c>
      <c r="BO197" s="31" t="str">
        <f t="shared" si="727"/>
        <v>BypassOpenStudio_zb,0,</v>
      </c>
      <c r="BP197" s="31" t="str">
        <f t="shared" si="728"/>
        <v>BypassOpenStudio_ap,0,</v>
      </c>
      <c r="BQ197" s="31" t="str">
        <f t="shared" si="729"/>
        <v>BypassOpenStudio_ab,0,</v>
      </c>
      <c r="BR197" s="31" t="str">
        <f t="shared" si="730"/>
        <v>BypassOpenStudio_zp,0,</v>
      </c>
      <c r="BS197" s="31" t="str">
        <f t="shared" si="731"/>
        <v>BypassOpenStudio_zb,0,</v>
      </c>
      <c r="BT197" s="31" t="str">
        <f t="shared" si="732"/>
        <v>BypassOpenStudio_ap,0,</v>
      </c>
      <c r="BU197" s="31" t="str">
        <f t="shared" si="733"/>
        <v>BypassOpenStudio_ab,0,</v>
      </c>
    </row>
    <row r="198" spans="1:73" hidden="1" outlineLevel="1" x14ac:dyDescent="0.25">
      <c r="A198" s="39">
        <f t="shared" si="734"/>
        <v>0</v>
      </c>
      <c r="B198" s="27" t="str">
        <f t="shared" si="735"/>
        <v>SoftwareSensitivity2016Tests\DetailedGeometry\x.cibd16</v>
      </c>
      <c r="C198" s="27" t="str">
        <f t="shared" si="736"/>
        <v>BatchOut_171026_r5178_FinalRel-v3-SSTSG_SSTDG\x.cibd16</v>
      </c>
      <c r="D198" s="27" t="str">
        <f t="shared" si="737"/>
        <v>BatchOut_171026_r5178_FinalRel-v3-SSTSG_SSTDG\XML\</v>
      </c>
      <c r="E198" s="9" t="str">
        <f t="shared" si="738"/>
        <v>x</v>
      </c>
      <c r="F198" s="22"/>
      <c r="G198" s="29"/>
      <c r="H198" s="23" t="str">
        <f t="shared" si="739"/>
        <v/>
      </c>
      <c r="I198" s="9" t="s">
        <v>11</v>
      </c>
      <c r="J19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8" s="15" t="s">
        <v>1</v>
      </c>
      <c r="L198" s="92">
        <f t="shared" si="744"/>
        <v>0</v>
      </c>
      <c r="M198" s="91" t="str">
        <f t="shared" si="740"/>
        <v>x</v>
      </c>
      <c r="N198" s="90" t="s">
        <v>149</v>
      </c>
      <c r="O198" s="28" t="str">
        <f t="shared" si="745"/>
        <v>x</v>
      </c>
      <c r="P198" s="36">
        <f t="shared" si="788"/>
        <v>1</v>
      </c>
      <c r="Q198" s="36">
        <f t="shared" si="788"/>
        <v>1</v>
      </c>
      <c r="R198" s="36">
        <f t="shared" si="788"/>
        <v>0</v>
      </c>
      <c r="S198" s="36">
        <f t="shared" si="788"/>
        <v>1</v>
      </c>
      <c r="T198" s="36">
        <f t="shared" si="788"/>
        <v>0</v>
      </c>
      <c r="U198" s="36">
        <f t="shared" si="788"/>
        <v>8</v>
      </c>
      <c r="V198" s="36">
        <f t="shared" si="788"/>
        <v>8</v>
      </c>
      <c r="W198" s="36">
        <f t="shared" si="784"/>
        <v>1</v>
      </c>
      <c r="X198" s="36">
        <f t="shared" si="784"/>
        <v>0</v>
      </c>
      <c r="Y198" s="36">
        <f t="shared" si="784"/>
        <v>0</v>
      </c>
      <c r="Z198" s="36">
        <f t="shared" si="784"/>
        <v>0</v>
      </c>
      <c r="AA198" s="36">
        <f t="shared" si="784"/>
        <v>0</v>
      </c>
      <c r="AB198" s="36">
        <f t="shared" si="784"/>
        <v>1</v>
      </c>
      <c r="AC198" s="36">
        <f t="shared" si="784"/>
        <v>0</v>
      </c>
      <c r="AD198" s="36">
        <f t="shared" si="784"/>
        <v>1</v>
      </c>
      <c r="AE198" s="36">
        <f t="shared" ref="AE198:AF198" si="795">AE197</f>
        <v>0</v>
      </c>
      <c r="AF198" s="36">
        <f t="shared" si="795"/>
        <v>0</v>
      </c>
      <c r="AG198" s="36">
        <f t="shared" ref="AG198:AH198" si="796">AG197</f>
        <v>0</v>
      </c>
      <c r="AH198" s="36">
        <f t="shared" si="796"/>
        <v>0</v>
      </c>
      <c r="AI198" s="36">
        <f t="shared" ref="AI198" si="797">AI197</f>
        <v>0</v>
      </c>
      <c r="AJ198" s="36">
        <f t="shared" si="784"/>
        <v>0</v>
      </c>
      <c r="AK198" s="36">
        <f t="shared" si="769"/>
        <v>0</v>
      </c>
      <c r="AL198" s="36">
        <f t="shared" si="769"/>
        <v>0</v>
      </c>
      <c r="AM198" s="36">
        <f t="shared" si="769"/>
        <v>0</v>
      </c>
      <c r="AN198" s="36">
        <f t="shared" si="769"/>
        <v>0</v>
      </c>
      <c r="AO198" s="36">
        <f t="shared" si="769"/>
        <v>0</v>
      </c>
      <c r="AP198" s="36">
        <f t="shared" si="769"/>
        <v>0</v>
      </c>
      <c r="AQ198" s="36">
        <f t="shared" si="769"/>
        <v>0</v>
      </c>
      <c r="AR198" s="36">
        <f t="shared" si="769"/>
        <v>0</v>
      </c>
      <c r="AS198" s="31" t="str">
        <f t="shared" si="749"/>
        <v>SimulationStorage,1,</v>
      </c>
      <c r="AT198" s="31" t="str">
        <f t="shared" si="750"/>
        <v>AnalysisStorage,1,</v>
      </c>
      <c r="AU198" s="31" t="str">
        <f t="shared" si="751"/>
        <v>LogRuleEvaluation,0,</v>
      </c>
      <c r="AV198" s="31" t="str">
        <f t="shared" si="752"/>
        <v>ParallelSimulations,1,</v>
      </c>
      <c r="AW198" s="31" t="str">
        <f t="shared" si="753"/>
        <v>DurationStats,0,</v>
      </c>
      <c r="AX198" s="31" t="str">
        <f t="shared" si="754"/>
        <v>AnalysisThruStep,8,</v>
      </c>
      <c r="AY198" s="31" t="str">
        <f t="shared" si="755"/>
        <v>DontAbortOnErrorsThruStep,8,</v>
      </c>
      <c r="AZ198" s="31" t="str">
        <f t="shared" si="756"/>
        <v>BypassValidFileChecks,1,</v>
      </c>
      <c r="BA198" s="31" t="str">
        <f t="shared" si="757"/>
        <v>BypassInputChecks,0,</v>
      </c>
      <c r="BB198" s="31" t="str">
        <f t="shared" si="758"/>
        <v>BypassUMLHChecks,0,</v>
      </c>
      <c r="BC198" s="31" t="str">
        <f t="shared" si="759"/>
        <v>BypassCheckSimRules,0,</v>
      </c>
      <c r="BD198" s="31" t="str">
        <f t="shared" si="760"/>
        <v>BypassCheckCodeRules,0,</v>
      </c>
      <c r="BE198" s="31" t="str">
        <f t="shared" si="718"/>
        <v>StoreResultsToModelInput,1,</v>
      </c>
      <c r="BF198" s="31" t="str">
        <f t="shared" si="719"/>
        <v>StoreBEMDetails,0,</v>
      </c>
      <c r="BG198" s="31" t="str">
        <f t="shared" si="720"/>
        <v>ModelRpt_ALL,1,</v>
      </c>
      <c r="BH198" s="31" t="str">
        <f t="shared" si="721"/>
        <v>ExportHourlyResults_All,0,</v>
      </c>
      <c r="BI198" s="31" t="str">
        <f t="shared" si="722"/>
        <v>ComplianceReportPDF,0,</v>
      </c>
      <c r="BJ198" s="31" t="str">
        <f t="shared" si="723"/>
        <v>ComplianceReportXML,0,</v>
      </c>
      <c r="BK198" s="31" t="str">
        <f t="shared" si="724"/>
        <v>QuickAnalysis,0,</v>
      </c>
      <c r="BL198" s="31" t="str">
        <f t="shared" si="724"/>
        <v>PromptUserUMLHWarning,0,</v>
      </c>
      <c r="BM198" s="31" t="str">
        <f t="shared" si="725"/>
        <v>BypassOpenStudio_all,0,</v>
      </c>
      <c r="BN198" s="31" t="str">
        <f t="shared" si="726"/>
        <v>BypassOpenStudio_zp,0,</v>
      </c>
      <c r="BO198" s="31" t="str">
        <f t="shared" si="727"/>
        <v>BypassOpenStudio_zb,0,</v>
      </c>
      <c r="BP198" s="31" t="str">
        <f t="shared" si="728"/>
        <v>BypassOpenStudio_ap,0,</v>
      </c>
      <c r="BQ198" s="31" t="str">
        <f t="shared" si="729"/>
        <v>BypassOpenStudio_ab,0,</v>
      </c>
      <c r="BR198" s="31" t="str">
        <f t="shared" si="730"/>
        <v>BypassOpenStudio_zp,0,</v>
      </c>
      <c r="BS198" s="31" t="str">
        <f t="shared" si="731"/>
        <v>BypassOpenStudio_zb,0,</v>
      </c>
      <c r="BT198" s="31" t="str">
        <f t="shared" si="732"/>
        <v>BypassOpenStudio_ap,0,</v>
      </c>
      <c r="BU198" s="31" t="str">
        <f t="shared" si="733"/>
        <v>BypassOpenStudio_ab,0,</v>
      </c>
    </row>
    <row r="199" spans="1:73" hidden="1" outlineLevel="1" x14ac:dyDescent="0.25">
      <c r="A199" s="39">
        <f t="shared" si="734"/>
        <v>0</v>
      </c>
      <c r="B199" s="27" t="str">
        <f t="shared" si="735"/>
        <v>SoftwareSensitivity2016Tests\DetailedGeometry\x.cibd16</v>
      </c>
      <c r="C199" s="27" t="str">
        <f t="shared" si="736"/>
        <v>BatchOut_171026_r5178_FinalRel-v3-SSTSG_SSTDG\x.cibd16</v>
      </c>
      <c r="D199" s="27" t="str">
        <f t="shared" si="737"/>
        <v>BatchOut_171026_r5178_FinalRel-v3-SSTSG_SSTDG\XML\</v>
      </c>
      <c r="E199" s="9" t="str">
        <f t="shared" si="738"/>
        <v>x</v>
      </c>
      <c r="F199" s="22"/>
      <c r="G199" s="29"/>
      <c r="H199" s="23" t="str">
        <f t="shared" si="739"/>
        <v/>
      </c>
      <c r="I199" s="9" t="s">
        <v>11</v>
      </c>
      <c r="J19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9" s="15" t="s">
        <v>1</v>
      </c>
      <c r="L199" s="92">
        <f t="shared" si="744"/>
        <v>0</v>
      </c>
      <c r="M199" s="91" t="str">
        <f t="shared" si="740"/>
        <v>x</v>
      </c>
      <c r="N199" s="90" t="s">
        <v>149</v>
      </c>
      <c r="O199" s="28" t="str">
        <f t="shared" si="745"/>
        <v>x</v>
      </c>
      <c r="P199" s="36">
        <f t="shared" si="788"/>
        <v>1</v>
      </c>
      <c r="Q199" s="36">
        <f t="shared" si="788"/>
        <v>1</v>
      </c>
      <c r="R199" s="36">
        <f t="shared" si="788"/>
        <v>0</v>
      </c>
      <c r="S199" s="36">
        <f t="shared" si="788"/>
        <v>1</v>
      </c>
      <c r="T199" s="36">
        <f t="shared" si="788"/>
        <v>0</v>
      </c>
      <c r="U199" s="36">
        <f t="shared" si="788"/>
        <v>8</v>
      </c>
      <c r="V199" s="36">
        <f t="shared" si="788"/>
        <v>8</v>
      </c>
      <c r="W199" s="36">
        <f t="shared" si="784"/>
        <v>1</v>
      </c>
      <c r="X199" s="36">
        <f t="shared" si="784"/>
        <v>0</v>
      </c>
      <c r="Y199" s="36">
        <f t="shared" si="784"/>
        <v>0</v>
      </c>
      <c r="Z199" s="36">
        <f t="shared" si="784"/>
        <v>0</v>
      </c>
      <c r="AA199" s="36">
        <f t="shared" si="784"/>
        <v>0</v>
      </c>
      <c r="AB199" s="36">
        <f t="shared" si="784"/>
        <v>1</v>
      </c>
      <c r="AC199" s="36">
        <f t="shared" si="784"/>
        <v>0</v>
      </c>
      <c r="AD199" s="36">
        <f t="shared" si="784"/>
        <v>1</v>
      </c>
      <c r="AE199" s="36">
        <f t="shared" ref="AE199:AF199" si="798">AE198</f>
        <v>0</v>
      </c>
      <c r="AF199" s="36">
        <f t="shared" si="798"/>
        <v>0</v>
      </c>
      <c r="AG199" s="36">
        <f t="shared" ref="AG199:AH199" si="799">AG198</f>
        <v>0</v>
      </c>
      <c r="AH199" s="36">
        <f t="shared" si="799"/>
        <v>0</v>
      </c>
      <c r="AI199" s="36">
        <f t="shared" ref="AI199" si="800">AI198</f>
        <v>0</v>
      </c>
      <c r="AJ199" s="36">
        <f t="shared" si="784"/>
        <v>0</v>
      </c>
      <c r="AK199" s="36">
        <f t="shared" si="769"/>
        <v>0</v>
      </c>
      <c r="AL199" s="36">
        <f t="shared" si="769"/>
        <v>0</v>
      </c>
      <c r="AM199" s="36">
        <f t="shared" si="769"/>
        <v>0</v>
      </c>
      <c r="AN199" s="36">
        <f t="shared" si="769"/>
        <v>0</v>
      </c>
      <c r="AO199" s="36">
        <f t="shared" si="769"/>
        <v>0</v>
      </c>
      <c r="AP199" s="36">
        <f t="shared" si="769"/>
        <v>0</v>
      </c>
      <c r="AQ199" s="36">
        <f t="shared" si="769"/>
        <v>0</v>
      </c>
      <c r="AR199" s="36">
        <f t="shared" si="769"/>
        <v>0</v>
      </c>
      <c r="AS199" s="31" t="str">
        <f t="shared" si="749"/>
        <v>SimulationStorage,1,</v>
      </c>
      <c r="AT199" s="31" t="str">
        <f t="shared" si="750"/>
        <v>AnalysisStorage,1,</v>
      </c>
      <c r="AU199" s="31" t="str">
        <f t="shared" si="751"/>
        <v>LogRuleEvaluation,0,</v>
      </c>
      <c r="AV199" s="31" t="str">
        <f t="shared" si="752"/>
        <v>ParallelSimulations,1,</v>
      </c>
      <c r="AW199" s="31" t="str">
        <f t="shared" si="753"/>
        <v>DurationStats,0,</v>
      </c>
      <c r="AX199" s="31" t="str">
        <f t="shared" si="754"/>
        <v>AnalysisThruStep,8,</v>
      </c>
      <c r="AY199" s="31" t="str">
        <f t="shared" si="755"/>
        <v>DontAbortOnErrorsThruStep,8,</v>
      </c>
      <c r="AZ199" s="31" t="str">
        <f t="shared" si="756"/>
        <v>BypassValidFileChecks,1,</v>
      </c>
      <c r="BA199" s="31" t="str">
        <f t="shared" si="757"/>
        <v>BypassInputChecks,0,</v>
      </c>
      <c r="BB199" s="31" t="str">
        <f t="shared" si="758"/>
        <v>BypassUMLHChecks,0,</v>
      </c>
      <c r="BC199" s="31" t="str">
        <f t="shared" si="759"/>
        <v>BypassCheckSimRules,0,</v>
      </c>
      <c r="BD199" s="31" t="str">
        <f t="shared" si="760"/>
        <v>BypassCheckCodeRules,0,</v>
      </c>
      <c r="BE199" s="31" t="str">
        <f t="shared" si="718"/>
        <v>StoreResultsToModelInput,1,</v>
      </c>
      <c r="BF199" s="31" t="str">
        <f t="shared" si="719"/>
        <v>StoreBEMDetails,0,</v>
      </c>
      <c r="BG199" s="31" t="str">
        <f t="shared" si="720"/>
        <v>ModelRpt_ALL,1,</v>
      </c>
      <c r="BH199" s="31" t="str">
        <f t="shared" si="721"/>
        <v>ExportHourlyResults_All,0,</v>
      </c>
      <c r="BI199" s="31" t="str">
        <f t="shared" si="722"/>
        <v>ComplianceReportPDF,0,</v>
      </c>
      <c r="BJ199" s="31" t="str">
        <f t="shared" si="723"/>
        <v>ComplianceReportXML,0,</v>
      </c>
      <c r="BK199" s="31" t="str">
        <f t="shared" si="724"/>
        <v>QuickAnalysis,0,</v>
      </c>
      <c r="BL199" s="31" t="str">
        <f t="shared" si="724"/>
        <v>PromptUserUMLHWarning,0,</v>
      </c>
      <c r="BM199" s="31" t="str">
        <f t="shared" si="725"/>
        <v>BypassOpenStudio_all,0,</v>
      </c>
      <c r="BN199" s="31" t="str">
        <f t="shared" si="726"/>
        <v>BypassOpenStudio_zp,0,</v>
      </c>
      <c r="BO199" s="31" t="str">
        <f t="shared" si="727"/>
        <v>BypassOpenStudio_zb,0,</v>
      </c>
      <c r="BP199" s="31" t="str">
        <f t="shared" si="728"/>
        <v>BypassOpenStudio_ap,0,</v>
      </c>
      <c r="BQ199" s="31" t="str">
        <f t="shared" si="729"/>
        <v>BypassOpenStudio_ab,0,</v>
      </c>
      <c r="BR199" s="31" t="str">
        <f t="shared" si="730"/>
        <v>BypassOpenStudio_zp,0,</v>
      </c>
      <c r="BS199" s="31" t="str">
        <f t="shared" si="731"/>
        <v>BypassOpenStudio_zb,0,</v>
      </c>
      <c r="BT199" s="31" t="str">
        <f t="shared" si="732"/>
        <v>BypassOpenStudio_ap,0,</v>
      </c>
      <c r="BU199" s="31" t="str">
        <f t="shared" si="733"/>
        <v>BypassOpenStudio_ab,0,</v>
      </c>
    </row>
    <row r="200" spans="1:73" hidden="1" outlineLevel="1" x14ac:dyDescent="0.25">
      <c r="A200" s="39">
        <f t="shared" si="734"/>
        <v>0</v>
      </c>
      <c r="B200" s="27" t="str">
        <f t="shared" si="735"/>
        <v>SoftwareSensitivity2016Tests\DetailedGeometry\x.cibd16</v>
      </c>
      <c r="C200" s="27" t="str">
        <f t="shared" si="736"/>
        <v>BatchOut_171026_r5178_FinalRel-v3-SSTSG_SSTDG\x.cibd16</v>
      </c>
      <c r="D200" s="27" t="str">
        <f t="shared" si="737"/>
        <v>BatchOut_171026_r5178_FinalRel-v3-SSTSG_SSTDG\XML\</v>
      </c>
      <c r="E200" s="9" t="str">
        <f t="shared" si="738"/>
        <v>x</v>
      </c>
      <c r="F200" s="22"/>
      <c r="G200" s="29"/>
      <c r="H200" s="23" t="str">
        <f t="shared" si="739"/>
        <v/>
      </c>
      <c r="I200" s="9" t="s">
        <v>11</v>
      </c>
      <c r="J20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0" s="15" t="s">
        <v>1</v>
      </c>
      <c r="L200" s="92">
        <f t="shared" si="744"/>
        <v>0</v>
      </c>
      <c r="M200" s="91" t="str">
        <f t="shared" si="740"/>
        <v>x</v>
      </c>
      <c r="N200" s="90" t="s">
        <v>149</v>
      </c>
      <c r="O200" s="28" t="str">
        <f t="shared" si="745"/>
        <v>x</v>
      </c>
      <c r="P200" s="36">
        <f t="shared" si="788"/>
        <v>1</v>
      </c>
      <c r="Q200" s="36">
        <f t="shared" si="788"/>
        <v>1</v>
      </c>
      <c r="R200" s="36">
        <f t="shared" si="788"/>
        <v>0</v>
      </c>
      <c r="S200" s="36">
        <f t="shared" si="788"/>
        <v>1</v>
      </c>
      <c r="T200" s="36">
        <f t="shared" si="788"/>
        <v>0</v>
      </c>
      <c r="U200" s="36">
        <f t="shared" si="788"/>
        <v>8</v>
      </c>
      <c r="V200" s="36">
        <f t="shared" si="788"/>
        <v>8</v>
      </c>
      <c r="W200" s="36">
        <f t="shared" si="784"/>
        <v>1</v>
      </c>
      <c r="X200" s="36">
        <f t="shared" si="784"/>
        <v>0</v>
      </c>
      <c r="Y200" s="36">
        <f t="shared" si="784"/>
        <v>0</v>
      </c>
      <c r="Z200" s="36">
        <f t="shared" si="784"/>
        <v>0</v>
      </c>
      <c r="AA200" s="36">
        <f t="shared" si="784"/>
        <v>0</v>
      </c>
      <c r="AB200" s="36">
        <f t="shared" si="784"/>
        <v>1</v>
      </c>
      <c r="AC200" s="36">
        <f t="shared" si="784"/>
        <v>0</v>
      </c>
      <c r="AD200" s="36">
        <f t="shared" si="784"/>
        <v>1</v>
      </c>
      <c r="AE200" s="36">
        <f t="shared" ref="AE200:AF200" si="801">AE199</f>
        <v>0</v>
      </c>
      <c r="AF200" s="36">
        <f t="shared" si="801"/>
        <v>0</v>
      </c>
      <c r="AG200" s="36">
        <f t="shared" ref="AG200:AH200" si="802">AG199</f>
        <v>0</v>
      </c>
      <c r="AH200" s="36">
        <f t="shared" si="802"/>
        <v>0</v>
      </c>
      <c r="AI200" s="36">
        <f t="shared" ref="AI200" si="803">AI199</f>
        <v>0</v>
      </c>
      <c r="AJ200" s="36">
        <f t="shared" si="784"/>
        <v>0</v>
      </c>
      <c r="AK200" s="36">
        <f t="shared" si="769"/>
        <v>0</v>
      </c>
      <c r="AL200" s="36">
        <f t="shared" si="769"/>
        <v>0</v>
      </c>
      <c r="AM200" s="36">
        <f t="shared" si="769"/>
        <v>0</v>
      </c>
      <c r="AN200" s="36">
        <f t="shared" si="769"/>
        <v>0</v>
      </c>
      <c r="AO200" s="36">
        <f t="shared" si="769"/>
        <v>0</v>
      </c>
      <c r="AP200" s="36">
        <f t="shared" si="769"/>
        <v>0</v>
      </c>
      <c r="AQ200" s="36">
        <f t="shared" si="769"/>
        <v>0</v>
      </c>
      <c r="AR200" s="36">
        <f t="shared" si="769"/>
        <v>0</v>
      </c>
      <c r="AS200" s="31" t="str">
        <f t="shared" si="749"/>
        <v>SimulationStorage,1,</v>
      </c>
      <c r="AT200" s="31" t="str">
        <f t="shared" si="750"/>
        <v>AnalysisStorage,1,</v>
      </c>
      <c r="AU200" s="31" t="str">
        <f t="shared" si="751"/>
        <v>LogRuleEvaluation,0,</v>
      </c>
      <c r="AV200" s="31" t="str">
        <f t="shared" si="752"/>
        <v>ParallelSimulations,1,</v>
      </c>
      <c r="AW200" s="31" t="str">
        <f t="shared" si="753"/>
        <v>DurationStats,0,</v>
      </c>
      <c r="AX200" s="31" t="str">
        <f t="shared" si="754"/>
        <v>AnalysisThruStep,8,</v>
      </c>
      <c r="AY200" s="31" t="str">
        <f t="shared" si="755"/>
        <v>DontAbortOnErrorsThruStep,8,</v>
      </c>
      <c r="AZ200" s="31" t="str">
        <f t="shared" si="756"/>
        <v>BypassValidFileChecks,1,</v>
      </c>
      <c r="BA200" s="31" t="str">
        <f t="shared" si="757"/>
        <v>BypassInputChecks,0,</v>
      </c>
      <c r="BB200" s="31" t="str">
        <f t="shared" si="758"/>
        <v>BypassUMLHChecks,0,</v>
      </c>
      <c r="BC200" s="31" t="str">
        <f t="shared" si="759"/>
        <v>BypassCheckSimRules,0,</v>
      </c>
      <c r="BD200" s="31" t="str">
        <f t="shared" si="760"/>
        <v>BypassCheckCodeRules,0,</v>
      </c>
      <c r="BE200" s="31" t="str">
        <f t="shared" si="718"/>
        <v>StoreResultsToModelInput,1,</v>
      </c>
      <c r="BF200" s="31" t="str">
        <f t="shared" si="719"/>
        <v>StoreBEMDetails,0,</v>
      </c>
      <c r="BG200" s="31" t="str">
        <f t="shared" si="720"/>
        <v>ModelRpt_ALL,1,</v>
      </c>
      <c r="BH200" s="31" t="str">
        <f t="shared" si="721"/>
        <v>ExportHourlyResults_All,0,</v>
      </c>
      <c r="BI200" s="31" t="str">
        <f t="shared" si="722"/>
        <v>ComplianceReportPDF,0,</v>
      </c>
      <c r="BJ200" s="31" t="str">
        <f t="shared" si="723"/>
        <v>ComplianceReportXML,0,</v>
      </c>
      <c r="BK200" s="31" t="str">
        <f t="shared" si="724"/>
        <v>QuickAnalysis,0,</v>
      </c>
      <c r="BL200" s="31" t="str">
        <f t="shared" si="724"/>
        <v>PromptUserUMLHWarning,0,</v>
      </c>
      <c r="BM200" s="31" t="str">
        <f t="shared" si="725"/>
        <v>BypassOpenStudio_all,0,</v>
      </c>
      <c r="BN200" s="31" t="str">
        <f t="shared" si="726"/>
        <v>BypassOpenStudio_zp,0,</v>
      </c>
      <c r="BO200" s="31" t="str">
        <f t="shared" si="727"/>
        <v>BypassOpenStudio_zb,0,</v>
      </c>
      <c r="BP200" s="31" t="str">
        <f t="shared" si="728"/>
        <v>BypassOpenStudio_ap,0,</v>
      </c>
      <c r="BQ200" s="31" t="str">
        <f t="shared" si="729"/>
        <v>BypassOpenStudio_ab,0,</v>
      </c>
      <c r="BR200" s="31" t="str">
        <f t="shared" si="730"/>
        <v>BypassOpenStudio_zp,0,</v>
      </c>
      <c r="BS200" s="31" t="str">
        <f t="shared" si="731"/>
        <v>BypassOpenStudio_zb,0,</v>
      </c>
      <c r="BT200" s="31" t="str">
        <f t="shared" si="732"/>
        <v>BypassOpenStudio_ap,0,</v>
      </c>
      <c r="BU200" s="31" t="str">
        <f t="shared" si="733"/>
        <v>BypassOpenStudio_ab,0,</v>
      </c>
    </row>
    <row r="201" spans="1:73" hidden="1" outlineLevel="1" x14ac:dyDescent="0.25">
      <c r="A201" s="39">
        <f t="shared" si="734"/>
        <v>0</v>
      </c>
      <c r="B201" s="27" t="str">
        <f t="shared" si="735"/>
        <v>SoftwareSensitivity2016Tests\DetailedGeometry\x.cibd16</v>
      </c>
      <c r="C201" s="27" t="str">
        <f t="shared" si="736"/>
        <v>BatchOut_171026_r5178_FinalRel-v3-SSTSG_SSTDG\x.cibd16</v>
      </c>
      <c r="D201" s="27" t="str">
        <f t="shared" si="737"/>
        <v>BatchOut_171026_r5178_FinalRel-v3-SSTSG_SSTDG\XML\</v>
      </c>
      <c r="E201" s="9" t="str">
        <f t="shared" si="738"/>
        <v>x</v>
      </c>
      <c r="F201" s="22"/>
      <c r="G201" s="29"/>
      <c r="H201" s="23" t="str">
        <f t="shared" si="739"/>
        <v/>
      </c>
      <c r="I201" s="9" t="s">
        <v>11</v>
      </c>
      <c r="J20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1" s="15" t="s">
        <v>1</v>
      </c>
      <c r="L201" s="92">
        <f t="shared" si="744"/>
        <v>0</v>
      </c>
      <c r="M201" s="91" t="str">
        <f t="shared" si="740"/>
        <v>x</v>
      </c>
      <c r="N201" s="90" t="s">
        <v>149</v>
      </c>
      <c r="O201" s="28" t="str">
        <f t="shared" si="745"/>
        <v>x</v>
      </c>
      <c r="P201" s="36">
        <f t="shared" si="788"/>
        <v>1</v>
      </c>
      <c r="Q201" s="36">
        <f t="shared" si="788"/>
        <v>1</v>
      </c>
      <c r="R201" s="36">
        <f t="shared" si="788"/>
        <v>0</v>
      </c>
      <c r="S201" s="36">
        <f t="shared" si="788"/>
        <v>1</v>
      </c>
      <c r="T201" s="36">
        <f t="shared" si="788"/>
        <v>0</v>
      </c>
      <c r="U201" s="36">
        <f t="shared" si="788"/>
        <v>8</v>
      </c>
      <c r="V201" s="36">
        <f t="shared" si="788"/>
        <v>8</v>
      </c>
      <c r="W201" s="36">
        <f t="shared" si="784"/>
        <v>1</v>
      </c>
      <c r="X201" s="36">
        <f t="shared" si="784"/>
        <v>0</v>
      </c>
      <c r="Y201" s="36">
        <f t="shared" si="784"/>
        <v>0</v>
      </c>
      <c r="Z201" s="36">
        <f t="shared" si="784"/>
        <v>0</v>
      </c>
      <c r="AA201" s="36">
        <f t="shared" si="784"/>
        <v>0</v>
      </c>
      <c r="AB201" s="36">
        <f t="shared" si="784"/>
        <v>1</v>
      </c>
      <c r="AC201" s="36">
        <f t="shared" si="784"/>
        <v>0</v>
      </c>
      <c r="AD201" s="36">
        <f t="shared" si="784"/>
        <v>1</v>
      </c>
      <c r="AE201" s="36">
        <f t="shared" ref="AE201:AF201" si="804">AE200</f>
        <v>0</v>
      </c>
      <c r="AF201" s="36">
        <f t="shared" si="804"/>
        <v>0</v>
      </c>
      <c r="AG201" s="36">
        <f t="shared" ref="AG201:AH201" si="805">AG200</f>
        <v>0</v>
      </c>
      <c r="AH201" s="36">
        <f t="shared" si="805"/>
        <v>0</v>
      </c>
      <c r="AI201" s="36">
        <f t="shared" ref="AI201" si="806">AI200</f>
        <v>0</v>
      </c>
      <c r="AJ201" s="36">
        <f t="shared" si="784"/>
        <v>0</v>
      </c>
      <c r="AK201" s="36">
        <f t="shared" si="769"/>
        <v>0</v>
      </c>
      <c r="AL201" s="36">
        <f t="shared" si="769"/>
        <v>0</v>
      </c>
      <c r="AM201" s="36">
        <f t="shared" si="769"/>
        <v>0</v>
      </c>
      <c r="AN201" s="36">
        <f t="shared" si="769"/>
        <v>0</v>
      </c>
      <c r="AO201" s="36">
        <f t="shared" si="769"/>
        <v>0</v>
      </c>
      <c r="AP201" s="36">
        <f t="shared" si="769"/>
        <v>0</v>
      </c>
      <c r="AQ201" s="36">
        <f t="shared" si="769"/>
        <v>0</v>
      </c>
      <c r="AR201" s="36">
        <f t="shared" si="769"/>
        <v>0</v>
      </c>
      <c r="AS201" s="31" t="str">
        <f t="shared" si="749"/>
        <v>SimulationStorage,1,</v>
      </c>
      <c r="AT201" s="31" t="str">
        <f t="shared" si="750"/>
        <v>AnalysisStorage,1,</v>
      </c>
      <c r="AU201" s="31" t="str">
        <f t="shared" si="751"/>
        <v>LogRuleEvaluation,0,</v>
      </c>
      <c r="AV201" s="31" t="str">
        <f t="shared" si="752"/>
        <v>ParallelSimulations,1,</v>
      </c>
      <c r="AW201" s="31" t="str">
        <f t="shared" si="753"/>
        <v>DurationStats,0,</v>
      </c>
      <c r="AX201" s="31" t="str">
        <f t="shared" si="754"/>
        <v>AnalysisThruStep,8,</v>
      </c>
      <c r="AY201" s="31" t="str">
        <f t="shared" si="755"/>
        <v>DontAbortOnErrorsThruStep,8,</v>
      </c>
      <c r="AZ201" s="31" t="str">
        <f t="shared" si="756"/>
        <v>BypassValidFileChecks,1,</v>
      </c>
      <c r="BA201" s="31" t="str">
        <f t="shared" si="757"/>
        <v>BypassInputChecks,0,</v>
      </c>
      <c r="BB201" s="31" t="str">
        <f t="shared" si="758"/>
        <v>BypassUMLHChecks,0,</v>
      </c>
      <c r="BC201" s="31" t="str">
        <f t="shared" si="759"/>
        <v>BypassCheckSimRules,0,</v>
      </c>
      <c r="BD201" s="31" t="str">
        <f t="shared" si="760"/>
        <v>BypassCheckCodeRules,0,</v>
      </c>
      <c r="BE201" s="31" t="str">
        <f t="shared" si="718"/>
        <v>StoreResultsToModelInput,1,</v>
      </c>
      <c r="BF201" s="31" t="str">
        <f t="shared" si="719"/>
        <v>StoreBEMDetails,0,</v>
      </c>
      <c r="BG201" s="31" t="str">
        <f t="shared" si="720"/>
        <v>ModelRpt_ALL,1,</v>
      </c>
      <c r="BH201" s="31" t="str">
        <f t="shared" si="721"/>
        <v>ExportHourlyResults_All,0,</v>
      </c>
      <c r="BI201" s="31" t="str">
        <f t="shared" si="722"/>
        <v>ComplianceReportPDF,0,</v>
      </c>
      <c r="BJ201" s="31" t="str">
        <f t="shared" si="723"/>
        <v>ComplianceReportXML,0,</v>
      </c>
      <c r="BK201" s="31" t="str">
        <f t="shared" si="724"/>
        <v>QuickAnalysis,0,</v>
      </c>
      <c r="BL201" s="31" t="str">
        <f t="shared" si="724"/>
        <v>PromptUserUMLHWarning,0,</v>
      </c>
      <c r="BM201" s="31" t="str">
        <f t="shared" si="725"/>
        <v>BypassOpenStudio_all,0,</v>
      </c>
      <c r="BN201" s="31" t="str">
        <f t="shared" si="726"/>
        <v>BypassOpenStudio_zp,0,</v>
      </c>
      <c r="BO201" s="31" t="str">
        <f t="shared" si="727"/>
        <v>BypassOpenStudio_zb,0,</v>
      </c>
      <c r="BP201" s="31" t="str">
        <f t="shared" si="728"/>
        <v>BypassOpenStudio_ap,0,</v>
      </c>
      <c r="BQ201" s="31" t="str">
        <f t="shared" si="729"/>
        <v>BypassOpenStudio_ab,0,</v>
      </c>
      <c r="BR201" s="31" t="str">
        <f t="shared" si="730"/>
        <v>BypassOpenStudio_zp,0,</v>
      </c>
      <c r="BS201" s="31" t="str">
        <f t="shared" si="731"/>
        <v>BypassOpenStudio_zb,0,</v>
      </c>
      <c r="BT201" s="31" t="str">
        <f t="shared" si="732"/>
        <v>BypassOpenStudio_ap,0,</v>
      </c>
      <c r="BU201" s="31" t="str">
        <f t="shared" si="733"/>
        <v>BypassOpenStudio_ab,0,</v>
      </c>
    </row>
    <row r="202" spans="1:73" hidden="1" outlineLevel="1" x14ac:dyDescent="0.25">
      <c r="A202" s="39">
        <f t="shared" si="734"/>
        <v>0</v>
      </c>
      <c r="B202" s="27" t="str">
        <f t="shared" si="735"/>
        <v>SoftwareSensitivity2016Tests\DetailedGeometry\x.cibd16</v>
      </c>
      <c r="C202" s="27" t="str">
        <f t="shared" si="736"/>
        <v>BatchOut_171026_r5178_FinalRel-v3-SSTSG_SSTDG\x.cibd16</v>
      </c>
      <c r="D202" s="27" t="str">
        <f t="shared" si="737"/>
        <v>BatchOut_171026_r5178_FinalRel-v3-SSTSG_SSTDG\XML\</v>
      </c>
      <c r="E202" s="9" t="str">
        <f t="shared" si="738"/>
        <v>x</v>
      </c>
      <c r="F202" s="22"/>
      <c r="G202" s="29"/>
      <c r="H202" s="23" t="str">
        <f t="shared" si="739"/>
        <v/>
      </c>
      <c r="I202" s="9" t="s">
        <v>11</v>
      </c>
      <c r="J20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2" s="15" t="s">
        <v>1</v>
      </c>
      <c r="L202" s="92">
        <f t="shared" si="744"/>
        <v>0</v>
      </c>
      <c r="M202" s="91" t="str">
        <f t="shared" si="740"/>
        <v>x</v>
      </c>
      <c r="N202" s="90" t="s">
        <v>149</v>
      </c>
      <c r="O202" s="28" t="str">
        <f t="shared" si="745"/>
        <v>x</v>
      </c>
      <c r="P202" s="36">
        <f t="shared" si="788"/>
        <v>1</v>
      </c>
      <c r="Q202" s="36">
        <f t="shared" si="788"/>
        <v>1</v>
      </c>
      <c r="R202" s="36">
        <f t="shared" si="788"/>
        <v>0</v>
      </c>
      <c r="S202" s="36">
        <f t="shared" si="788"/>
        <v>1</v>
      </c>
      <c r="T202" s="36">
        <f t="shared" si="788"/>
        <v>0</v>
      </c>
      <c r="U202" s="36">
        <f t="shared" si="788"/>
        <v>8</v>
      </c>
      <c r="V202" s="36">
        <f t="shared" si="788"/>
        <v>8</v>
      </c>
      <c r="W202" s="36">
        <f t="shared" si="784"/>
        <v>1</v>
      </c>
      <c r="X202" s="36">
        <f t="shared" si="784"/>
        <v>0</v>
      </c>
      <c r="Y202" s="36">
        <f t="shared" si="784"/>
        <v>0</v>
      </c>
      <c r="Z202" s="36">
        <f t="shared" si="784"/>
        <v>0</v>
      </c>
      <c r="AA202" s="36">
        <f t="shared" si="784"/>
        <v>0</v>
      </c>
      <c r="AB202" s="36">
        <f t="shared" si="784"/>
        <v>1</v>
      </c>
      <c r="AC202" s="36">
        <f t="shared" si="784"/>
        <v>0</v>
      </c>
      <c r="AD202" s="36">
        <f t="shared" si="784"/>
        <v>1</v>
      </c>
      <c r="AE202" s="36">
        <f t="shared" ref="AE202:AF202" si="807">AE201</f>
        <v>0</v>
      </c>
      <c r="AF202" s="36">
        <f t="shared" si="807"/>
        <v>0</v>
      </c>
      <c r="AG202" s="36">
        <f t="shared" ref="AG202:AH202" si="808">AG201</f>
        <v>0</v>
      </c>
      <c r="AH202" s="36">
        <f t="shared" si="808"/>
        <v>0</v>
      </c>
      <c r="AI202" s="36">
        <f t="shared" ref="AI202" si="809">AI201</f>
        <v>0</v>
      </c>
      <c r="AJ202" s="36">
        <f t="shared" si="784"/>
        <v>0</v>
      </c>
      <c r="AK202" s="36">
        <f t="shared" si="769"/>
        <v>0</v>
      </c>
      <c r="AL202" s="36">
        <f t="shared" si="769"/>
        <v>0</v>
      </c>
      <c r="AM202" s="36">
        <f t="shared" si="769"/>
        <v>0</v>
      </c>
      <c r="AN202" s="36">
        <f t="shared" si="769"/>
        <v>0</v>
      </c>
      <c r="AO202" s="36">
        <f t="shared" si="769"/>
        <v>0</v>
      </c>
      <c r="AP202" s="36">
        <f t="shared" si="769"/>
        <v>0</v>
      </c>
      <c r="AQ202" s="36">
        <f t="shared" si="769"/>
        <v>0</v>
      </c>
      <c r="AR202" s="36">
        <f t="shared" si="769"/>
        <v>0</v>
      </c>
      <c r="AS202" s="31" t="str">
        <f t="shared" si="749"/>
        <v>SimulationStorage,1,</v>
      </c>
      <c r="AT202" s="31" t="str">
        <f t="shared" si="750"/>
        <v>AnalysisStorage,1,</v>
      </c>
      <c r="AU202" s="31" t="str">
        <f t="shared" si="751"/>
        <v>LogRuleEvaluation,0,</v>
      </c>
      <c r="AV202" s="31" t="str">
        <f t="shared" si="752"/>
        <v>ParallelSimulations,1,</v>
      </c>
      <c r="AW202" s="31" t="str">
        <f t="shared" si="753"/>
        <v>DurationStats,0,</v>
      </c>
      <c r="AX202" s="31" t="str">
        <f t="shared" si="754"/>
        <v>AnalysisThruStep,8,</v>
      </c>
      <c r="AY202" s="31" t="str">
        <f t="shared" si="755"/>
        <v>DontAbortOnErrorsThruStep,8,</v>
      </c>
      <c r="AZ202" s="31" t="str">
        <f t="shared" si="756"/>
        <v>BypassValidFileChecks,1,</v>
      </c>
      <c r="BA202" s="31" t="str">
        <f t="shared" si="757"/>
        <v>BypassInputChecks,0,</v>
      </c>
      <c r="BB202" s="31" t="str">
        <f t="shared" si="758"/>
        <v>BypassUMLHChecks,0,</v>
      </c>
      <c r="BC202" s="31" t="str">
        <f t="shared" si="759"/>
        <v>BypassCheckSimRules,0,</v>
      </c>
      <c r="BD202" s="31" t="str">
        <f t="shared" si="760"/>
        <v>BypassCheckCodeRules,0,</v>
      </c>
      <c r="BE202" s="31" t="str">
        <f t="shared" si="718"/>
        <v>StoreResultsToModelInput,1,</v>
      </c>
      <c r="BF202" s="31" t="str">
        <f t="shared" si="719"/>
        <v>StoreBEMDetails,0,</v>
      </c>
      <c r="BG202" s="31" t="str">
        <f t="shared" si="720"/>
        <v>ModelRpt_ALL,1,</v>
      </c>
      <c r="BH202" s="31" t="str">
        <f t="shared" si="721"/>
        <v>ExportHourlyResults_All,0,</v>
      </c>
      <c r="BI202" s="31" t="str">
        <f t="shared" si="722"/>
        <v>ComplianceReportPDF,0,</v>
      </c>
      <c r="BJ202" s="31" t="str">
        <f t="shared" si="723"/>
        <v>ComplianceReportXML,0,</v>
      </c>
      <c r="BK202" s="31" t="str">
        <f t="shared" si="724"/>
        <v>QuickAnalysis,0,</v>
      </c>
      <c r="BL202" s="31" t="str">
        <f t="shared" si="724"/>
        <v>PromptUserUMLHWarning,0,</v>
      </c>
      <c r="BM202" s="31" t="str">
        <f t="shared" si="725"/>
        <v>BypassOpenStudio_all,0,</v>
      </c>
      <c r="BN202" s="31" t="str">
        <f t="shared" si="726"/>
        <v>BypassOpenStudio_zp,0,</v>
      </c>
      <c r="BO202" s="31" t="str">
        <f t="shared" si="727"/>
        <v>BypassOpenStudio_zb,0,</v>
      </c>
      <c r="BP202" s="31" t="str">
        <f t="shared" si="728"/>
        <v>BypassOpenStudio_ap,0,</v>
      </c>
      <c r="BQ202" s="31" t="str">
        <f t="shared" si="729"/>
        <v>BypassOpenStudio_ab,0,</v>
      </c>
      <c r="BR202" s="31" t="str">
        <f t="shared" si="730"/>
        <v>BypassOpenStudio_zp,0,</v>
      </c>
      <c r="BS202" s="31" t="str">
        <f t="shared" si="731"/>
        <v>BypassOpenStudio_zb,0,</v>
      </c>
      <c r="BT202" s="31" t="str">
        <f t="shared" si="732"/>
        <v>BypassOpenStudio_ap,0,</v>
      </c>
      <c r="BU202" s="31" t="str">
        <f t="shared" si="733"/>
        <v>BypassOpenStudio_ab,0,</v>
      </c>
    </row>
    <row r="203" spans="1:73" hidden="1" outlineLevel="1" x14ac:dyDescent="0.25">
      <c r="A203" s="39">
        <f t="shared" si="734"/>
        <v>0</v>
      </c>
      <c r="B203" s="27" t="str">
        <f t="shared" si="735"/>
        <v>SoftwareSensitivity2016Tests\DetailedGeometry\x.cibd16</v>
      </c>
      <c r="C203" s="27" t="str">
        <f t="shared" si="736"/>
        <v>BatchOut_171026_r5178_FinalRel-v3-SSTSG_SSTDG\x.cibd16</v>
      </c>
      <c r="D203" s="27" t="str">
        <f t="shared" si="737"/>
        <v>BatchOut_171026_r5178_FinalRel-v3-SSTSG_SSTDG\XML\</v>
      </c>
      <c r="E203" s="9" t="str">
        <f t="shared" si="738"/>
        <v>x</v>
      </c>
      <c r="F203" s="22"/>
      <c r="G203" s="29"/>
      <c r="H203" s="23" t="str">
        <f t="shared" si="739"/>
        <v/>
      </c>
      <c r="I203" s="9" t="s">
        <v>11</v>
      </c>
      <c r="J20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3" s="15" t="s">
        <v>1</v>
      </c>
      <c r="L203" s="92">
        <f t="shared" si="744"/>
        <v>0</v>
      </c>
      <c r="M203" s="91" t="str">
        <f t="shared" si="740"/>
        <v>x</v>
      </c>
      <c r="N203" s="90" t="s">
        <v>149</v>
      </c>
      <c r="O203" s="28" t="str">
        <f t="shared" si="745"/>
        <v>x</v>
      </c>
      <c r="P203" s="36">
        <f t="shared" si="788"/>
        <v>1</v>
      </c>
      <c r="Q203" s="36">
        <f t="shared" si="788"/>
        <v>1</v>
      </c>
      <c r="R203" s="36">
        <f t="shared" si="788"/>
        <v>0</v>
      </c>
      <c r="S203" s="36">
        <f t="shared" si="788"/>
        <v>1</v>
      </c>
      <c r="T203" s="36">
        <f t="shared" si="788"/>
        <v>0</v>
      </c>
      <c r="U203" s="36">
        <f t="shared" si="788"/>
        <v>8</v>
      </c>
      <c r="V203" s="36">
        <f t="shared" si="788"/>
        <v>8</v>
      </c>
      <c r="W203" s="36">
        <f t="shared" si="784"/>
        <v>1</v>
      </c>
      <c r="X203" s="36">
        <f t="shared" si="784"/>
        <v>0</v>
      </c>
      <c r="Y203" s="36">
        <f t="shared" si="784"/>
        <v>0</v>
      </c>
      <c r="Z203" s="36">
        <f t="shared" si="784"/>
        <v>0</v>
      </c>
      <c r="AA203" s="36">
        <f t="shared" si="784"/>
        <v>0</v>
      </c>
      <c r="AB203" s="36">
        <f t="shared" si="784"/>
        <v>1</v>
      </c>
      <c r="AC203" s="36">
        <f t="shared" si="784"/>
        <v>0</v>
      </c>
      <c r="AD203" s="36">
        <f t="shared" si="784"/>
        <v>1</v>
      </c>
      <c r="AE203" s="36">
        <f t="shared" ref="AE203:AF203" si="810">AE202</f>
        <v>0</v>
      </c>
      <c r="AF203" s="36">
        <f t="shared" si="810"/>
        <v>0</v>
      </c>
      <c r="AG203" s="36">
        <f t="shared" ref="AG203:AH203" si="811">AG202</f>
        <v>0</v>
      </c>
      <c r="AH203" s="36">
        <f t="shared" si="811"/>
        <v>0</v>
      </c>
      <c r="AI203" s="36">
        <f t="shared" ref="AI203" si="812">AI202</f>
        <v>0</v>
      </c>
      <c r="AJ203" s="36">
        <f t="shared" si="784"/>
        <v>0</v>
      </c>
      <c r="AK203" s="36">
        <f t="shared" si="784"/>
        <v>0</v>
      </c>
      <c r="AL203" s="36">
        <f t="shared" si="784"/>
        <v>0</v>
      </c>
      <c r="AM203" s="36">
        <f t="shared" si="784"/>
        <v>0</v>
      </c>
      <c r="AN203" s="36">
        <f t="shared" si="784"/>
        <v>0</v>
      </c>
      <c r="AO203" s="36">
        <f t="shared" si="784"/>
        <v>0</v>
      </c>
      <c r="AP203" s="36">
        <f t="shared" si="784"/>
        <v>0</v>
      </c>
      <c r="AQ203" s="36">
        <f t="shared" si="784"/>
        <v>0</v>
      </c>
      <c r="AR203" s="36">
        <f t="shared" ref="AR203:AR255" si="813">AR202</f>
        <v>0</v>
      </c>
      <c r="AS203" s="31" t="str">
        <f t="shared" si="749"/>
        <v>SimulationStorage,1,</v>
      </c>
      <c r="AT203" s="31" t="str">
        <f t="shared" si="750"/>
        <v>AnalysisStorage,1,</v>
      </c>
      <c r="AU203" s="31" t="str">
        <f t="shared" si="751"/>
        <v>LogRuleEvaluation,0,</v>
      </c>
      <c r="AV203" s="31" t="str">
        <f t="shared" si="752"/>
        <v>ParallelSimulations,1,</v>
      </c>
      <c r="AW203" s="31" t="str">
        <f t="shared" si="753"/>
        <v>DurationStats,0,</v>
      </c>
      <c r="AX203" s="31" t="str">
        <f t="shared" si="754"/>
        <v>AnalysisThruStep,8,</v>
      </c>
      <c r="AY203" s="31" t="str">
        <f t="shared" si="755"/>
        <v>DontAbortOnErrorsThruStep,8,</v>
      </c>
      <c r="AZ203" s="31" t="str">
        <f t="shared" si="756"/>
        <v>BypassValidFileChecks,1,</v>
      </c>
      <c r="BA203" s="31" t="str">
        <f t="shared" si="757"/>
        <v>BypassInputChecks,0,</v>
      </c>
      <c r="BB203" s="31" t="str">
        <f t="shared" si="758"/>
        <v>BypassUMLHChecks,0,</v>
      </c>
      <c r="BC203" s="31" t="str">
        <f t="shared" si="759"/>
        <v>BypassCheckSimRules,0,</v>
      </c>
      <c r="BD203" s="31" t="str">
        <f t="shared" si="760"/>
        <v>BypassCheckCodeRules,0,</v>
      </c>
      <c r="BE203" s="31" t="str">
        <f t="shared" si="718"/>
        <v>StoreResultsToModelInput,1,</v>
      </c>
      <c r="BF203" s="31" t="str">
        <f t="shared" si="719"/>
        <v>StoreBEMDetails,0,</v>
      </c>
      <c r="BG203" s="31" t="str">
        <f t="shared" si="720"/>
        <v>ModelRpt_ALL,1,</v>
      </c>
      <c r="BH203" s="31" t="str">
        <f t="shared" si="721"/>
        <v>ExportHourlyResults_All,0,</v>
      </c>
      <c r="BI203" s="31" t="str">
        <f t="shared" si="722"/>
        <v>ComplianceReportPDF,0,</v>
      </c>
      <c r="BJ203" s="31" t="str">
        <f t="shared" si="723"/>
        <v>ComplianceReportXML,0,</v>
      </c>
      <c r="BK203" s="31" t="str">
        <f t="shared" si="724"/>
        <v>QuickAnalysis,0,</v>
      </c>
      <c r="BL203" s="31" t="str">
        <f t="shared" si="724"/>
        <v>PromptUserUMLHWarning,0,</v>
      </c>
      <c r="BM203" s="31" t="str">
        <f t="shared" si="725"/>
        <v>BypassOpenStudio_all,0,</v>
      </c>
      <c r="BN203" s="31" t="str">
        <f t="shared" si="726"/>
        <v>BypassOpenStudio_zp,0,</v>
      </c>
      <c r="BO203" s="31" t="str">
        <f t="shared" si="727"/>
        <v>BypassOpenStudio_zb,0,</v>
      </c>
      <c r="BP203" s="31" t="str">
        <f t="shared" si="728"/>
        <v>BypassOpenStudio_ap,0,</v>
      </c>
      <c r="BQ203" s="31" t="str">
        <f t="shared" si="729"/>
        <v>BypassOpenStudio_ab,0,</v>
      </c>
      <c r="BR203" s="31" t="str">
        <f t="shared" si="730"/>
        <v>BypassOpenStudio_zp,0,</v>
      </c>
      <c r="BS203" s="31" t="str">
        <f t="shared" si="731"/>
        <v>BypassOpenStudio_zb,0,</v>
      </c>
      <c r="BT203" s="31" t="str">
        <f t="shared" si="732"/>
        <v>BypassOpenStudio_ap,0,</v>
      </c>
      <c r="BU203" s="31" t="str">
        <f t="shared" si="733"/>
        <v>BypassOpenStudio_ab,0,</v>
      </c>
    </row>
    <row r="204" spans="1:73" hidden="1" outlineLevel="1" x14ac:dyDescent="0.25">
      <c r="A204" s="39">
        <f t="shared" si="734"/>
        <v>0</v>
      </c>
      <c r="B204" s="27" t="str">
        <f t="shared" si="735"/>
        <v>SoftwareSensitivity2016Tests\DetailedGeometry\x.cibd16</v>
      </c>
      <c r="C204" s="27" t="str">
        <f t="shared" si="736"/>
        <v>BatchOut_171026_r5178_FinalRel-v3-SSTSG_SSTDG\x.cibd16</v>
      </c>
      <c r="D204" s="27" t="str">
        <f t="shared" si="737"/>
        <v>BatchOut_171026_r5178_FinalRel-v3-SSTSG_SSTDG\XML\</v>
      </c>
      <c r="E204" s="9" t="str">
        <f t="shared" si="738"/>
        <v>x</v>
      </c>
      <c r="F204" s="22"/>
      <c r="G204" s="29"/>
      <c r="H204" s="23" t="str">
        <f t="shared" si="739"/>
        <v/>
      </c>
      <c r="I204" s="9" t="s">
        <v>11</v>
      </c>
      <c r="J20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4" s="15" t="s">
        <v>1</v>
      </c>
      <c r="L204" s="92">
        <f t="shared" si="744"/>
        <v>0</v>
      </c>
      <c r="M204" s="91" t="str">
        <f t="shared" si="740"/>
        <v>x</v>
      </c>
      <c r="N204" s="90" t="s">
        <v>149</v>
      </c>
      <c r="O204" s="28" t="str">
        <f t="shared" si="745"/>
        <v>x</v>
      </c>
      <c r="P204" s="36">
        <f t="shared" si="788"/>
        <v>1</v>
      </c>
      <c r="Q204" s="36">
        <f t="shared" si="788"/>
        <v>1</v>
      </c>
      <c r="R204" s="36">
        <f t="shared" si="788"/>
        <v>0</v>
      </c>
      <c r="S204" s="36">
        <f t="shared" si="788"/>
        <v>1</v>
      </c>
      <c r="T204" s="36">
        <f t="shared" si="788"/>
        <v>0</v>
      </c>
      <c r="U204" s="36">
        <f t="shared" si="788"/>
        <v>8</v>
      </c>
      <c r="V204" s="36">
        <f t="shared" si="788"/>
        <v>8</v>
      </c>
      <c r="W204" s="36">
        <f t="shared" si="784"/>
        <v>1</v>
      </c>
      <c r="X204" s="36">
        <f t="shared" si="784"/>
        <v>0</v>
      </c>
      <c r="Y204" s="36">
        <f t="shared" si="784"/>
        <v>0</v>
      </c>
      <c r="Z204" s="36">
        <f t="shared" si="784"/>
        <v>0</v>
      </c>
      <c r="AA204" s="36">
        <f t="shared" si="784"/>
        <v>0</v>
      </c>
      <c r="AB204" s="36">
        <f t="shared" si="784"/>
        <v>1</v>
      </c>
      <c r="AC204" s="36">
        <f t="shared" si="784"/>
        <v>0</v>
      </c>
      <c r="AD204" s="36">
        <f t="shared" si="784"/>
        <v>1</v>
      </c>
      <c r="AE204" s="36">
        <f t="shared" ref="AE204:AF204" si="814">AE203</f>
        <v>0</v>
      </c>
      <c r="AF204" s="36">
        <f t="shared" si="814"/>
        <v>0</v>
      </c>
      <c r="AG204" s="36">
        <f t="shared" ref="AG204:AH204" si="815">AG203</f>
        <v>0</v>
      </c>
      <c r="AH204" s="36">
        <f t="shared" si="815"/>
        <v>0</v>
      </c>
      <c r="AI204" s="36">
        <f t="shared" ref="AI204" si="816">AI203</f>
        <v>0</v>
      </c>
      <c r="AJ204" s="36">
        <f t="shared" si="784"/>
        <v>0</v>
      </c>
      <c r="AK204" s="36">
        <f t="shared" si="784"/>
        <v>0</v>
      </c>
      <c r="AL204" s="36">
        <f t="shared" si="784"/>
        <v>0</v>
      </c>
      <c r="AM204" s="36">
        <f t="shared" si="784"/>
        <v>0</v>
      </c>
      <c r="AN204" s="36">
        <f t="shared" si="784"/>
        <v>0</v>
      </c>
      <c r="AO204" s="36">
        <f t="shared" si="784"/>
        <v>0</v>
      </c>
      <c r="AP204" s="36">
        <f t="shared" si="784"/>
        <v>0</v>
      </c>
      <c r="AQ204" s="36">
        <f t="shared" si="784"/>
        <v>0</v>
      </c>
      <c r="AR204" s="36">
        <f t="shared" si="813"/>
        <v>0</v>
      </c>
      <c r="AS204" s="31" t="str">
        <f t="shared" si="749"/>
        <v>SimulationStorage,1,</v>
      </c>
      <c r="AT204" s="31" t="str">
        <f t="shared" si="750"/>
        <v>AnalysisStorage,1,</v>
      </c>
      <c r="AU204" s="31" t="str">
        <f t="shared" si="751"/>
        <v>LogRuleEvaluation,0,</v>
      </c>
      <c r="AV204" s="31" t="str">
        <f t="shared" si="752"/>
        <v>ParallelSimulations,1,</v>
      </c>
      <c r="AW204" s="31" t="str">
        <f t="shared" si="753"/>
        <v>DurationStats,0,</v>
      </c>
      <c r="AX204" s="31" t="str">
        <f t="shared" si="754"/>
        <v>AnalysisThruStep,8,</v>
      </c>
      <c r="AY204" s="31" t="str">
        <f t="shared" si="755"/>
        <v>DontAbortOnErrorsThruStep,8,</v>
      </c>
      <c r="AZ204" s="31" t="str">
        <f t="shared" si="756"/>
        <v>BypassValidFileChecks,1,</v>
      </c>
      <c r="BA204" s="31" t="str">
        <f t="shared" si="757"/>
        <v>BypassInputChecks,0,</v>
      </c>
      <c r="BB204" s="31" t="str">
        <f t="shared" si="758"/>
        <v>BypassUMLHChecks,0,</v>
      </c>
      <c r="BC204" s="31" t="str">
        <f t="shared" si="759"/>
        <v>BypassCheckSimRules,0,</v>
      </c>
      <c r="BD204" s="31" t="str">
        <f t="shared" si="760"/>
        <v>BypassCheckCodeRules,0,</v>
      </c>
      <c r="BE204" s="31" t="str">
        <f t="shared" si="718"/>
        <v>StoreResultsToModelInput,1,</v>
      </c>
      <c r="BF204" s="31" t="str">
        <f t="shared" si="719"/>
        <v>StoreBEMDetails,0,</v>
      </c>
      <c r="BG204" s="31" t="str">
        <f t="shared" si="720"/>
        <v>ModelRpt_ALL,1,</v>
      </c>
      <c r="BH204" s="31" t="str">
        <f t="shared" si="721"/>
        <v>ExportHourlyResults_All,0,</v>
      </c>
      <c r="BI204" s="31" t="str">
        <f t="shared" si="722"/>
        <v>ComplianceReportPDF,0,</v>
      </c>
      <c r="BJ204" s="31" t="str">
        <f t="shared" si="723"/>
        <v>ComplianceReportXML,0,</v>
      </c>
      <c r="BK204" s="31" t="str">
        <f t="shared" si="724"/>
        <v>QuickAnalysis,0,</v>
      </c>
      <c r="BL204" s="31" t="str">
        <f t="shared" si="724"/>
        <v>PromptUserUMLHWarning,0,</v>
      </c>
      <c r="BM204" s="31" t="str">
        <f t="shared" si="725"/>
        <v>BypassOpenStudio_all,0,</v>
      </c>
      <c r="BN204" s="31" t="str">
        <f t="shared" si="726"/>
        <v>BypassOpenStudio_zp,0,</v>
      </c>
      <c r="BO204" s="31" t="str">
        <f t="shared" si="727"/>
        <v>BypassOpenStudio_zb,0,</v>
      </c>
      <c r="BP204" s="31" t="str">
        <f t="shared" si="728"/>
        <v>BypassOpenStudio_ap,0,</v>
      </c>
      <c r="BQ204" s="31" t="str">
        <f t="shared" si="729"/>
        <v>BypassOpenStudio_ab,0,</v>
      </c>
      <c r="BR204" s="31" t="str">
        <f t="shared" si="730"/>
        <v>BypassOpenStudio_zp,0,</v>
      </c>
      <c r="BS204" s="31" t="str">
        <f t="shared" si="731"/>
        <v>BypassOpenStudio_zb,0,</v>
      </c>
      <c r="BT204" s="31" t="str">
        <f t="shared" si="732"/>
        <v>BypassOpenStudio_ap,0,</v>
      </c>
      <c r="BU204" s="31" t="str">
        <f t="shared" si="733"/>
        <v>BypassOpenStudio_ab,0,</v>
      </c>
    </row>
    <row r="205" spans="1:73" hidden="1" outlineLevel="1" x14ac:dyDescent="0.25">
      <c r="A205" s="39">
        <f t="shared" si="734"/>
        <v>0</v>
      </c>
      <c r="B205" s="27" t="str">
        <f t="shared" si="735"/>
        <v>SoftwareSensitivity2016Tests\DetailedGeometry\x.cibd16</v>
      </c>
      <c r="C205" s="27" t="str">
        <f t="shared" si="736"/>
        <v>BatchOut_171026_r5178_FinalRel-v3-SSTSG_SSTDG\x.cibd16</v>
      </c>
      <c r="D205" s="27" t="str">
        <f t="shared" si="737"/>
        <v>BatchOut_171026_r5178_FinalRel-v3-SSTSG_SSTDG\XML\</v>
      </c>
      <c r="E205" s="9" t="str">
        <f t="shared" si="738"/>
        <v>x</v>
      </c>
      <c r="F205" s="22"/>
      <c r="G205" s="29"/>
      <c r="H205" s="23" t="str">
        <f t="shared" si="739"/>
        <v/>
      </c>
      <c r="I205" s="9" t="s">
        <v>11</v>
      </c>
      <c r="J20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5" s="15" t="s">
        <v>1</v>
      </c>
      <c r="L205" s="92">
        <f t="shared" si="744"/>
        <v>0</v>
      </c>
      <c r="M205" s="91" t="str">
        <f t="shared" si="740"/>
        <v>x</v>
      </c>
      <c r="N205" s="90" t="s">
        <v>149</v>
      </c>
      <c r="O205" s="28" t="str">
        <f t="shared" si="745"/>
        <v>x</v>
      </c>
      <c r="P205" s="36">
        <f t="shared" si="788"/>
        <v>1</v>
      </c>
      <c r="Q205" s="36">
        <f t="shared" si="788"/>
        <v>1</v>
      </c>
      <c r="R205" s="36">
        <f t="shared" si="788"/>
        <v>0</v>
      </c>
      <c r="S205" s="36">
        <f t="shared" si="788"/>
        <v>1</v>
      </c>
      <c r="T205" s="36">
        <f t="shared" si="788"/>
        <v>0</v>
      </c>
      <c r="U205" s="36">
        <f t="shared" si="788"/>
        <v>8</v>
      </c>
      <c r="V205" s="36">
        <f t="shared" si="788"/>
        <v>8</v>
      </c>
      <c r="W205" s="36">
        <f t="shared" si="784"/>
        <v>1</v>
      </c>
      <c r="X205" s="36">
        <f t="shared" si="784"/>
        <v>0</v>
      </c>
      <c r="Y205" s="36">
        <f t="shared" si="784"/>
        <v>0</v>
      </c>
      <c r="Z205" s="36">
        <f t="shared" si="784"/>
        <v>0</v>
      </c>
      <c r="AA205" s="36">
        <f t="shared" si="784"/>
        <v>0</v>
      </c>
      <c r="AB205" s="36">
        <f t="shared" si="784"/>
        <v>1</v>
      </c>
      <c r="AC205" s="36">
        <f t="shared" si="784"/>
        <v>0</v>
      </c>
      <c r="AD205" s="36">
        <f t="shared" si="784"/>
        <v>1</v>
      </c>
      <c r="AE205" s="36">
        <f t="shared" ref="AE205:AF205" si="817">AE204</f>
        <v>0</v>
      </c>
      <c r="AF205" s="36">
        <f t="shared" si="817"/>
        <v>0</v>
      </c>
      <c r="AG205" s="36">
        <f t="shared" ref="AG205:AH205" si="818">AG204</f>
        <v>0</v>
      </c>
      <c r="AH205" s="36">
        <f t="shared" si="818"/>
        <v>0</v>
      </c>
      <c r="AI205" s="36">
        <f t="shared" ref="AI205" si="819">AI204</f>
        <v>0</v>
      </c>
      <c r="AJ205" s="36">
        <f t="shared" si="784"/>
        <v>0</v>
      </c>
      <c r="AK205" s="36">
        <f t="shared" si="784"/>
        <v>0</v>
      </c>
      <c r="AL205" s="36">
        <f t="shared" si="784"/>
        <v>0</v>
      </c>
      <c r="AM205" s="36">
        <f t="shared" si="784"/>
        <v>0</v>
      </c>
      <c r="AN205" s="36">
        <f t="shared" si="784"/>
        <v>0</v>
      </c>
      <c r="AO205" s="36">
        <f t="shared" si="784"/>
        <v>0</v>
      </c>
      <c r="AP205" s="36">
        <f t="shared" si="784"/>
        <v>0</v>
      </c>
      <c r="AQ205" s="36">
        <f t="shared" si="784"/>
        <v>0</v>
      </c>
      <c r="AR205" s="36">
        <f t="shared" si="813"/>
        <v>0</v>
      </c>
      <c r="AS205" s="31" t="str">
        <f t="shared" si="749"/>
        <v>SimulationStorage,1,</v>
      </c>
      <c r="AT205" s="31" t="str">
        <f t="shared" si="750"/>
        <v>AnalysisStorage,1,</v>
      </c>
      <c r="AU205" s="31" t="str">
        <f t="shared" si="751"/>
        <v>LogRuleEvaluation,0,</v>
      </c>
      <c r="AV205" s="31" t="str">
        <f t="shared" si="752"/>
        <v>ParallelSimulations,1,</v>
      </c>
      <c r="AW205" s="31" t="str">
        <f t="shared" si="753"/>
        <v>DurationStats,0,</v>
      </c>
      <c r="AX205" s="31" t="str">
        <f t="shared" si="754"/>
        <v>AnalysisThruStep,8,</v>
      </c>
      <c r="AY205" s="31" t="str">
        <f t="shared" si="755"/>
        <v>DontAbortOnErrorsThruStep,8,</v>
      </c>
      <c r="AZ205" s="31" t="str">
        <f t="shared" si="756"/>
        <v>BypassValidFileChecks,1,</v>
      </c>
      <c r="BA205" s="31" t="str">
        <f t="shared" si="757"/>
        <v>BypassInputChecks,0,</v>
      </c>
      <c r="BB205" s="31" t="str">
        <f t="shared" si="758"/>
        <v>BypassUMLHChecks,0,</v>
      </c>
      <c r="BC205" s="31" t="str">
        <f t="shared" si="759"/>
        <v>BypassCheckSimRules,0,</v>
      </c>
      <c r="BD205" s="31" t="str">
        <f t="shared" si="760"/>
        <v>BypassCheckCodeRules,0,</v>
      </c>
      <c r="BE205" s="31" t="str">
        <f t="shared" si="718"/>
        <v>StoreResultsToModelInput,1,</v>
      </c>
      <c r="BF205" s="31" t="str">
        <f t="shared" si="719"/>
        <v>StoreBEMDetails,0,</v>
      </c>
      <c r="BG205" s="31" t="str">
        <f t="shared" si="720"/>
        <v>ModelRpt_ALL,1,</v>
      </c>
      <c r="BH205" s="31" t="str">
        <f t="shared" si="721"/>
        <v>ExportHourlyResults_All,0,</v>
      </c>
      <c r="BI205" s="31" t="str">
        <f t="shared" si="722"/>
        <v>ComplianceReportPDF,0,</v>
      </c>
      <c r="BJ205" s="31" t="str">
        <f t="shared" si="723"/>
        <v>ComplianceReportXML,0,</v>
      </c>
      <c r="BK205" s="31" t="str">
        <f t="shared" si="724"/>
        <v>QuickAnalysis,0,</v>
      </c>
      <c r="BL205" s="31" t="str">
        <f t="shared" si="724"/>
        <v>PromptUserUMLHWarning,0,</v>
      </c>
      <c r="BM205" s="31" t="str">
        <f t="shared" si="725"/>
        <v>BypassOpenStudio_all,0,</v>
      </c>
      <c r="BN205" s="31" t="str">
        <f t="shared" si="726"/>
        <v>BypassOpenStudio_zp,0,</v>
      </c>
      <c r="BO205" s="31" t="str">
        <f t="shared" si="727"/>
        <v>BypassOpenStudio_zb,0,</v>
      </c>
      <c r="BP205" s="31" t="str">
        <f t="shared" si="728"/>
        <v>BypassOpenStudio_ap,0,</v>
      </c>
      <c r="BQ205" s="31" t="str">
        <f t="shared" si="729"/>
        <v>BypassOpenStudio_ab,0,</v>
      </c>
      <c r="BR205" s="31" t="str">
        <f t="shared" si="730"/>
        <v>BypassOpenStudio_zp,0,</v>
      </c>
      <c r="BS205" s="31" t="str">
        <f t="shared" si="731"/>
        <v>BypassOpenStudio_zb,0,</v>
      </c>
      <c r="BT205" s="31" t="str">
        <f t="shared" si="732"/>
        <v>BypassOpenStudio_ap,0,</v>
      </c>
      <c r="BU205" s="31" t="str">
        <f t="shared" si="733"/>
        <v>BypassOpenStudio_ab,0,</v>
      </c>
    </row>
    <row r="206" spans="1:73" hidden="1" outlineLevel="1" x14ac:dyDescent="0.25">
      <c r="A206" s="39">
        <f t="shared" si="734"/>
        <v>0</v>
      </c>
      <c r="B206" s="27" t="str">
        <f t="shared" si="735"/>
        <v>SoftwareSensitivity2016Tests\DetailedGeometry\x.cibd16</v>
      </c>
      <c r="C206" s="27" t="str">
        <f t="shared" si="736"/>
        <v>BatchOut_171026_r5178_FinalRel-v3-SSTSG_SSTDG\x.cibd16</v>
      </c>
      <c r="D206" s="27" t="str">
        <f t="shared" si="737"/>
        <v>BatchOut_171026_r5178_FinalRel-v3-SSTSG_SSTDG\XML\</v>
      </c>
      <c r="E206" s="9" t="str">
        <f t="shared" si="738"/>
        <v>x</v>
      </c>
      <c r="F206" s="22"/>
      <c r="G206" s="29"/>
      <c r="H206" s="23" t="str">
        <f t="shared" si="739"/>
        <v/>
      </c>
      <c r="I206" s="9" t="s">
        <v>11</v>
      </c>
      <c r="J20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6" s="15" t="s">
        <v>1</v>
      </c>
      <c r="L206" s="92">
        <f t="shared" si="744"/>
        <v>0</v>
      </c>
      <c r="M206" s="91" t="str">
        <f t="shared" si="740"/>
        <v>x</v>
      </c>
      <c r="N206" s="90" t="s">
        <v>149</v>
      </c>
      <c r="O206" s="28" t="str">
        <f t="shared" si="745"/>
        <v>x</v>
      </c>
      <c r="P206" s="36">
        <f t="shared" si="788"/>
        <v>1</v>
      </c>
      <c r="Q206" s="36">
        <f t="shared" si="788"/>
        <v>1</v>
      </c>
      <c r="R206" s="36">
        <f t="shared" si="788"/>
        <v>0</v>
      </c>
      <c r="S206" s="36">
        <f t="shared" si="788"/>
        <v>1</v>
      </c>
      <c r="T206" s="36">
        <f t="shared" si="788"/>
        <v>0</v>
      </c>
      <c r="U206" s="36">
        <f t="shared" si="788"/>
        <v>8</v>
      </c>
      <c r="V206" s="36">
        <f t="shared" si="788"/>
        <v>8</v>
      </c>
      <c r="W206" s="36">
        <f t="shared" si="784"/>
        <v>1</v>
      </c>
      <c r="X206" s="36">
        <f t="shared" si="784"/>
        <v>0</v>
      </c>
      <c r="Y206" s="36">
        <f t="shared" si="784"/>
        <v>0</v>
      </c>
      <c r="Z206" s="36">
        <f t="shared" si="784"/>
        <v>0</v>
      </c>
      <c r="AA206" s="36">
        <f t="shared" si="784"/>
        <v>0</v>
      </c>
      <c r="AB206" s="36">
        <f t="shared" si="784"/>
        <v>1</v>
      </c>
      <c r="AC206" s="36">
        <f t="shared" si="784"/>
        <v>0</v>
      </c>
      <c r="AD206" s="36">
        <f t="shared" si="784"/>
        <v>1</v>
      </c>
      <c r="AE206" s="36">
        <f t="shared" ref="AE206:AF206" si="820">AE205</f>
        <v>0</v>
      </c>
      <c r="AF206" s="36">
        <f t="shared" si="820"/>
        <v>0</v>
      </c>
      <c r="AG206" s="36">
        <f t="shared" ref="AG206:AH206" si="821">AG205</f>
        <v>0</v>
      </c>
      <c r="AH206" s="36">
        <f t="shared" si="821"/>
        <v>0</v>
      </c>
      <c r="AI206" s="36">
        <f t="shared" ref="AI206" si="822">AI205</f>
        <v>0</v>
      </c>
      <c r="AJ206" s="36">
        <f t="shared" si="784"/>
        <v>0</v>
      </c>
      <c r="AK206" s="36">
        <f t="shared" si="784"/>
        <v>0</v>
      </c>
      <c r="AL206" s="36">
        <f t="shared" si="784"/>
        <v>0</v>
      </c>
      <c r="AM206" s="36">
        <f t="shared" si="784"/>
        <v>0</v>
      </c>
      <c r="AN206" s="36">
        <f t="shared" si="784"/>
        <v>0</v>
      </c>
      <c r="AO206" s="36">
        <f t="shared" si="784"/>
        <v>0</v>
      </c>
      <c r="AP206" s="36">
        <f t="shared" si="784"/>
        <v>0</v>
      </c>
      <c r="AQ206" s="36">
        <f t="shared" si="784"/>
        <v>0</v>
      </c>
      <c r="AR206" s="36">
        <f t="shared" si="813"/>
        <v>0</v>
      </c>
      <c r="AS206" s="31" t="str">
        <f t="shared" si="749"/>
        <v>SimulationStorage,1,</v>
      </c>
      <c r="AT206" s="31" t="str">
        <f t="shared" si="750"/>
        <v>AnalysisStorage,1,</v>
      </c>
      <c r="AU206" s="31" t="str">
        <f t="shared" si="751"/>
        <v>LogRuleEvaluation,0,</v>
      </c>
      <c r="AV206" s="31" t="str">
        <f t="shared" si="752"/>
        <v>ParallelSimulations,1,</v>
      </c>
      <c r="AW206" s="31" t="str">
        <f t="shared" si="753"/>
        <v>DurationStats,0,</v>
      </c>
      <c r="AX206" s="31" t="str">
        <f t="shared" si="754"/>
        <v>AnalysisThruStep,8,</v>
      </c>
      <c r="AY206" s="31" t="str">
        <f t="shared" si="755"/>
        <v>DontAbortOnErrorsThruStep,8,</v>
      </c>
      <c r="AZ206" s="31" t="str">
        <f t="shared" si="756"/>
        <v>BypassValidFileChecks,1,</v>
      </c>
      <c r="BA206" s="31" t="str">
        <f t="shared" si="757"/>
        <v>BypassInputChecks,0,</v>
      </c>
      <c r="BB206" s="31" t="str">
        <f t="shared" si="758"/>
        <v>BypassUMLHChecks,0,</v>
      </c>
      <c r="BC206" s="31" t="str">
        <f t="shared" si="759"/>
        <v>BypassCheckSimRules,0,</v>
      </c>
      <c r="BD206" s="31" t="str">
        <f t="shared" si="760"/>
        <v>BypassCheckCodeRules,0,</v>
      </c>
      <c r="BE206" s="31" t="str">
        <f t="shared" si="718"/>
        <v>StoreResultsToModelInput,1,</v>
      </c>
      <c r="BF206" s="31" t="str">
        <f t="shared" si="719"/>
        <v>StoreBEMDetails,0,</v>
      </c>
      <c r="BG206" s="31" t="str">
        <f t="shared" si="720"/>
        <v>ModelRpt_ALL,1,</v>
      </c>
      <c r="BH206" s="31" t="str">
        <f t="shared" si="721"/>
        <v>ExportHourlyResults_All,0,</v>
      </c>
      <c r="BI206" s="31" t="str">
        <f t="shared" si="722"/>
        <v>ComplianceReportPDF,0,</v>
      </c>
      <c r="BJ206" s="31" t="str">
        <f t="shared" si="723"/>
        <v>ComplianceReportXML,0,</v>
      </c>
      <c r="BK206" s="31" t="str">
        <f t="shared" si="724"/>
        <v>QuickAnalysis,0,</v>
      </c>
      <c r="BL206" s="31" t="str">
        <f t="shared" si="724"/>
        <v>PromptUserUMLHWarning,0,</v>
      </c>
      <c r="BM206" s="31" t="str">
        <f t="shared" si="725"/>
        <v>BypassOpenStudio_all,0,</v>
      </c>
      <c r="BN206" s="31" t="str">
        <f t="shared" si="726"/>
        <v>BypassOpenStudio_zp,0,</v>
      </c>
      <c r="BO206" s="31" t="str">
        <f t="shared" si="727"/>
        <v>BypassOpenStudio_zb,0,</v>
      </c>
      <c r="BP206" s="31" t="str">
        <f t="shared" si="728"/>
        <v>BypassOpenStudio_ap,0,</v>
      </c>
      <c r="BQ206" s="31" t="str">
        <f t="shared" si="729"/>
        <v>BypassOpenStudio_ab,0,</v>
      </c>
      <c r="BR206" s="31" t="str">
        <f t="shared" si="730"/>
        <v>BypassOpenStudio_zp,0,</v>
      </c>
      <c r="BS206" s="31" t="str">
        <f t="shared" si="731"/>
        <v>BypassOpenStudio_zb,0,</v>
      </c>
      <c r="BT206" s="31" t="str">
        <f t="shared" si="732"/>
        <v>BypassOpenStudio_ap,0,</v>
      </c>
      <c r="BU206" s="31" t="str">
        <f t="shared" si="733"/>
        <v>BypassOpenStudio_ab,0,</v>
      </c>
    </row>
    <row r="207" spans="1:73" hidden="1" outlineLevel="1" x14ac:dyDescent="0.25">
      <c r="A207" s="39">
        <f t="shared" si="734"/>
        <v>0</v>
      </c>
      <c r="B207" s="27" t="str">
        <f t="shared" si="735"/>
        <v>SoftwareSensitivity2016Tests\DetailedGeometry\x.cibd16</v>
      </c>
      <c r="C207" s="27" t="str">
        <f t="shared" si="736"/>
        <v>BatchOut_171026_r5178_FinalRel-v3-SSTSG_SSTDG\x.cibd16</v>
      </c>
      <c r="D207" s="27" t="str">
        <f t="shared" si="737"/>
        <v>BatchOut_171026_r5178_FinalRel-v3-SSTSG_SSTDG\XML\</v>
      </c>
      <c r="E207" s="9" t="str">
        <f t="shared" si="738"/>
        <v>x</v>
      </c>
      <c r="F207" s="22"/>
      <c r="G207" s="29"/>
      <c r="H207" s="23" t="str">
        <f t="shared" si="739"/>
        <v/>
      </c>
      <c r="I207" s="9" t="s">
        <v>11</v>
      </c>
      <c r="J20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7" s="15" t="s">
        <v>1</v>
      </c>
      <c r="L207" s="92">
        <f t="shared" si="744"/>
        <v>0</v>
      </c>
      <c r="M207" s="91" t="str">
        <f t="shared" si="740"/>
        <v>x</v>
      </c>
      <c r="N207" s="90" t="s">
        <v>149</v>
      </c>
      <c r="O207" s="28" t="str">
        <f t="shared" si="745"/>
        <v>x</v>
      </c>
      <c r="P207" s="36">
        <f t="shared" si="788"/>
        <v>1</v>
      </c>
      <c r="Q207" s="36">
        <f t="shared" si="788"/>
        <v>1</v>
      </c>
      <c r="R207" s="36">
        <f t="shared" si="788"/>
        <v>0</v>
      </c>
      <c r="S207" s="36">
        <f t="shared" si="788"/>
        <v>1</v>
      </c>
      <c r="T207" s="36">
        <f t="shared" si="788"/>
        <v>0</v>
      </c>
      <c r="U207" s="36">
        <f t="shared" si="788"/>
        <v>8</v>
      </c>
      <c r="V207" s="36">
        <f t="shared" si="788"/>
        <v>8</v>
      </c>
      <c r="W207" s="36">
        <f t="shared" si="784"/>
        <v>1</v>
      </c>
      <c r="X207" s="36">
        <f t="shared" si="784"/>
        <v>0</v>
      </c>
      <c r="Y207" s="36">
        <f t="shared" si="784"/>
        <v>0</v>
      </c>
      <c r="Z207" s="36">
        <f t="shared" si="784"/>
        <v>0</v>
      </c>
      <c r="AA207" s="36">
        <f t="shared" si="784"/>
        <v>0</v>
      </c>
      <c r="AB207" s="36">
        <f t="shared" si="784"/>
        <v>1</v>
      </c>
      <c r="AC207" s="36">
        <f t="shared" si="784"/>
        <v>0</v>
      </c>
      <c r="AD207" s="36">
        <f t="shared" si="784"/>
        <v>1</v>
      </c>
      <c r="AE207" s="36">
        <f t="shared" ref="AE207:AF207" si="823">AE206</f>
        <v>0</v>
      </c>
      <c r="AF207" s="36">
        <f t="shared" si="823"/>
        <v>0</v>
      </c>
      <c r="AG207" s="36">
        <f t="shared" ref="AG207:AH207" si="824">AG206</f>
        <v>0</v>
      </c>
      <c r="AH207" s="36">
        <f t="shared" si="824"/>
        <v>0</v>
      </c>
      <c r="AI207" s="36">
        <f t="shared" ref="AI207" si="825">AI206</f>
        <v>0</v>
      </c>
      <c r="AJ207" s="36">
        <f t="shared" si="784"/>
        <v>0</v>
      </c>
      <c r="AK207" s="36">
        <f t="shared" si="784"/>
        <v>0</v>
      </c>
      <c r="AL207" s="36">
        <f t="shared" si="784"/>
        <v>0</v>
      </c>
      <c r="AM207" s="36">
        <f t="shared" si="784"/>
        <v>0</v>
      </c>
      <c r="AN207" s="36">
        <f t="shared" si="784"/>
        <v>0</v>
      </c>
      <c r="AO207" s="36">
        <f t="shared" si="784"/>
        <v>0</v>
      </c>
      <c r="AP207" s="36">
        <f t="shared" si="784"/>
        <v>0</v>
      </c>
      <c r="AQ207" s="36">
        <f t="shared" si="784"/>
        <v>0</v>
      </c>
      <c r="AR207" s="36">
        <f t="shared" si="813"/>
        <v>0</v>
      </c>
      <c r="AS207" s="31" t="str">
        <f t="shared" si="749"/>
        <v>SimulationStorage,1,</v>
      </c>
      <c r="AT207" s="31" t="str">
        <f t="shared" si="750"/>
        <v>AnalysisStorage,1,</v>
      </c>
      <c r="AU207" s="31" t="str">
        <f t="shared" si="751"/>
        <v>LogRuleEvaluation,0,</v>
      </c>
      <c r="AV207" s="31" t="str">
        <f t="shared" si="752"/>
        <v>ParallelSimulations,1,</v>
      </c>
      <c r="AW207" s="31" t="str">
        <f t="shared" si="753"/>
        <v>DurationStats,0,</v>
      </c>
      <c r="AX207" s="31" t="str">
        <f t="shared" si="754"/>
        <v>AnalysisThruStep,8,</v>
      </c>
      <c r="AY207" s="31" t="str">
        <f t="shared" si="755"/>
        <v>DontAbortOnErrorsThruStep,8,</v>
      </c>
      <c r="AZ207" s="31" t="str">
        <f t="shared" si="756"/>
        <v>BypassValidFileChecks,1,</v>
      </c>
      <c r="BA207" s="31" t="str">
        <f t="shared" si="757"/>
        <v>BypassInputChecks,0,</v>
      </c>
      <c r="BB207" s="31" t="str">
        <f t="shared" si="758"/>
        <v>BypassUMLHChecks,0,</v>
      </c>
      <c r="BC207" s="31" t="str">
        <f t="shared" si="759"/>
        <v>BypassCheckSimRules,0,</v>
      </c>
      <c r="BD207" s="31" t="str">
        <f t="shared" si="760"/>
        <v>BypassCheckCodeRules,0,</v>
      </c>
      <c r="BE207" s="31" t="str">
        <f t="shared" si="718"/>
        <v>StoreResultsToModelInput,1,</v>
      </c>
      <c r="BF207" s="31" t="str">
        <f t="shared" si="719"/>
        <v>StoreBEMDetails,0,</v>
      </c>
      <c r="BG207" s="31" t="str">
        <f t="shared" si="720"/>
        <v>ModelRpt_ALL,1,</v>
      </c>
      <c r="BH207" s="31" t="str">
        <f t="shared" si="721"/>
        <v>ExportHourlyResults_All,0,</v>
      </c>
      <c r="BI207" s="31" t="str">
        <f t="shared" si="722"/>
        <v>ComplianceReportPDF,0,</v>
      </c>
      <c r="BJ207" s="31" t="str">
        <f t="shared" si="723"/>
        <v>ComplianceReportXML,0,</v>
      </c>
      <c r="BK207" s="31" t="str">
        <f t="shared" si="724"/>
        <v>QuickAnalysis,0,</v>
      </c>
      <c r="BL207" s="31" t="str">
        <f t="shared" si="724"/>
        <v>PromptUserUMLHWarning,0,</v>
      </c>
      <c r="BM207" s="31" t="str">
        <f t="shared" si="725"/>
        <v>BypassOpenStudio_all,0,</v>
      </c>
      <c r="BN207" s="31" t="str">
        <f t="shared" si="726"/>
        <v>BypassOpenStudio_zp,0,</v>
      </c>
      <c r="BO207" s="31" t="str">
        <f t="shared" si="727"/>
        <v>BypassOpenStudio_zb,0,</v>
      </c>
      <c r="BP207" s="31" t="str">
        <f t="shared" si="728"/>
        <v>BypassOpenStudio_ap,0,</v>
      </c>
      <c r="BQ207" s="31" t="str">
        <f t="shared" si="729"/>
        <v>BypassOpenStudio_ab,0,</v>
      </c>
      <c r="BR207" s="31" t="str">
        <f t="shared" si="730"/>
        <v>BypassOpenStudio_zp,0,</v>
      </c>
      <c r="BS207" s="31" t="str">
        <f t="shared" si="731"/>
        <v>BypassOpenStudio_zb,0,</v>
      </c>
      <c r="BT207" s="31" t="str">
        <f t="shared" si="732"/>
        <v>BypassOpenStudio_ap,0,</v>
      </c>
      <c r="BU207" s="31" t="str">
        <f t="shared" si="733"/>
        <v>BypassOpenStudio_ab,0,</v>
      </c>
    </row>
    <row r="208" spans="1:73" hidden="1" outlineLevel="1" x14ac:dyDescent="0.25">
      <c r="A208" s="39">
        <f t="shared" si="734"/>
        <v>0</v>
      </c>
      <c r="B208" s="27" t="str">
        <f t="shared" si="735"/>
        <v>SoftwareSensitivity2016Tests\DetailedGeometry\x.cibd16</v>
      </c>
      <c r="C208" s="27" t="str">
        <f t="shared" si="736"/>
        <v>BatchOut_171026_r5178_FinalRel-v3-SSTSG_SSTDG\x.cibd16</v>
      </c>
      <c r="D208" s="27" t="str">
        <f t="shared" si="737"/>
        <v>BatchOut_171026_r5178_FinalRel-v3-SSTSG_SSTDG\XML\</v>
      </c>
      <c r="E208" s="9" t="str">
        <f t="shared" si="738"/>
        <v>x</v>
      </c>
      <c r="F208" s="22"/>
      <c r="G208" s="29"/>
      <c r="H208" s="23" t="str">
        <f t="shared" si="739"/>
        <v/>
      </c>
      <c r="I208" s="9" t="s">
        <v>11</v>
      </c>
      <c r="J20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8" s="15" t="s">
        <v>1</v>
      </c>
      <c r="L208" s="92">
        <f t="shared" si="744"/>
        <v>0</v>
      </c>
      <c r="M208" s="91" t="str">
        <f t="shared" si="740"/>
        <v>x</v>
      </c>
      <c r="N208" s="90" t="s">
        <v>149</v>
      </c>
      <c r="O208" s="28" t="str">
        <f t="shared" si="745"/>
        <v>x</v>
      </c>
      <c r="P208" s="36">
        <f t="shared" si="788"/>
        <v>1</v>
      </c>
      <c r="Q208" s="36">
        <f t="shared" si="788"/>
        <v>1</v>
      </c>
      <c r="R208" s="36">
        <f t="shared" si="788"/>
        <v>0</v>
      </c>
      <c r="S208" s="36">
        <f t="shared" si="788"/>
        <v>1</v>
      </c>
      <c r="T208" s="36">
        <f t="shared" si="788"/>
        <v>0</v>
      </c>
      <c r="U208" s="36">
        <f t="shared" si="788"/>
        <v>8</v>
      </c>
      <c r="V208" s="36">
        <f t="shared" si="788"/>
        <v>8</v>
      </c>
      <c r="W208" s="36">
        <f t="shared" si="784"/>
        <v>1</v>
      </c>
      <c r="X208" s="36">
        <f t="shared" si="784"/>
        <v>0</v>
      </c>
      <c r="Y208" s="36">
        <f t="shared" si="784"/>
        <v>0</v>
      </c>
      <c r="Z208" s="36">
        <f t="shared" si="784"/>
        <v>0</v>
      </c>
      <c r="AA208" s="36">
        <f t="shared" si="784"/>
        <v>0</v>
      </c>
      <c r="AB208" s="36">
        <f t="shared" si="784"/>
        <v>1</v>
      </c>
      <c r="AC208" s="36">
        <f t="shared" si="784"/>
        <v>0</v>
      </c>
      <c r="AD208" s="36">
        <f t="shared" si="784"/>
        <v>1</v>
      </c>
      <c r="AE208" s="36">
        <f t="shared" ref="AE208:AF208" si="826">AE207</f>
        <v>0</v>
      </c>
      <c r="AF208" s="36">
        <f t="shared" si="826"/>
        <v>0</v>
      </c>
      <c r="AG208" s="36">
        <f t="shared" ref="AG208:AH208" si="827">AG207</f>
        <v>0</v>
      </c>
      <c r="AH208" s="36">
        <f t="shared" si="827"/>
        <v>0</v>
      </c>
      <c r="AI208" s="36">
        <f t="shared" ref="AI208" si="828">AI207</f>
        <v>0</v>
      </c>
      <c r="AJ208" s="36">
        <f t="shared" si="784"/>
        <v>0</v>
      </c>
      <c r="AK208" s="36">
        <f t="shared" si="784"/>
        <v>0</v>
      </c>
      <c r="AL208" s="36">
        <f t="shared" si="784"/>
        <v>0</v>
      </c>
      <c r="AM208" s="36">
        <f t="shared" si="784"/>
        <v>0</v>
      </c>
      <c r="AN208" s="36">
        <f t="shared" si="784"/>
        <v>0</v>
      </c>
      <c r="AO208" s="36">
        <f t="shared" si="784"/>
        <v>0</v>
      </c>
      <c r="AP208" s="36">
        <f t="shared" si="784"/>
        <v>0</v>
      </c>
      <c r="AQ208" s="36">
        <f t="shared" si="784"/>
        <v>0</v>
      </c>
      <c r="AR208" s="36">
        <f t="shared" si="813"/>
        <v>0</v>
      </c>
      <c r="AS208" s="31" t="str">
        <f t="shared" si="749"/>
        <v>SimulationStorage,1,</v>
      </c>
      <c r="AT208" s="31" t="str">
        <f t="shared" si="750"/>
        <v>AnalysisStorage,1,</v>
      </c>
      <c r="AU208" s="31" t="str">
        <f t="shared" si="751"/>
        <v>LogRuleEvaluation,0,</v>
      </c>
      <c r="AV208" s="31" t="str">
        <f t="shared" si="752"/>
        <v>ParallelSimulations,1,</v>
      </c>
      <c r="AW208" s="31" t="str">
        <f t="shared" si="753"/>
        <v>DurationStats,0,</v>
      </c>
      <c r="AX208" s="31" t="str">
        <f t="shared" si="754"/>
        <v>AnalysisThruStep,8,</v>
      </c>
      <c r="AY208" s="31" t="str">
        <f t="shared" si="755"/>
        <v>DontAbortOnErrorsThruStep,8,</v>
      </c>
      <c r="AZ208" s="31" t="str">
        <f t="shared" si="756"/>
        <v>BypassValidFileChecks,1,</v>
      </c>
      <c r="BA208" s="31" t="str">
        <f t="shared" si="757"/>
        <v>BypassInputChecks,0,</v>
      </c>
      <c r="BB208" s="31" t="str">
        <f t="shared" si="758"/>
        <v>BypassUMLHChecks,0,</v>
      </c>
      <c r="BC208" s="31" t="str">
        <f t="shared" si="759"/>
        <v>BypassCheckSimRules,0,</v>
      </c>
      <c r="BD208" s="31" t="str">
        <f t="shared" si="760"/>
        <v>BypassCheckCodeRules,0,</v>
      </c>
      <c r="BE208" s="31" t="str">
        <f t="shared" si="718"/>
        <v>StoreResultsToModelInput,1,</v>
      </c>
      <c r="BF208" s="31" t="str">
        <f t="shared" si="719"/>
        <v>StoreBEMDetails,0,</v>
      </c>
      <c r="BG208" s="31" t="str">
        <f t="shared" si="720"/>
        <v>ModelRpt_ALL,1,</v>
      </c>
      <c r="BH208" s="31" t="str">
        <f t="shared" si="721"/>
        <v>ExportHourlyResults_All,0,</v>
      </c>
      <c r="BI208" s="31" t="str">
        <f t="shared" si="722"/>
        <v>ComplianceReportPDF,0,</v>
      </c>
      <c r="BJ208" s="31" t="str">
        <f t="shared" si="723"/>
        <v>ComplianceReportXML,0,</v>
      </c>
      <c r="BK208" s="31" t="str">
        <f t="shared" si="724"/>
        <v>QuickAnalysis,0,</v>
      </c>
      <c r="BL208" s="31" t="str">
        <f t="shared" si="724"/>
        <v>PromptUserUMLHWarning,0,</v>
      </c>
      <c r="BM208" s="31" t="str">
        <f t="shared" si="725"/>
        <v>BypassOpenStudio_all,0,</v>
      </c>
      <c r="BN208" s="31" t="str">
        <f t="shared" si="726"/>
        <v>BypassOpenStudio_zp,0,</v>
      </c>
      <c r="BO208" s="31" t="str">
        <f t="shared" si="727"/>
        <v>BypassOpenStudio_zb,0,</v>
      </c>
      <c r="BP208" s="31" t="str">
        <f t="shared" si="728"/>
        <v>BypassOpenStudio_ap,0,</v>
      </c>
      <c r="BQ208" s="31" t="str">
        <f t="shared" si="729"/>
        <v>BypassOpenStudio_ab,0,</v>
      </c>
      <c r="BR208" s="31" t="str">
        <f t="shared" si="730"/>
        <v>BypassOpenStudio_zp,0,</v>
      </c>
      <c r="BS208" s="31" t="str">
        <f t="shared" si="731"/>
        <v>BypassOpenStudio_zb,0,</v>
      </c>
      <c r="BT208" s="31" t="str">
        <f t="shared" si="732"/>
        <v>BypassOpenStudio_ap,0,</v>
      </c>
      <c r="BU208" s="31" t="str">
        <f t="shared" si="733"/>
        <v>BypassOpenStudio_ab,0,</v>
      </c>
    </row>
    <row r="209" spans="1:73" hidden="1" outlineLevel="1" x14ac:dyDescent="0.25">
      <c r="A209" s="39">
        <f t="shared" si="734"/>
        <v>0</v>
      </c>
      <c r="B209" s="27" t="str">
        <f t="shared" si="735"/>
        <v>SoftwareSensitivity2016Tests\DetailedGeometry\x.cibd16</v>
      </c>
      <c r="C209" s="27" t="str">
        <f t="shared" si="736"/>
        <v>BatchOut_171026_r5178_FinalRel-v3-SSTSG_SSTDG\x.cibd16</v>
      </c>
      <c r="D209" s="27" t="str">
        <f t="shared" si="737"/>
        <v>BatchOut_171026_r5178_FinalRel-v3-SSTSG_SSTDG\XML\</v>
      </c>
      <c r="E209" s="9" t="str">
        <f t="shared" si="738"/>
        <v>x</v>
      </c>
      <c r="F209" s="22"/>
      <c r="G209" s="29"/>
      <c r="H209" s="23" t="str">
        <f t="shared" si="739"/>
        <v/>
      </c>
      <c r="I209" s="9" t="s">
        <v>11</v>
      </c>
      <c r="J20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9" s="15" t="s">
        <v>1</v>
      </c>
      <c r="L209" s="92">
        <f t="shared" si="744"/>
        <v>0</v>
      </c>
      <c r="M209" s="91" t="str">
        <f t="shared" si="740"/>
        <v>x</v>
      </c>
      <c r="N209" s="90" t="s">
        <v>149</v>
      </c>
      <c r="O209" s="28" t="str">
        <f t="shared" si="745"/>
        <v>x</v>
      </c>
      <c r="P209" s="36">
        <f t="shared" si="788"/>
        <v>1</v>
      </c>
      <c r="Q209" s="36">
        <f t="shared" si="788"/>
        <v>1</v>
      </c>
      <c r="R209" s="36">
        <f t="shared" si="788"/>
        <v>0</v>
      </c>
      <c r="S209" s="36">
        <f t="shared" si="788"/>
        <v>1</v>
      </c>
      <c r="T209" s="36">
        <f t="shared" si="788"/>
        <v>0</v>
      </c>
      <c r="U209" s="36">
        <f t="shared" si="788"/>
        <v>8</v>
      </c>
      <c r="V209" s="36">
        <f t="shared" si="788"/>
        <v>8</v>
      </c>
      <c r="W209" s="36">
        <f t="shared" si="784"/>
        <v>1</v>
      </c>
      <c r="X209" s="36">
        <f t="shared" si="784"/>
        <v>0</v>
      </c>
      <c r="Y209" s="36">
        <f t="shared" si="784"/>
        <v>0</v>
      </c>
      <c r="Z209" s="36">
        <f t="shared" si="784"/>
        <v>0</v>
      </c>
      <c r="AA209" s="36">
        <f t="shared" si="784"/>
        <v>0</v>
      </c>
      <c r="AB209" s="36">
        <f t="shared" si="784"/>
        <v>1</v>
      </c>
      <c r="AC209" s="36">
        <f t="shared" si="784"/>
        <v>0</v>
      </c>
      <c r="AD209" s="36">
        <f t="shared" si="784"/>
        <v>1</v>
      </c>
      <c r="AE209" s="36">
        <f t="shared" ref="AE209:AF209" si="829">AE208</f>
        <v>0</v>
      </c>
      <c r="AF209" s="36">
        <f t="shared" si="829"/>
        <v>0</v>
      </c>
      <c r="AG209" s="36">
        <f t="shared" ref="AG209:AH209" si="830">AG208</f>
        <v>0</v>
      </c>
      <c r="AH209" s="36">
        <f t="shared" si="830"/>
        <v>0</v>
      </c>
      <c r="AI209" s="36">
        <f t="shared" ref="AI209" si="831">AI208</f>
        <v>0</v>
      </c>
      <c r="AJ209" s="36">
        <f t="shared" si="784"/>
        <v>0</v>
      </c>
      <c r="AK209" s="36">
        <f t="shared" si="784"/>
        <v>0</v>
      </c>
      <c r="AL209" s="36">
        <f t="shared" si="784"/>
        <v>0</v>
      </c>
      <c r="AM209" s="36">
        <f t="shared" si="784"/>
        <v>0</v>
      </c>
      <c r="AN209" s="36">
        <f t="shared" si="784"/>
        <v>0</v>
      </c>
      <c r="AO209" s="36">
        <f t="shared" si="784"/>
        <v>0</v>
      </c>
      <c r="AP209" s="36">
        <f t="shared" si="784"/>
        <v>0</v>
      </c>
      <c r="AQ209" s="36">
        <f t="shared" si="784"/>
        <v>0</v>
      </c>
      <c r="AR209" s="36">
        <f t="shared" si="813"/>
        <v>0</v>
      </c>
      <c r="AS209" s="31" t="str">
        <f t="shared" si="749"/>
        <v>SimulationStorage,1,</v>
      </c>
      <c r="AT209" s="31" t="str">
        <f t="shared" si="750"/>
        <v>AnalysisStorage,1,</v>
      </c>
      <c r="AU209" s="31" t="str">
        <f t="shared" si="751"/>
        <v>LogRuleEvaluation,0,</v>
      </c>
      <c r="AV209" s="31" t="str">
        <f t="shared" si="752"/>
        <v>ParallelSimulations,1,</v>
      </c>
      <c r="AW209" s="31" t="str">
        <f t="shared" si="753"/>
        <v>DurationStats,0,</v>
      </c>
      <c r="AX209" s="31" t="str">
        <f t="shared" si="754"/>
        <v>AnalysisThruStep,8,</v>
      </c>
      <c r="AY209" s="31" t="str">
        <f t="shared" si="755"/>
        <v>DontAbortOnErrorsThruStep,8,</v>
      </c>
      <c r="AZ209" s="31" t="str">
        <f t="shared" si="756"/>
        <v>BypassValidFileChecks,1,</v>
      </c>
      <c r="BA209" s="31" t="str">
        <f t="shared" si="757"/>
        <v>BypassInputChecks,0,</v>
      </c>
      <c r="BB209" s="31" t="str">
        <f t="shared" si="758"/>
        <v>BypassUMLHChecks,0,</v>
      </c>
      <c r="BC209" s="31" t="str">
        <f t="shared" si="759"/>
        <v>BypassCheckSimRules,0,</v>
      </c>
      <c r="BD209" s="31" t="str">
        <f t="shared" si="760"/>
        <v>BypassCheckCodeRules,0,</v>
      </c>
      <c r="BE209" s="31" t="str">
        <f t="shared" si="718"/>
        <v>StoreResultsToModelInput,1,</v>
      </c>
      <c r="BF209" s="31" t="str">
        <f t="shared" si="719"/>
        <v>StoreBEMDetails,0,</v>
      </c>
      <c r="BG209" s="31" t="str">
        <f t="shared" si="720"/>
        <v>ModelRpt_ALL,1,</v>
      </c>
      <c r="BH209" s="31" t="str">
        <f t="shared" si="721"/>
        <v>ExportHourlyResults_All,0,</v>
      </c>
      <c r="BI209" s="31" t="str">
        <f t="shared" si="722"/>
        <v>ComplianceReportPDF,0,</v>
      </c>
      <c r="BJ209" s="31" t="str">
        <f t="shared" si="723"/>
        <v>ComplianceReportXML,0,</v>
      </c>
      <c r="BK209" s="31" t="str">
        <f t="shared" si="724"/>
        <v>QuickAnalysis,0,</v>
      </c>
      <c r="BL209" s="31" t="str">
        <f t="shared" si="724"/>
        <v>PromptUserUMLHWarning,0,</v>
      </c>
      <c r="BM209" s="31" t="str">
        <f t="shared" si="725"/>
        <v>BypassOpenStudio_all,0,</v>
      </c>
      <c r="BN209" s="31" t="str">
        <f t="shared" si="726"/>
        <v>BypassOpenStudio_zp,0,</v>
      </c>
      <c r="BO209" s="31" t="str">
        <f t="shared" si="727"/>
        <v>BypassOpenStudio_zb,0,</v>
      </c>
      <c r="BP209" s="31" t="str">
        <f t="shared" si="728"/>
        <v>BypassOpenStudio_ap,0,</v>
      </c>
      <c r="BQ209" s="31" t="str">
        <f t="shared" si="729"/>
        <v>BypassOpenStudio_ab,0,</v>
      </c>
      <c r="BR209" s="31" t="str">
        <f t="shared" si="730"/>
        <v>BypassOpenStudio_zp,0,</v>
      </c>
      <c r="BS209" s="31" t="str">
        <f t="shared" si="731"/>
        <v>BypassOpenStudio_zb,0,</v>
      </c>
      <c r="BT209" s="31" t="str">
        <f t="shared" si="732"/>
        <v>BypassOpenStudio_ap,0,</v>
      </c>
      <c r="BU209" s="31" t="str">
        <f t="shared" si="733"/>
        <v>BypassOpenStudio_ab,0,</v>
      </c>
    </row>
    <row r="210" spans="1:73" hidden="1" outlineLevel="1" x14ac:dyDescent="0.25">
      <c r="A210" s="39">
        <f t="shared" si="734"/>
        <v>0</v>
      </c>
      <c r="B210" s="27" t="str">
        <f t="shared" si="735"/>
        <v>SoftwareSensitivity2016Tests\DetailedGeometry\x.cibd16</v>
      </c>
      <c r="C210" s="27" t="str">
        <f t="shared" si="736"/>
        <v>BatchOut_171026_r5178_FinalRel-v3-SSTSG_SSTDG\x.cibd16</v>
      </c>
      <c r="D210" s="27" t="str">
        <f t="shared" si="737"/>
        <v>BatchOut_171026_r5178_FinalRel-v3-SSTSG_SSTDG\XML\</v>
      </c>
      <c r="E210" s="9" t="str">
        <f t="shared" si="738"/>
        <v>x</v>
      </c>
      <c r="F210" s="22"/>
      <c r="G210" s="29"/>
      <c r="H210" s="23" t="str">
        <f t="shared" si="739"/>
        <v/>
      </c>
      <c r="I210" s="9" t="s">
        <v>11</v>
      </c>
      <c r="J21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0" s="15" t="s">
        <v>1</v>
      </c>
      <c r="L210" s="92">
        <f t="shared" si="744"/>
        <v>0</v>
      </c>
      <c r="M210" s="91" t="str">
        <f t="shared" si="740"/>
        <v>x</v>
      </c>
      <c r="N210" s="90" t="s">
        <v>149</v>
      </c>
      <c r="O210" s="28" t="str">
        <f t="shared" si="745"/>
        <v>x</v>
      </c>
      <c r="P210" s="36">
        <f t="shared" si="788"/>
        <v>1</v>
      </c>
      <c r="Q210" s="36">
        <f t="shared" si="788"/>
        <v>1</v>
      </c>
      <c r="R210" s="36">
        <f t="shared" si="788"/>
        <v>0</v>
      </c>
      <c r="S210" s="36">
        <f t="shared" si="788"/>
        <v>1</v>
      </c>
      <c r="T210" s="36">
        <f t="shared" si="788"/>
        <v>0</v>
      </c>
      <c r="U210" s="36">
        <f t="shared" si="788"/>
        <v>8</v>
      </c>
      <c r="V210" s="36">
        <f t="shared" si="788"/>
        <v>8</v>
      </c>
      <c r="W210" s="36">
        <f t="shared" si="784"/>
        <v>1</v>
      </c>
      <c r="X210" s="36">
        <f t="shared" si="784"/>
        <v>0</v>
      </c>
      <c r="Y210" s="36">
        <f t="shared" si="784"/>
        <v>0</v>
      </c>
      <c r="Z210" s="36">
        <f t="shared" si="784"/>
        <v>0</v>
      </c>
      <c r="AA210" s="36">
        <f t="shared" si="784"/>
        <v>0</v>
      </c>
      <c r="AB210" s="36">
        <f t="shared" si="784"/>
        <v>1</v>
      </c>
      <c r="AC210" s="36">
        <f t="shared" si="784"/>
        <v>0</v>
      </c>
      <c r="AD210" s="36">
        <f t="shared" si="784"/>
        <v>1</v>
      </c>
      <c r="AE210" s="36">
        <f t="shared" ref="AE210:AF219" si="832">AE209</f>
        <v>0</v>
      </c>
      <c r="AF210" s="36">
        <f t="shared" si="832"/>
        <v>0</v>
      </c>
      <c r="AG210" s="36">
        <f t="shared" ref="AG210:AH210" si="833">AG209</f>
        <v>0</v>
      </c>
      <c r="AH210" s="36">
        <f t="shared" si="833"/>
        <v>0</v>
      </c>
      <c r="AI210" s="36">
        <f t="shared" ref="AI210" si="834">AI209</f>
        <v>0</v>
      </c>
      <c r="AJ210" s="36">
        <f t="shared" si="784"/>
        <v>0</v>
      </c>
      <c r="AK210" s="36">
        <f t="shared" si="784"/>
        <v>0</v>
      </c>
      <c r="AL210" s="36">
        <f t="shared" si="784"/>
        <v>0</v>
      </c>
      <c r="AM210" s="36">
        <f t="shared" si="784"/>
        <v>0</v>
      </c>
      <c r="AN210" s="36">
        <f t="shared" si="784"/>
        <v>0</v>
      </c>
      <c r="AO210" s="36">
        <f t="shared" si="784"/>
        <v>0</v>
      </c>
      <c r="AP210" s="36">
        <f t="shared" si="784"/>
        <v>0</v>
      </c>
      <c r="AQ210" s="36">
        <f t="shared" si="784"/>
        <v>0</v>
      </c>
      <c r="AR210" s="36">
        <f t="shared" si="813"/>
        <v>0</v>
      </c>
      <c r="AS210" s="31" t="str">
        <f t="shared" si="749"/>
        <v>SimulationStorage,1,</v>
      </c>
      <c r="AT210" s="31" t="str">
        <f t="shared" si="750"/>
        <v>AnalysisStorage,1,</v>
      </c>
      <c r="AU210" s="31" t="str">
        <f t="shared" si="751"/>
        <v>LogRuleEvaluation,0,</v>
      </c>
      <c r="AV210" s="31" t="str">
        <f t="shared" si="752"/>
        <v>ParallelSimulations,1,</v>
      </c>
      <c r="AW210" s="31" t="str">
        <f t="shared" si="753"/>
        <v>DurationStats,0,</v>
      </c>
      <c r="AX210" s="31" t="str">
        <f t="shared" si="754"/>
        <v>AnalysisThruStep,8,</v>
      </c>
      <c r="AY210" s="31" t="str">
        <f t="shared" si="755"/>
        <v>DontAbortOnErrorsThruStep,8,</v>
      </c>
      <c r="AZ210" s="31" t="str">
        <f t="shared" si="756"/>
        <v>BypassValidFileChecks,1,</v>
      </c>
      <c r="BA210" s="31" t="str">
        <f t="shared" si="757"/>
        <v>BypassInputChecks,0,</v>
      </c>
      <c r="BB210" s="31" t="str">
        <f t="shared" si="758"/>
        <v>BypassUMLHChecks,0,</v>
      </c>
      <c r="BC210" s="31" t="str">
        <f t="shared" si="759"/>
        <v>BypassCheckSimRules,0,</v>
      </c>
      <c r="BD210" s="31" t="str">
        <f t="shared" si="760"/>
        <v>BypassCheckCodeRules,0,</v>
      </c>
      <c r="BE210" s="31" t="str">
        <f t="shared" si="718"/>
        <v>StoreResultsToModelInput,1,</v>
      </c>
      <c r="BF210" s="31" t="str">
        <f t="shared" si="719"/>
        <v>StoreBEMDetails,0,</v>
      </c>
      <c r="BG210" s="31" t="str">
        <f t="shared" si="720"/>
        <v>ModelRpt_ALL,1,</v>
      </c>
      <c r="BH210" s="31" t="str">
        <f t="shared" si="721"/>
        <v>ExportHourlyResults_All,0,</v>
      </c>
      <c r="BI210" s="31" t="str">
        <f t="shared" si="722"/>
        <v>ComplianceReportPDF,0,</v>
      </c>
      <c r="BJ210" s="31" t="str">
        <f t="shared" si="723"/>
        <v>ComplianceReportXML,0,</v>
      </c>
      <c r="BK210" s="31" t="str">
        <f t="shared" si="724"/>
        <v>QuickAnalysis,0,</v>
      </c>
      <c r="BL210" s="31" t="str">
        <f t="shared" si="724"/>
        <v>PromptUserUMLHWarning,0,</v>
      </c>
      <c r="BM210" s="31" t="str">
        <f t="shared" si="725"/>
        <v>BypassOpenStudio_all,0,</v>
      </c>
      <c r="BN210" s="31" t="str">
        <f t="shared" si="726"/>
        <v>BypassOpenStudio_zp,0,</v>
      </c>
      <c r="BO210" s="31" t="str">
        <f t="shared" si="727"/>
        <v>BypassOpenStudio_zb,0,</v>
      </c>
      <c r="BP210" s="31" t="str">
        <f t="shared" si="728"/>
        <v>BypassOpenStudio_ap,0,</v>
      </c>
      <c r="BQ210" s="31" t="str">
        <f t="shared" si="729"/>
        <v>BypassOpenStudio_ab,0,</v>
      </c>
      <c r="BR210" s="31" t="str">
        <f t="shared" si="730"/>
        <v>BypassOpenStudio_zp,0,</v>
      </c>
      <c r="BS210" s="31" t="str">
        <f t="shared" si="731"/>
        <v>BypassOpenStudio_zb,0,</v>
      </c>
      <c r="BT210" s="31" t="str">
        <f t="shared" si="732"/>
        <v>BypassOpenStudio_ap,0,</v>
      </c>
      <c r="BU210" s="31" t="str">
        <f t="shared" si="733"/>
        <v>BypassOpenStudio_ab,0,</v>
      </c>
    </row>
    <row r="211" spans="1:73" hidden="1" outlineLevel="1" x14ac:dyDescent="0.25">
      <c r="A211" s="39">
        <f t="shared" si="734"/>
        <v>0</v>
      </c>
      <c r="B211" s="27" t="str">
        <f t="shared" si="735"/>
        <v>SoftwareSensitivity2016Tests\DetailedGeometry\x.cibd16</v>
      </c>
      <c r="C211" s="27" t="str">
        <f t="shared" si="736"/>
        <v>BatchOut_171026_r5178_FinalRel-v3-SSTSG_SSTDG\x.cibd16</v>
      </c>
      <c r="D211" s="27" t="str">
        <f t="shared" si="737"/>
        <v>BatchOut_171026_r5178_FinalRel-v3-SSTSG_SSTDG\XML\</v>
      </c>
      <c r="E211" s="9" t="str">
        <f t="shared" si="738"/>
        <v>x</v>
      </c>
      <c r="F211" s="22"/>
      <c r="G211" s="29"/>
      <c r="H211" s="23" t="str">
        <f t="shared" si="739"/>
        <v/>
      </c>
      <c r="I211" s="9" t="s">
        <v>11</v>
      </c>
      <c r="J21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1" s="15" t="s">
        <v>1</v>
      </c>
      <c r="L211" s="92">
        <f t="shared" si="744"/>
        <v>0</v>
      </c>
      <c r="M211" s="91" t="str">
        <f t="shared" si="740"/>
        <v>x</v>
      </c>
      <c r="N211" s="90" t="s">
        <v>149</v>
      </c>
      <c r="O211" s="28" t="str">
        <f t="shared" si="745"/>
        <v>x</v>
      </c>
      <c r="P211" s="36">
        <f t="shared" si="788"/>
        <v>1</v>
      </c>
      <c r="Q211" s="36">
        <f t="shared" si="788"/>
        <v>1</v>
      </c>
      <c r="R211" s="36">
        <f t="shared" si="788"/>
        <v>0</v>
      </c>
      <c r="S211" s="36">
        <f t="shared" si="788"/>
        <v>1</v>
      </c>
      <c r="T211" s="36">
        <f t="shared" si="788"/>
        <v>0</v>
      </c>
      <c r="U211" s="36">
        <f t="shared" si="788"/>
        <v>8</v>
      </c>
      <c r="V211" s="36">
        <f t="shared" si="788"/>
        <v>8</v>
      </c>
      <c r="W211" s="36">
        <f t="shared" si="788"/>
        <v>1</v>
      </c>
      <c r="X211" s="36">
        <f t="shared" si="788"/>
        <v>0</v>
      </c>
      <c r="Y211" s="36">
        <f t="shared" si="788"/>
        <v>0</v>
      </c>
      <c r="Z211" s="36">
        <f t="shared" si="788"/>
        <v>0</v>
      </c>
      <c r="AA211" s="36">
        <f t="shared" si="788"/>
        <v>0</v>
      </c>
      <c r="AB211" s="36">
        <f t="shared" si="788"/>
        <v>1</v>
      </c>
      <c r="AC211" s="36">
        <f t="shared" si="788"/>
        <v>0</v>
      </c>
      <c r="AD211" s="36">
        <f t="shared" si="788"/>
        <v>1</v>
      </c>
      <c r="AE211" s="36">
        <f t="shared" si="832"/>
        <v>0</v>
      </c>
      <c r="AF211" s="36">
        <f t="shared" si="832"/>
        <v>0</v>
      </c>
      <c r="AG211" s="36">
        <f t="shared" ref="AG211:AH211" si="835">AG210</f>
        <v>0</v>
      </c>
      <c r="AH211" s="36">
        <f t="shared" si="835"/>
        <v>0</v>
      </c>
      <c r="AI211" s="36">
        <f t="shared" ref="AI211" si="836">AI210</f>
        <v>0</v>
      </c>
      <c r="AJ211" s="36">
        <f t="shared" si="788"/>
        <v>0</v>
      </c>
      <c r="AK211" s="36">
        <f t="shared" ref="AK211:AQ226" si="837">AK210</f>
        <v>0</v>
      </c>
      <c r="AL211" s="36">
        <f t="shared" si="837"/>
        <v>0</v>
      </c>
      <c r="AM211" s="36">
        <f t="shared" si="837"/>
        <v>0</v>
      </c>
      <c r="AN211" s="36">
        <f t="shared" si="837"/>
        <v>0</v>
      </c>
      <c r="AO211" s="36">
        <f t="shared" si="837"/>
        <v>0</v>
      </c>
      <c r="AP211" s="36">
        <f t="shared" si="837"/>
        <v>0</v>
      </c>
      <c r="AQ211" s="36">
        <f t="shared" si="837"/>
        <v>0</v>
      </c>
      <c r="AR211" s="36">
        <f t="shared" si="813"/>
        <v>0</v>
      </c>
      <c r="AS211" s="31" t="str">
        <f t="shared" si="749"/>
        <v>SimulationStorage,1,</v>
      </c>
      <c r="AT211" s="31" t="str">
        <f t="shared" si="750"/>
        <v>AnalysisStorage,1,</v>
      </c>
      <c r="AU211" s="31" t="str">
        <f t="shared" si="751"/>
        <v>LogRuleEvaluation,0,</v>
      </c>
      <c r="AV211" s="31" t="str">
        <f t="shared" si="752"/>
        <v>ParallelSimulations,1,</v>
      </c>
      <c r="AW211" s="31" t="str">
        <f t="shared" si="753"/>
        <v>DurationStats,0,</v>
      </c>
      <c r="AX211" s="31" t="str">
        <f t="shared" si="754"/>
        <v>AnalysisThruStep,8,</v>
      </c>
      <c r="AY211" s="31" t="str">
        <f t="shared" si="755"/>
        <v>DontAbortOnErrorsThruStep,8,</v>
      </c>
      <c r="AZ211" s="31" t="str">
        <f t="shared" si="756"/>
        <v>BypassValidFileChecks,1,</v>
      </c>
      <c r="BA211" s="31" t="str">
        <f t="shared" si="757"/>
        <v>BypassInputChecks,0,</v>
      </c>
      <c r="BB211" s="31" t="str">
        <f t="shared" si="758"/>
        <v>BypassUMLHChecks,0,</v>
      </c>
      <c r="BC211" s="31" t="str">
        <f t="shared" si="759"/>
        <v>BypassCheckSimRules,0,</v>
      </c>
      <c r="BD211" s="31" t="str">
        <f t="shared" si="760"/>
        <v>BypassCheckCodeRules,0,</v>
      </c>
      <c r="BE211" s="31" t="str">
        <f t="shared" si="718"/>
        <v>StoreResultsToModelInput,1,</v>
      </c>
      <c r="BF211" s="31" t="str">
        <f t="shared" si="719"/>
        <v>StoreBEMDetails,0,</v>
      </c>
      <c r="BG211" s="31" t="str">
        <f t="shared" si="720"/>
        <v>ModelRpt_ALL,1,</v>
      </c>
      <c r="BH211" s="31" t="str">
        <f t="shared" si="721"/>
        <v>ExportHourlyResults_All,0,</v>
      </c>
      <c r="BI211" s="31" t="str">
        <f t="shared" si="722"/>
        <v>ComplianceReportPDF,0,</v>
      </c>
      <c r="BJ211" s="31" t="str">
        <f t="shared" si="723"/>
        <v>ComplianceReportXML,0,</v>
      </c>
      <c r="BK211" s="31" t="str">
        <f t="shared" si="724"/>
        <v>QuickAnalysis,0,</v>
      </c>
      <c r="BL211" s="31" t="str">
        <f t="shared" si="724"/>
        <v>PromptUserUMLHWarning,0,</v>
      </c>
      <c r="BM211" s="31" t="str">
        <f t="shared" si="725"/>
        <v>BypassOpenStudio_all,0,</v>
      </c>
      <c r="BN211" s="31" t="str">
        <f t="shared" si="726"/>
        <v>BypassOpenStudio_zp,0,</v>
      </c>
      <c r="BO211" s="31" t="str">
        <f t="shared" si="727"/>
        <v>BypassOpenStudio_zb,0,</v>
      </c>
      <c r="BP211" s="31" t="str">
        <f t="shared" si="728"/>
        <v>BypassOpenStudio_ap,0,</v>
      </c>
      <c r="BQ211" s="31" t="str">
        <f t="shared" si="729"/>
        <v>BypassOpenStudio_ab,0,</v>
      </c>
      <c r="BR211" s="31" t="str">
        <f t="shared" si="730"/>
        <v>BypassOpenStudio_zp,0,</v>
      </c>
      <c r="BS211" s="31" t="str">
        <f t="shared" si="731"/>
        <v>BypassOpenStudio_zb,0,</v>
      </c>
      <c r="BT211" s="31" t="str">
        <f t="shared" si="732"/>
        <v>BypassOpenStudio_ap,0,</v>
      </c>
      <c r="BU211" s="31" t="str">
        <f t="shared" si="733"/>
        <v>BypassOpenStudio_ab,0,</v>
      </c>
    </row>
    <row r="212" spans="1:73" hidden="1" outlineLevel="1" x14ac:dyDescent="0.25">
      <c r="A212" s="39">
        <f t="shared" si="734"/>
        <v>0</v>
      </c>
      <c r="B212" s="27" t="str">
        <f t="shared" si="735"/>
        <v>SoftwareSensitivity2016Tests\DetailedGeometry\x.cibd16</v>
      </c>
      <c r="C212" s="27" t="str">
        <f t="shared" si="736"/>
        <v>BatchOut_171026_r5178_FinalRel-v3-SSTSG_SSTDG\x.cibd16</v>
      </c>
      <c r="D212" s="27" t="str">
        <f t="shared" si="737"/>
        <v>BatchOut_171026_r5178_FinalRel-v3-SSTSG_SSTDG\XML\</v>
      </c>
      <c r="E212" s="9" t="str">
        <f t="shared" si="738"/>
        <v>x</v>
      </c>
      <c r="F212" s="22"/>
      <c r="G212" s="29"/>
      <c r="H212" s="23" t="str">
        <f t="shared" si="739"/>
        <v/>
      </c>
      <c r="I212" s="9" t="s">
        <v>11</v>
      </c>
      <c r="J21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2" s="15" t="s">
        <v>1</v>
      </c>
      <c r="L212" s="92">
        <f t="shared" si="744"/>
        <v>0</v>
      </c>
      <c r="M212" s="91" t="str">
        <f t="shared" si="740"/>
        <v>x</v>
      </c>
      <c r="N212" s="90" t="s">
        <v>149</v>
      </c>
      <c r="O212" s="28" t="str">
        <f t="shared" si="745"/>
        <v>x</v>
      </c>
      <c r="P212" s="36">
        <f t="shared" si="788"/>
        <v>1</v>
      </c>
      <c r="Q212" s="36">
        <f t="shared" si="788"/>
        <v>1</v>
      </c>
      <c r="R212" s="36">
        <f t="shared" si="788"/>
        <v>0</v>
      </c>
      <c r="S212" s="36">
        <f t="shared" si="788"/>
        <v>1</v>
      </c>
      <c r="T212" s="36">
        <f t="shared" si="788"/>
        <v>0</v>
      </c>
      <c r="U212" s="36">
        <f t="shared" si="788"/>
        <v>8</v>
      </c>
      <c r="V212" s="36">
        <f t="shared" si="788"/>
        <v>8</v>
      </c>
      <c r="W212" s="36">
        <f t="shared" si="788"/>
        <v>1</v>
      </c>
      <c r="X212" s="36">
        <f t="shared" si="788"/>
        <v>0</v>
      </c>
      <c r="Y212" s="36">
        <f t="shared" si="788"/>
        <v>0</v>
      </c>
      <c r="Z212" s="36">
        <f t="shared" si="788"/>
        <v>0</v>
      </c>
      <c r="AA212" s="36">
        <f t="shared" si="788"/>
        <v>0</v>
      </c>
      <c r="AB212" s="36">
        <f t="shared" si="788"/>
        <v>1</v>
      </c>
      <c r="AC212" s="36">
        <f t="shared" si="788"/>
        <v>0</v>
      </c>
      <c r="AD212" s="36">
        <f t="shared" si="788"/>
        <v>1</v>
      </c>
      <c r="AE212" s="36">
        <f t="shared" si="832"/>
        <v>0</v>
      </c>
      <c r="AF212" s="36">
        <f t="shared" si="832"/>
        <v>0</v>
      </c>
      <c r="AG212" s="36">
        <f t="shared" ref="AG212:AH212" si="838">AG211</f>
        <v>0</v>
      </c>
      <c r="AH212" s="36">
        <f t="shared" si="838"/>
        <v>0</v>
      </c>
      <c r="AI212" s="36">
        <f t="shared" ref="AI212" si="839">AI211</f>
        <v>0</v>
      </c>
      <c r="AJ212" s="36">
        <f t="shared" si="788"/>
        <v>0</v>
      </c>
      <c r="AK212" s="36">
        <f t="shared" si="837"/>
        <v>0</v>
      </c>
      <c r="AL212" s="36">
        <f t="shared" si="837"/>
        <v>0</v>
      </c>
      <c r="AM212" s="36">
        <f t="shared" si="837"/>
        <v>0</v>
      </c>
      <c r="AN212" s="36">
        <f t="shared" si="837"/>
        <v>0</v>
      </c>
      <c r="AO212" s="36">
        <f t="shared" si="837"/>
        <v>0</v>
      </c>
      <c r="AP212" s="36">
        <f t="shared" si="837"/>
        <v>0</v>
      </c>
      <c r="AQ212" s="36">
        <f t="shared" si="837"/>
        <v>0</v>
      </c>
      <c r="AR212" s="36">
        <f t="shared" si="813"/>
        <v>0</v>
      </c>
      <c r="AS212" s="31" t="str">
        <f t="shared" si="749"/>
        <v>SimulationStorage,1,</v>
      </c>
      <c r="AT212" s="31" t="str">
        <f t="shared" si="750"/>
        <v>AnalysisStorage,1,</v>
      </c>
      <c r="AU212" s="31" t="str">
        <f t="shared" si="751"/>
        <v>LogRuleEvaluation,0,</v>
      </c>
      <c r="AV212" s="31" t="str">
        <f t="shared" si="752"/>
        <v>ParallelSimulations,1,</v>
      </c>
      <c r="AW212" s="31" t="str">
        <f t="shared" si="753"/>
        <v>DurationStats,0,</v>
      </c>
      <c r="AX212" s="31" t="str">
        <f t="shared" si="754"/>
        <v>AnalysisThruStep,8,</v>
      </c>
      <c r="AY212" s="31" t="str">
        <f t="shared" si="755"/>
        <v>DontAbortOnErrorsThruStep,8,</v>
      </c>
      <c r="AZ212" s="31" t="str">
        <f t="shared" si="756"/>
        <v>BypassValidFileChecks,1,</v>
      </c>
      <c r="BA212" s="31" t="str">
        <f t="shared" si="757"/>
        <v>BypassInputChecks,0,</v>
      </c>
      <c r="BB212" s="31" t="str">
        <f t="shared" si="758"/>
        <v>BypassUMLHChecks,0,</v>
      </c>
      <c r="BC212" s="31" t="str">
        <f t="shared" si="759"/>
        <v>BypassCheckSimRules,0,</v>
      </c>
      <c r="BD212" s="31" t="str">
        <f t="shared" si="760"/>
        <v>BypassCheckCodeRules,0,</v>
      </c>
      <c r="BE212" s="31" t="str">
        <f t="shared" si="718"/>
        <v>StoreResultsToModelInput,1,</v>
      </c>
      <c r="BF212" s="31" t="str">
        <f t="shared" si="719"/>
        <v>StoreBEMDetails,0,</v>
      </c>
      <c r="BG212" s="31" t="str">
        <f t="shared" si="720"/>
        <v>ModelRpt_ALL,1,</v>
      </c>
      <c r="BH212" s="31" t="str">
        <f t="shared" si="721"/>
        <v>ExportHourlyResults_All,0,</v>
      </c>
      <c r="BI212" s="31" t="str">
        <f t="shared" si="722"/>
        <v>ComplianceReportPDF,0,</v>
      </c>
      <c r="BJ212" s="31" t="str">
        <f t="shared" si="723"/>
        <v>ComplianceReportXML,0,</v>
      </c>
      <c r="BK212" s="31" t="str">
        <f t="shared" si="724"/>
        <v>QuickAnalysis,0,</v>
      </c>
      <c r="BL212" s="31" t="str">
        <f t="shared" si="724"/>
        <v>PromptUserUMLHWarning,0,</v>
      </c>
      <c r="BM212" s="31" t="str">
        <f t="shared" si="725"/>
        <v>BypassOpenStudio_all,0,</v>
      </c>
      <c r="BN212" s="31" t="str">
        <f t="shared" si="726"/>
        <v>BypassOpenStudio_zp,0,</v>
      </c>
      <c r="BO212" s="31" t="str">
        <f t="shared" si="727"/>
        <v>BypassOpenStudio_zb,0,</v>
      </c>
      <c r="BP212" s="31" t="str">
        <f t="shared" si="728"/>
        <v>BypassOpenStudio_ap,0,</v>
      </c>
      <c r="BQ212" s="31" t="str">
        <f t="shared" si="729"/>
        <v>BypassOpenStudio_ab,0,</v>
      </c>
      <c r="BR212" s="31" t="str">
        <f t="shared" si="730"/>
        <v>BypassOpenStudio_zp,0,</v>
      </c>
      <c r="BS212" s="31" t="str">
        <f t="shared" si="731"/>
        <v>BypassOpenStudio_zb,0,</v>
      </c>
      <c r="BT212" s="31" t="str">
        <f t="shared" si="732"/>
        <v>BypassOpenStudio_ap,0,</v>
      </c>
      <c r="BU212" s="31" t="str">
        <f t="shared" si="733"/>
        <v>BypassOpenStudio_ab,0,</v>
      </c>
    </row>
    <row r="213" spans="1:73" hidden="1" outlineLevel="1" x14ac:dyDescent="0.25">
      <c r="A213" s="39">
        <f t="shared" si="734"/>
        <v>0</v>
      </c>
      <c r="B213" s="27" t="str">
        <f t="shared" si="735"/>
        <v>SoftwareSensitivity2016Tests\DetailedGeometry\x.cibd16</v>
      </c>
      <c r="C213" s="27" t="str">
        <f t="shared" si="736"/>
        <v>BatchOut_171026_r5178_FinalRel-v3-SSTSG_SSTDG\x.cibd16</v>
      </c>
      <c r="D213" s="27" t="str">
        <f t="shared" si="737"/>
        <v>BatchOut_171026_r5178_FinalRel-v3-SSTSG_SSTDG\XML\</v>
      </c>
      <c r="E213" s="9" t="str">
        <f t="shared" si="738"/>
        <v>x</v>
      </c>
      <c r="F213" s="22"/>
      <c r="G213" s="29"/>
      <c r="H213" s="23" t="str">
        <f t="shared" si="739"/>
        <v/>
      </c>
      <c r="I213" s="9" t="s">
        <v>11</v>
      </c>
      <c r="J21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3" s="15" t="s">
        <v>1</v>
      </c>
      <c r="L213" s="92">
        <f t="shared" si="744"/>
        <v>0</v>
      </c>
      <c r="M213" s="91" t="str">
        <f t="shared" si="740"/>
        <v>x</v>
      </c>
      <c r="N213" s="90" t="s">
        <v>149</v>
      </c>
      <c r="O213" s="28" t="str">
        <f t="shared" si="745"/>
        <v>x</v>
      </c>
      <c r="P213" s="36">
        <f t="shared" si="788"/>
        <v>1</v>
      </c>
      <c r="Q213" s="36">
        <f t="shared" si="788"/>
        <v>1</v>
      </c>
      <c r="R213" s="36">
        <f t="shared" si="788"/>
        <v>0</v>
      </c>
      <c r="S213" s="36">
        <f t="shared" si="788"/>
        <v>1</v>
      </c>
      <c r="T213" s="36">
        <f t="shared" si="788"/>
        <v>0</v>
      </c>
      <c r="U213" s="36">
        <f t="shared" si="788"/>
        <v>8</v>
      </c>
      <c r="V213" s="36">
        <f t="shared" si="788"/>
        <v>8</v>
      </c>
      <c r="W213" s="36">
        <f t="shared" si="788"/>
        <v>1</v>
      </c>
      <c r="X213" s="36">
        <f t="shared" si="788"/>
        <v>0</v>
      </c>
      <c r="Y213" s="36">
        <f t="shared" si="788"/>
        <v>0</v>
      </c>
      <c r="Z213" s="36">
        <f t="shared" si="788"/>
        <v>0</v>
      </c>
      <c r="AA213" s="36">
        <f t="shared" si="788"/>
        <v>0</v>
      </c>
      <c r="AB213" s="36">
        <f t="shared" si="788"/>
        <v>1</v>
      </c>
      <c r="AC213" s="36">
        <f t="shared" si="788"/>
        <v>0</v>
      </c>
      <c r="AD213" s="36">
        <f t="shared" si="788"/>
        <v>1</v>
      </c>
      <c r="AE213" s="36">
        <f t="shared" si="832"/>
        <v>0</v>
      </c>
      <c r="AF213" s="36">
        <f t="shared" si="832"/>
        <v>0</v>
      </c>
      <c r="AG213" s="36">
        <f t="shared" ref="AG213:AH213" si="840">AG212</f>
        <v>0</v>
      </c>
      <c r="AH213" s="36">
        <f t="shared" si="840"/>
        <v>0</v>
      </c>
      <c r="AI213" s="36">
        <f t="shared" ref="AI213" si="841">AI212</f>
        <v>0</v>
      </c>
      <c r="AJ213" s="36">
        <f t="shared" si="788"/>
        <v>0</v>
      </c>
      <c r="AK213" s="36">
        <f t="shared" si="837"/>
        <v>0</v>
      </c>
      <c r="AL213" s="36">
        <f t="shared" si="837"/>
        <v>0</v>
      </c>
      <c r="AM213" s="36">
        <f t="shared" si="837"/>
        <v>0</v>
      </c>
      <c r="AN213" s="36">
        <f t="shared" si="837"/>
        <v>0</v>
      </c>
      <c r="AO213" s="36">
        <f t="shared" si="837"/>
        <v>0</v>
      </c>
      <c r="AP213" s="36">
        <f t="shared" si="837"/>
        <v>0</v>
      </c>
      <c r="AQ213" s="36">
        <f t="shared" si="837"/>
        <v>0</v>
      </c>
      <c r="AR213" s="36">
        <f t="shared" si="813"/>
        <v>0</v>
      </c>
      <c r="AS213" s="31" t="str">
        <f t="shared" si="749"/>
        <v>SimulationStorage,1,</v>
      </c>
      <c r="AT213" s="31" t="str">
        <f t="shared" si="750"/>
        <v>AnalysisStorage,1,</v>
      </c>
      <c r="AU213" s="31" t="str">
        <f t="shared" si="751"/>
        <v>LogRuleEvaluation,0,</v>
      </c>
      <c r="AV213" s="31" t="str">
        <f t="shared" si="752"/>
        <v>ParallelSimulations,1,</v>
      </c>
      <c r="AW213" s="31" t="str">
        <f t="shared" si="753"/>
        <v>DurationStats,0,</v>
      </c>
      <c r="AX213" s="31" t="str">
        <f t="shared" si="754"/>
        <v>AnalysisThruStep,8,</v>
      </c>
      <c r="AY213" s="31" t="str">
        <f t="shared" si="755"/>
        <v>DontAbortOnErrorsThruStep,8,</v>
      </c>
      <c r="AZ213" s="31" t="str">
        <f t="shared" si="756"/>
        <v>BypassValidFileChecks,1,</v>
      </c>
      <c r="BA213" s="31" t="str">
        <f t="shared" si="757"/>
        <v>BypassInputChecks,0,</v>
      </c>
      <c r="BB213" s="31" t="str">
        <f t="shared" si="758"/>
        <v>BypassUMLHChecks,0,</v>
      </c>
      <c r="BC213" s="31" t="str">
        <f t="shared" si="759"/>
        <v>BypassCheckSimRules,0,</v>
      </c>
      <c r="BD213" s="31" t="str">
        <f t="shared" si="760"/>
        <v>BypassCheckCodeRules,0,</v>
      </c>
      <c r="BE213" s="31" t="str">
        <f t="shared" si="718"/>
        <v>StoreResultsToModelInput,1,</v>
      </c>
      <c r="BF213" s="31" t="str">
        <f t="shared" si="719"/>
        <v>StoreBEMDetails,0,</v>
      </c>
      <c r="BG213" s="31" t="str">
        <f t="shared" si="720"/>
        <v>ModelRpt_ALL,1,</v>
      </c>
      <c r="BH213" s="31" t="str">
        <f t="shared" si="721"/>
        <v>ExportHourlyResults_All,0,</v>
      </c>
      <c r="BI213" s="31" t="str">
        <f t="shared" si="722"/>
        <v>ComplianceReportPDF,0,</v>
      </c>
      <c r="BJ213" s="31" t="str">
        <f t="shared" si="723"/>
        <v>ComplianceReportXML,0,</v>
      </c>
      <c r="BK213" s="31" t="str">
        <f t="shared" si="724"/>
        <v>QuickAnalysis,0,</v>
      </c>
      <c r="BL213" s="31" t="str">
        <f t="shared" si="724"/>
        <v>PromptUserUMLHWarning,0,</v>
      </c>
      <c r="BM213" s="31" t="str">
        <f t="shared" si="725"/>
        <v>BypassOpenStudio_all,0,</v>
      </c>
      <c r="BN213" s="31" t="str">
        <f t="shared" si="726"/>
        <v>BypassOpenStudio_zp,0,</v>
      </c>
      <c r="BO213" s="31" t="str">
        <f t="shared" si="727"/>
        <v>BypassOpenStudio_zb,0,</v>
      </c>
      <c r="BP213" s="31" t="str">
        <f t="shared" si="728"/>
        <v>BypassOpenStudio_ap,0,</v>
      </c>
      <c r="BQ213" s="31" t="str">
        <f t="shared" si="729"/>
        <v>BypassOpenStudio_ab,0,</v>
      </c>
      <c r="BR213" s="31" t="str">
        <f t="shared" si="730"/>
        <v>BypassOpenStudio_zp,0,</v>
      </c>
      <c r="BS213" s="31" t="str">
        <f t="shared" si="731"/>
        <v>BypassOpenStudio_zb,0,</v>
      </c>
      <c r="BT213" s="31" t="str">
        <f t="shared" si="732"/>
        <v>BypassOpenStudio_ap,0,</v>
      </c>
      <c r="BU213" s="31" t="str">
        <f t="shared" si="733"/>
        <v>BypassOpenStudio_ab,0,</v>
      </c>
    </row>
    <row r="214" spans="1:73" hidden="1" outlineLevel="1" x14ac:dyDescent="0.25">
      <c r="A214" s="39">
        <f t="shared" si="734"/>
        <v>0</v>
      </c>
      <c r="B214" s="27" t="str">
        <f t="shared" si="735"/>
        <v>SoftwareSensitivity2016Tests\DetailedGeometry\x.cibd16</v>
      </c>
      <c r="C214" s="27" t="str">
        <f t="shared" si="736"/>
        <v>BatchOut_171026_r5178_FinalRel-v3-SSTSG_SSTDG\x.cibd16</v>
      </c>
      <c r="D214" s="27" t="str">
        <f t="shared" si="737"/>
        <v>BatchOut_171026_r5178_FinalRel-v3-SSTSG_SSTDG\XML\</v>
      </c>
      <c r="E214" s="9" t="str">
        <f t="shared" si="738"/>
        <v>x</v>
      </c>
      <c r="F214" s="22"/>
      <c r="G214" s="29"/>
      <c r="H214" s="23" t="str">
        <f t="shared" si="739"/>
        <v/>
      </c>
      <c r="I214" s="9" t="s">
        <v>11</v>
      </c>
      <c r="J21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4" s="15" t="s">
        <v>1</v>
      </c>
      <c r="L214" s="92">
        <f t="shared" si="744"/>
        <v>0</v>
      </c>
      <c r="M214" s="91" t="str">
        <f t="shared" si="740"/>
        <v>x</v>
      </c>
      <c r="N214" s="90" t="s">
        <v>149</v>
      </c>
      <c r="O214" s="28" t="str">
        <f t="shared" si="745"/>
        <v>x</v>
      </c>
      <c r="P214" s="36">
        <f t="shared" si="788"/>
        <v>1</v>
      </c>
      <c r="Q214" s="36">
        <f t="shared" si="788"/>
        <v>1</v>
      </c>
      <c r="R214" s="36">
        <f t="shared" si="788"/>
        <v>0</v>
      </c>
      <c r="S214" s="36">
        <f t="shared" si="788"/>
        <v>1</v>
      </c>
      <c r="T214" s="36">
        <f t="shared" si="788"/>
        <v>0</v>
      </c>
      <c r="U214" s="36">
        <f t="shared" si="788"/>
        <v>8</v>
      </c>
      <c r="V214" s="36">
        <f t="shared" si="788"/>
        <v>8</v>
      </c>
      <c r="W214" s="36">
        <f t="shared" si="788"/>
        <v>1</v>
      </c>
      <c r="X214" s="36">
        <f t="shared" si="788"/>
        <v>0</v>
      </c>
      <c r="Y214" s="36">
        <f t="shared" si="788"/>
        <v>0</v>
      </c>
      <c r="Z214" s="36">
        <f t="shared" si="788"/>
        <v>0</v>
      </c>
      <c r="AA214" s="36">
        <f t="shared" si="788"/>
        <v>0</v>
      </c>
      <c r="AB214" s="36">
        <f t="shared" si="788"/>
        <v>1</v>
      </c>
      <c r="AC214" s="36">
        <f t="shared" si="788"/>
        <v>0</v>
      </c>
      <c r="AD214" s="36">
        <f t="shared" si="788"/>
        <v>1</v>
      </c>
      <c r="AE214" s="36">
        <f t="shared" si="832"/>
        <v>0</v>
      </c>
      <c r="AF214" s="36">
        <f t="shared" si="832"/>
        <v>0</v>
      </c>
      <c r="AG214" s="36">
        <f t="shared" ref="AG214:AH214" si="842">AG213</f>
        <v>0</v>
      </c>
      <c r="AH214" s="36">
        <f t="shared" si="842"/>
        <v>0</v>
      </c>
      <c r="AI214" s="36">
        <f t="shared" ref="AI214" si="843">AI213</f>
        <v>0</v>
      </c>
      <c r="AJ214" s="36">
        <f t="shared" si="788"/>
        <v>0</v>
      </c>
      <c r="AK214" s="36">
        <f t="shared" si="837"/>
        <v>0</v>
      </c>
      <c r="AL214" s="36">
        <f t="shared" si="837"/>
        <v>0</v>
      </c>
      <c r="AM214" s="36">
        <f t="shared" si="837"/>
        <v>0</v>
      </c>
      <c r="AN214" s="36">
        <f t="shared" si="837"/>
        <v>0</v>
      </c>
      <c r="AO214" s="36">
        <f t="shared" si="837"/>
        <v>0</v>
      </c>
      <c r="AP214" s="36">
        <f t="shared" si="837"/>
        <v>0</v>
      </c>
      <c r="AQ214" s="36">
        <f t="shared" si="837"/>
        <v>0</v>
      </c>
      <c r="AR214" s="36">
        <f t="shared" si="813"/>
        <v>0</v>
      </c>
      <c r="AS214" s="31" t="str">
        <f t="shared" si="749"/>
        <v>SimulationStorage,1,</v>
      </c>
      <c r="AT214" s="31" t="str">
        <f t="shared" si="750"/>
        <v>AnalysisStorage,1,</v>
      </c>
      <c r="AU214" s="31" t="str">
        <f t="shared" si="751"/>
        <v>LogRuleEvaluation,0,</v>
      </c>
      <c r="AV214" s="31" t="str">
        <f t="shared" si="752"/>
        <v>ParallelSimulations,1,</v>
      </c>
      <c r="AW214" s="31" t="str">
        <f t="shared" si="753"/>
        <v>DurationStats,0,</v>
      </c>
      <c r="AX214" s="31" t="str">
        <f t="shared" si="754"/>
        <v>AnalysisThruStep,8,</v>
      </c>
      <c r="AY214" s="31" t="str">
        <f t="shared" si="755"/>
        <v>DontAbortOnErrorsThruStep,8,</v>
      </c>
      <c r="AZ214" s="31" t="str">
        <f t="shared" si="756"/>
        <v>BypassValidFileChecks,1,</v>
      </c>
      <c r="BA214" s="31" t="str">
        <f t="shared" si="757"/>
        <v>BypassInputChecks,0,</v>
      </c>
      <c r="BB214" s="31" t="str">
        <f t="shared" si="758"/>
        <v>BypassUMLHChecks,0,</v>
      </c>
      <c r="BC214" s="31" t="str">
        <f t="shared" si="759"/>
        <v>BypassCheckSimRules,0,</v>
      </c>
      <c r="BD214" s="31" t="str">
        <f t="shared" si="760"/>
        <v>BypassCheckCodeRules,0,</v>
      </c>
      <c r="BE214" s="31" t="str">
        <f t="shared" si="718"/>
        <v>StoreResultsToModelInput,1,</v>
      </c>
      <c r="BF214" s="31" t="str">
        <f t="shared" si="719"/>
        <v>StoreBEMDetails,0,</v>
      </c>
      <c r="BG214" s="31" t="str">
        <f t="shared" si="720"/>
        <v>ModelRpt_ALL,1,</v>
      </c>
      <c r="BH214" s="31" t="str">
        <f t="shared" si="721"/>
        <v>ExportHourlyResults_All,0,</v>
      </c>
      <c r="BI214" s="31" t="str">
        <f t="shared" si="722"/>
        <v>ComplianceReportPDF,0,</v>
      </c>
      <c r="BJ214" s="31" t="str">
        <f t="shared" si="723"/>
        <v>ComplianceReportXML,0,</v>
      </c>
      <c r="BK214" s="31" t="str">
        <f t="shared" si="724"/>
        <v>QuickAnalysis,0,</v>
      </c>
      <c r="BL214" s="31" t="str">
        <f t="shared" si="724"/>
        <v>PromptUserUMLHWarning,0,</v>
      </c>
      <c r="BM214" s="31" t="str">
        <f t="shared" si="725"/>
        <v>BypassOpenStudio_all,0,</v>
      </c>
      <c r="BN214" s="31" t="str">
        <f t="shared" si="726"/>
        <v>BypassOpenStudio_zp,0,</v>
      </c>
      <c r="BO214" s="31" t="str">
        <f t="shared" si="727"/>
        <v>BypassOpenStudio_zb,0,</v>
      </c>
      <c r="BP214" s="31" t="str">
        <f t="shared" si="728"/>
        <v>BypassOpenStudio_ap,0,</v>
      </c>
      <c r="BQ214" s="31" t="str">
        <f t="shared" si="729"/>
        <v>BypassOpenStudio_ab,0,</v>
      </c>
      <c r="BR214" s="31" t="str">
        <f t="shared" si="730"/>
        <v>BypassOpenStudio_zp,0,</v>
      </c>
      <c r="BS214" s="31" t="str">
        <f t="shared" si="731"/>
        <v>BypassOpenStudio_zb,0,</v>
      </c>
      <c r="BT214" s="31" t="str">
        <f t="shared" si="732"/>
        <v>BypassOpenStudio_ap,0,</v>
      </c>
      <c r="BU214" s="31" t="str">
        <f t="shared" si="733"/>
        <v>BypassOpenStudio_ab,0,</v>
      </c>
    </row>
    <row r="215" spans="1:73" hidden="1" outlineLevel="1" x14ac:dyDescent="0.25">
      <c r="A215" s="39">
        <f t="shared" si="734"/>
        <v>0</v>
      </c>
      <c r="B215" s="27" t="str">
        <f t="shared" si="735"/>
        <v>SoftwareSensitivity2016Tests\DetailedGeometry\x.cibd16</v>
      </c>
      <c r="C215" s="27" t="str">
        <f t="shared" si="736"/>
        <v>BatchOut_171026_r5178_FinalRel-v3-SSTSG_SSTDG\x.cibd16</v>
      </c>
      <c r="D215" s="27" t="str">
        <f t="shared" si="737"/>
        <v>BatchOut_171026_r5178_FinalRel-v3-SSTSG_SSTDG\XML\</v>
      </c>
      <c r="E215" s="9" t="str">
        <f t="shared" si="738"/>
        <v>x</v>
      </c>
      <c r="F215" s="22"/>
      <c r="G215" s="29"/>
      <c r="H215" s="23" t="str">
        <f t="shared" si="739"/>
        <v/>
      </c>
      <c r="I215" s="9" t="s">
        <v>11</v>
      </c>
      <c r="J21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5" s="15" t="s">
        <v>1</v>
      </c>
      <c r="L215" s="92">
        <f t="shared" si="744"/>
        <v>0</v>
      </c>
      <c r="M215" s="91" t="str">
        <f t="shared" si="740"/>
        <v>x</v>
      </c>
      <c r="N215" s="90" t="s">
        <v>149</v>
      </c>
      <c r="O215" s="28" t="str">
        <f t="shared" si="745"/>
        <v>x</v>
      </c>
      <c r="P215" s="36">
        <f t="shared" si="788"/>
        <v>1</v>
      </c>
      <c r="Q215" s="36">
        <f t="shared" si="788"/>
        <v>1</v>
      </c>
      <c r="R215" s="36">
        <f t="shared" si="788"/>
        <v>0</v>
      </c>
      <c r="S215" s="36">
        <f t="shared" si="788"/>
        <v>1</v>
      </c>
      <c r="T215" s="36">
        <f t="shared" si="788"/>
        <v>0</v>
      </c>
      <c r="U215" s="36">
        <f t="shared" si="788"/>
        <v>8</v>
      </c>
      <c r="V215" s="36">
        <f t="shared" si="788"/>
        <v>8</v>
      </c>
      <c r="W215" s="36">
        <f t="shared" si="788"/>
        <v>1</v>
      </c>
      <c r="X215" s="36">
        <f t="shared" si="788"/>
        <v>0</v>
      </c>
      <c r="Y215" s="36">
        <f t="shared" si="788"/>
        <v>0</v>
      </c>
      <c r="Z215" s="36">
        <f t="shared" si="788"/>
        <v>0</v>
      </c>
      <c r="AA215" s="36">
        <f t="shared" si="788"/>
        <v>0</v>
      </c>
      <c r="AB215" s="36">
        <f t="shared" si="788"/>
        <v>1</v>
      </c>
      <c r="AC215" s="36">
        <f t="shared" si="788"/>
        <v>0</v>
      </c>
      <c r="AD215" s="36">
        <f t="shared" si="788"/>
        <v>1</v>
      </c>
      <c r="AE215" s="36">
        <f t="shared" si="832"/>
        <v>0</v>
      </c>
      <c r="AF215" s="36">
        <f t="shared" si="832"/>
        <v>0</v>
      </c>
      <c r="AG215" s="36">
        <f t="shared" ref="AG215:AH215" si="844">AG214</f>
        <v>0</v>
      </c>
      <c r="AH215" s="36">
        <f t="shared" si="844"/>
        <v>0</v>
      </c>
      <c r="AI215" s="36">
        <f t="shared" ref="AI215" si="845">AI214</f>
        <v>0</v>
      </c>
      <c r="AJ215" s="36">
        <f t="shared" si="788"/>
        <v>0</v>
      </c>
      <c r="AK215" s="36">
        <f t="shared" si="837"/>
        <v>0</v>
      </c>
      <c r="AL215" s="36">
        <f t="shared" si="837"/>
        <v>0</v>
      </c>
      <c r="AM215" s="36">
        <f t="shared" si="837"/>
        <v>0</v>
      </c>
      <c r="AN215" s="36">
        <f t="shared" si="837"/>
        <v>0</v>
      </c>
      <c r="AO215" s="36">
        <f t="shared" si="837"/>
        <v>0</v>
      </c>
      <c r="AP215" s="36">
        <f t="shared" si="837"/>
        <v>0</v>
      </c>
      <c r="AQ215" s="36">
        <f t="shared" si="837"/>
        <v>0</v>
      </c>
      <c r="AR215" s="36">
        <f t="shared" si="813"/>
        <v>0</v>
      </c>
      <c r="AS215" s="31" t="str">
        <f t="shared" si="749"/>
        <v>SimulationStorage,1,</v>
      </c>
      <c r="AT215" s="31" t="str">
        <f t="shared" si="750"/>
        <v>AnalysisStorage,1,</v>
      </c>
      <c r="AU215" s="31" t="str">
        <f t="shared" si="751"/>
        <v>LogRuleEvaluation,0,</v>
      </c>
      <c r="AV215" s="31" t="str">
        <f t="shared" si="752"/>
        <v>ParallelSimulations,1,</v>
      </c>
      <c r="AW215" s="31" t="str">
        <f t="shared" si="753"/>
        <v>DurationStats,0,</v>
      </c>
      <c r="AX215" s="31" t="str">
        <f t="shared" si="754"/>
        <v>AnalysisThruStep,8,</v>
      </c>
      <c r="AY215" s="31" t="str">
        <f t="shared" si="755"/>
        <v>DontAbortOnErrorsThruStep,8,</v>
      </c>
      <c r="AZ215" s="31" t="str">
        <f t="shared" si="756"/>
        <v>BypassValidFileChecks,1,</v>
      </c>
      <c r="BA215" s="31" t="str">
        <f t="shared" si="757"/>
        <v>BypassInputChecks,0,</v>
      </c>
      <c r="BB215" s="31" t="str">
        <f t="shared" si="758"/>
        <v>BypassUMLHChecks,0,</v>
      </c>
      <c r="BC215" s="31" t="str">
        <f t="shared" si="759"/>
        <v>BypassCheckSimRules,0,</v>
      </c>
      <c r="BD215" s="31" t="str">
        <f t="shared" si="760"/>
        <v>BypassCheckCodeRules,0,</v>
      </c>
      <c r="BE215" s="31" t="str">
        <f t="shared" si="718"/>
        <v>StoreResultsToModelInput,1,</v>
      </c>
      <c r="BF215" s="31" t="str">
        <f t="shared" si="719"/>
        <v>StoreBEMDetails,0,</v>
      </c>
      <c r="BG215" s="31" t="str">
        <f t="shared" si="720"/>
        <v>ModelRpt_ALL,1,</v>
      </c>
      <c r="BH215" s="31" t="str">
        <f t="shared" si="721"/>
        <v>ExportHourlyResults_All,0,</v>
      </c>
      <c r="BI215" s="31" t="str">
        <f t="shared" si="722"/>
        <v>ComplianceReportPDF,0,</v>
      </c>
      <c r="BJ215" s="31" t="str">
        <f t="shared" si="723"/>
        <v>ComplianceReportXML,0,</v>
      </c>
      <c r="BK215" s="31" t="str">
        <f t="shared" si="724"/>
        <v>QuickAnalysis,0,</v>
      </c>
      <c r="BL215" s="31" t="str">
        <f t="shared" si="724"/>
        <v>PromptUserUMLHWarning,0,</v>
      </c>
      <c r="BM215" s="31" t="str">
        <f t="shared" si="725"/>
        <v>BypassOpenStudio_all,0,</v>
      </c>
      <c r="BN215" s="31" t="str">
        <f t="shared" si="726"/>
        <v>BypassOpenStudio_zp,0,</v>
      </c>
      <c r="BO215" s="31" t="str">
        <f t="shared" si="727"/>
        <v>BypassOpenStudio_zb,0,</v>
      </c>
      <c r="BP215" s="31" t="str">
        <f t="shared" si="728"/>
        <v>BypassOpenStudio_ap,0,</v>
      </c>
      <c r="BQ215" s="31" t="str">
        <f t="shared" si="729"/>
        <v>BypassOpenStudio_ab,0,</v>
      </c>
      <c r="BR215" s="31" t="str">
        <f t="shared" si="730"/>
        <v>BypassOpenStudio_zp,0,</v>
      </c>
      <c r="BS215" s="31" t="str">
        <f t="shared" si="731"/>
        <v>BypassOpenStudio_zb,0,</v>
      </c>
      <c r="BT215" s="31" t="str">
        <f t="shared" si="732"/>
        <v>BypassOpenStudio_ap,0,</v>
      </c>
      <c r="BU215" s="31" t="str">
        <f t="shared" si="733"/>
        <v>BypassOpenStudio_ab,0,</v>
      </c>
    </row>
    <row r="216" spans="1:73" hidden="1" outlineLevel="1" x14ac:dyDescent="0.25">
      <c r="A216" s="39">
        <f t="shared" si="734"/>
        <v>0</v>
      </c>
      <c r="B216" s="27" t="str">
        <f t="shared" si="735"/>
        <v>SoftwareSensitivity2016Tests\DetailedGeometry\x.cibd16</v>
      </c>
      <c r="C216" s="27" t="str">
        <f t="shared" si="736"/>
        <v>BatchOut_171026_r5178_FinalRel-v3-SSTSG_SSTDG\x.cibd16</v>
      </c>
      <c r="D216" s="27" t="str">
        <f t="shared" si="737"/>
        <v>BatchOut_171026_r5178_FinalRel-v3-SSTSG_SSTDG\XML\</v>
      </c>
      <c r="E216" s="9" t="str">
        <f t="shared" si="738"/>
        <v>x</v>
      </c>
      <c r="F216" s="22"/>
      <c r="G216" s="29"/>
      <c r="H216" s="23" t="str">
        <f t="shared" si="739"/>
        <v/>
      </c>
      <c r="I216" s="9" t="s">
        <v>11</v>
      </c>
      <c r="J21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6" s="15" t="s">
        <v>1</v>
      </c>
      <c r="L216" s="36">
        <f t="shared" ref="L216:L247" si="846">L215</f>
        <v>0</v>
      </c>
      <c r="M216" s="91" t="str">
        <f t="shared" si="740"/>
        <v>x</v>
      </c>
      <c r="N216" s="90" t="s">
        <v>149</v>
      </c>
      <c r="O216" s="28" t="str">
        <f t="shared" si="745"/>
        <v>x</v>
      </c>
      <c r="P216" s="36">
        <f t="shared" si="788"/>
        <v>1</v>
      </c>
      <c r="Q216" s="36">
        <f t="shared" si="788"/>
        <v>1</v>
      </c>
      <c r="R216" s="36">
        <f t="shared" si="788"/>
        <v>0</v>
      </c>
      <c r="S216" s="36">
        <f t="shared" si="788"/>
        <v>1</v>
      </c>
      <c r="T216" s="36">
        <f t="shared" si="788"/>
        <v>0</v>
      </c>
      <c r="U216" s="36">
        <f t="shared" si="788"/>
        <v>8</v>
      </c>
      <c r="V216" s="36">
        <f t="shared" si="788"/>
        <v>8</v>
      </c>
      <c r="W216" s="36">
        <f t="shared" si="788"/>
        <v>1</v>
      </c>
      <c r="X216" s="36">
        <f t="shared" si="788"/>
        <v>0</v>
      </c>
      <c r="Y216" s="36">
        <f t="shared" si="788"/>
        <v>0</v>
      </c>
      <c r="Z216" s="36">
        <f t="shared" si="788"/>
        <v>0</v>
      </c>
      <c r="AA216" s="36">
        <f t="shared" si="788"/>
        <v>0</v>
      </c>
      <c r="AB216" s="36">
        <f t="shared" si="788"/>
        <v>1</v>
      </c>
      <c r="AC216" s="36">
        <f t="shared" si="788"/>
        <v>0</v>
      </c>
      <c r="AD216" s="36">
        <f t="shared" si="788"/>
        <v>1</v>
      </c>
      <c r="AE216" s="36">
        <f t="shared" si="832"/>
        <v>0</v>
      </c>
      <c r="AF216" s="36">
        <f t="shared" si="832"/>
        <v>0</v>
      </c>
      <c r="AG216" s="36">
        <f t="shared" ref="AG216:AH216" si="847">AG215</f>
        <v>0</v>
      </c>
      <c r="AH216" s="36">
        <f t="shared" si="847"/>
        <v>0</v>
      </c>
      <c r="AI216" s="36">
        <f t="shared" ref="AI216" si="848">AI215</f>
        <v>0</v>
      </c>
      <c r="AJ216" s="36">
        <f t="shared" si="788"/>
        <v>0</v>
      </c>
      <c r="AK216" s="36">
        <f t="shared" si="837"/>
        <v>0</v>
      </c>
      <c r="AL216" s="36">
        <f t="shared" si="837"/>
        <v>0</v>
      </c>
      <c r="AM216" s="36">
        <f t="shared" si="837"/>
        <v>0</v>
      </c>
      <c r="AN216" s="36">
        <f t="shared" si="837"/>
        <v>0</v>
      </c>
      <c r="AO216" s="36">
        <f t="shared" si="837"/>
        <v>0</v>
      </c>
      <c r="AP216" s="36">
        <f t="shared" si="837"/>
        <v>0</v>
      </c>
      <c r="AQ216" s="36">
        <f t="shared" si="837"/>
        <v>0</v>
      </c>
      <c r="AR216" s="36">
        <f t="shared" si="813"/>
        <v>0</v>
      </c>
      <c r="AS216" s="31" t="str">
        <f t="shared" si="749"/>
        <v>SimulationStorage,1,</v>
      </c>
      <c r="AT216" s="31" t="str">
        <f t="shared" si="750"/>
        <v>AnalysisStorage,1,</v>
      </c>
      <c r="AU216" s="31" t="str">
        <f t="shared" si="751"/>
        <v>LogRuleEvaluation,0,</v>
      </c>
      <c r="AV216" s="31" t="str">
        <f t="shared" si="752"/>
        <v>ParallelSimulations,1,</v>
      </c>
      <c r="AW216" s="31" t="str">
        <f t="shared" si="753"/>
        <v>DurationStats,0,</v>
      </c>
      <c r="AX216" s="31" t="str">
        <f t="shared" si="754"/>
        <v>AnalysisThruStep,8,</v>
      </c>
      <c r="AY216" s="31" t="str">
        <f t="shared" si="755"/>
        <v>DontAbortOnErrorsThruStep,8,</v>
      </c>
      <c r="AZ216" s="31" t="str">
        <f t="shared" si="756"/>
        <v>BypassValidFileChecks,1,</v>
      </c>
      <c r="BA216" s="31" t="str">
        <f t="shared" si="757"/>
        <v>BypassInputChecks,0,</v>
      </c>
      <c r="BB216" s="31" t="str">
        <f t="shared" si="758"/>
        <v>BypassUMLHChecks,0,</v>
      </c>
      <c r="BC216" s="31" t="str">
        <f t="shared" si="759"/>
        <v>BypassCheckSimRules,0,</v>
      </c>
      <c r="BD216" s="31" t="str">
        <f t="shared" si="760"/>
        <v>BypassCheckCodeRules,0,</v>
      </c>
      <c r="BE216" s="31" t="str">
        <f t="shared" si="718"/>
        <v>StoreResultsToModelInput,1,</v>
      </c>
      <c r="BF216" s="31" t="str">
        <f t="shared" si="719"/>
        <v>StoreBEMDetails,0,</v>
      </c>
      <c r="BG216" s="31" t="str">
        <f t="shared" si="720"/>
        <v>ModelRpt_ALL,1,</v>
      </c>
      <c r="BH216" s="31" t="str">
        <f t="shared" si="721"/>
        <v>ExportHourlyResults_All,0,</v>
      </c>
      <c r="BI216" s="31" t="str">
        <f t="shared" si="722"/>
        <v>ComplianceReportPDF,0,</v>
      </c>
      <c r="BJ216" s="31" t="str">
        <f t="shared" si="723"/>
        <v>ComplianceReportXML,0,</v>
      </c>
      <c r="BK216" s="31" t="str">
        <f t="shared" si="724"/>
        <v>QuickAnalysis,0,</v>
      </c>
      <c r="BL216" s="31" t="str">
        <f t="shared" si="724"/>
        <v>PromptUserUMLHWarning,0,</v>
      </c>
      <c r="BM216" s="31" t="str">
        <f t="shared" si="725"/>
        <v>BypassOpenStudio_all,0,</v>
      </c>
      <c r="BN216" s="31" t="str">
        <f t="shared" si="726"/>
        <v>BypassOpenStudio_zp,0,</v>
      </c>
      <c r="BO216" s="31" t="str">
        <f t="shared" si="727"/>
        <v>BypassOpenStudio_zb,0,</v>
      </c>
      <c r="BP216" s="31" t="str">
        <f t="shared" si="728"/>
        <v>BypassOpenStudio_ap,0,</v>
      </c>
      <c r="BQ216" s="31" t="str">
        <f t="shared" si="729"/>
        <v>BypassOpenStudio_ab,0,</v>
      </c>
      <c r="BR216" s="31" t="str">
        <f t="shared" si="730"/>
        <v>BypassOpenStudio_zp,0,</v>
      </c>
      <c r="BS216" s="31" t="str">
        <f t="shared" si="731"/>
        <v>BypassOpenStudio_zb,0,</v>
      </c>
      <c r="BT216" s="31" t="str">
        <f t="shared" si="732"/>
        <v>BypassOpenStudio_ap,0,</v>
      </c>
      <c r="BU216" s="31" t="str">
        <f t="shared" si="733"/>
        <v>BypassOpenStudio_ab,0,</v>
      </c>
    </row>
    <row r="217" spans="1:73" hidden="1" outlineLevel="1" x14ac:dyDescent="0.25">
      <c r="A217" s="39">
        <f t="shared" si="734"/>
        <v>0</v>
      </c>
      <c r="B217" s="27" t="str">
        <f t="shared" si="735"/>
        <v>SoftwareSensitivity2016Tests\DetailedGeometry\x.cibd16</v>
      </c>
      <c r="C217" s="27" t="str">
        <f t="shared" si="736"/>
        <v>BatchOut_171026_r5178_FinalRel-v3-SSTSG_SSTDG\x.cibd16</v>
      </c>
      <c r="D217" s="27" t="str">
        <f t="shared" si="737"/>
        <v>BatchOut_171026_r5178_FinalRel-v3-SSTSG_SSTDG\XML\</v>
      </c>
      <c r="E217" s="9" t="str">
        <f t="shared" si="738"/>
        <v>x</v>
      </c>
      <c r="F217" s="22"/>
      <c r="G217" s="29"/>
      <c r="H217" s="23" t="str">
        <f t="shared" si="739"/>
        <v/>
      </c>
      <c r="I217" s="9" t="s">
        <v>11</v>
      </c>
      <c r="J21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7" s="15" t="s">
        <v>1</v>
      </c>
      <c r="L217" s="36">
        <f t="shared" si="846"/>
        <v>0</v>
      </c>
      <c r="M217" s="91" t="str">
        <f t="shared" si="740"/>
        <v>x</v>
      </c>
      <c r="N217" s="90" t="s">
        <v>149</v>
      </c>
      <c r="O217" s="28" t="str">
        <f t="shared" si="745"/>
        <v>x</v>
      </c>
      <c r="P217" s="36">
        <f t="shared" si="788"/>
        <v>1</v>
      </c>
      <c r="Q217" s="36">
        <f t="shared" si="788"/>
        <v>1</v>
      </c>
      <c r="R217" s="36">
        <f t="shared" si="788"/>
        <v>0</v>
      </c>
      <c r="S217" s="36">
        <f t="shared" si="788"/>
        <v>1</v>
      </c>
      <c r="T217" s="36">
        <f t="shared" si="788"/>
        <v>0</v>
      </c>
      <c r="U217" s="36">
        <f t="shared" si="788"/>
        <v>8</v>
      </c>
      <c r="V217" s="36">
        <f t="shared" si="788"/>
        <v>8</v>
      </c>
      <c r="W217" s="36">
        <f t="shared" si="788"/>
        <v>1</v>
      </c>
      <c r="X217" s="36">
        <f t="shared" si="788"/>
        <v>0</v>
      </c>
      <c r="Y217" s="36">
        <f t="shared" si="788"/>
        <v>0</v>
      </c>
      <c r="Z217" s="36">
        <f t="shared" si="788"/>
        <v>0</v>
      </c>
      <c r="AA217" s="36">
        <f t="shared" si="788"/>
        <v>0</v>
      </c>
      <c r="AB217" s="36">
        <f t="shared" si="788"/>
        <v>1</v>
      </c>
      <c r="AC217" s="36">
        <f t="shared" si="788"/>
        <v>0</v>
      </c>
      <c r="AD217" s="36">
        <f t="shared" si="788"/>
        <v>1</v>
      </c>
      <c r="AE217" s="36">
        <f t="shared" si="832"/>
        <v>0</v>
      </c>
      <c r="AF217" s="36">
        <f t="shared" si="832"/>
        <v>0</v>
      </c>
      <c r="AG217" s="36">
        <f t="shared" ref="AG217:AH217" si="849">AG216</f>
        <v>0</v>
      </c>
      <c r="AH217" s="36">
        <f t="shared" si="849"/>
        <v>0</v>
      </c>
      <c r="AI217" s="36">
        <f t="shared" ref="AI217" si="850">AI216</f>
        <v>0</v>
      </c>
      <c r="AJ217" s="36">
        <f t="shared" si="788"/>
        <v>0</v>
      </c>
      <c r="AK217" s="36">
        <f t="shared" si="837"/>
        <v>0</v>
      </c>
      <c r="AL217" s="36">
        <f t="shared" si="837"/>
        <v>0</v>
      </c>
      <c r="AM217" s="36">
        <f t="shared" si="837"/>
        <v>0</v>
      </c>
      <c r="AN217" s="36">
        <f t="shared" si="837"/>
        <v>0</v>
      </c>
      <c r="AO217" s="36">
        <f t="shared" si="837"/>
        <v>0</v>
      </c>
      <c r="AP217" s="36">
        <f t="shared" si="837"/>
        <v>0</v>
      </c>
      <c r="AQ217" s="36">
        <f t="shared" si="837"/>
        <v>0</v>
      </c>
      <c r="AR217" s="36">
        <f t="shared" si="813"/>
        <v>0</v>
      </c>
      <c r="AS217" s="31" t="str">
        <f t="shared" si="749"/>
        <v>SimulationStorage,1,</v>
      </c>
      <c r="AT217" s="31" t="str">
        <f t="shared" si="750"/>
        <v>AnalysisStorage,1,</v>
      </c>
      <c r="AU217" s="31" t="str">
        <f t="shared" si="751"/>
        <v>LogRuleEvaluation,0,</v>
      </c>
      <c r="AV217" s="31" t="str">
        <f t="shared" si="752"/>
        <v>ParallelSimulations,1,</v>
      </c>
      <c r="AW217" s="31" t="str">
        <f t="shared" si="753"/>
        <v>DurationStats,0,</v>
      </c>
      <c r="AX217" s="31" t="str">
        <f t="shared" si="754"/>
        <v>AnalysisThruStep,8,</v>
      </c>
      <c r="AY217" s="31" t="str">
        <f t="shared" si="755"/>
        <v>DontAbortOnErrorsThruStep,8,</v>
      </c>
      <c r="AZ217" s="31" t="str">
        <f t="shared" si="756"/>
        <v>BypassValidFileChecks,1,</v>
      </c>
      <c r="BA217" s="31" t="str">
        <f t="shared" si="757"/>
        <v>BypassInputChecks,0,</v>
      </c>
      <c r="BB217" s="31" t="str">
        <f t="shared" si="758"/>
        <v>BypassUMLHChecks,0,</v>
      </c>
      <c r="BC217" s="31" t="str">
        <f t="shared" si="759"/>
        <v>BypassCheckSimRules,0,</v>
      </c>
      <c r="BD217" s="31" t="str">
        <f t="shared" si="760"/>
        <v>BypassCheckCodeRules,0,</v>
      </c>
      <c r="BE217" s="31" t="str">
        <f t="shared" si="718"/>
        <v>StoreResultsToModelInput,1,</v>
      </c>
      <c r="BF217" s="31" t="str">
        <f t="shared" si="719"/>
        <v>StoreBEMDetails,0,</v>
      </c>
      <c r="BG217" s="31" t="str">
        <f t="shared" si="720"/>
        <v>ModelRpt_ALL,1,</v>
      </c>
      <c r="BH217" s="31" t="str">
        <f t="shared" si="721"/>
        <v>ExportHourlyResults_All,0,</v>
      </c>
      <c r="BI217" s="31" t="str">
        <f t="shared" si="722"/>
        <v>ComplianceReportPDF,0,</v>
      </c>
      <c r="BJ217" s="31" t="str">
        <f t="shared" si="723"/>
        <v>ComplianceReportXML,0,</v>
      </c>
      <c r="BK217" s="31" t="str">
        <f t="shared" si="724"/>
        <v>QuickAnalysis,0,</v>
      </c>
      <c r="BL217" s="31" t="str">
        <f t="shared" si="724"/>
        <v>PromptUserUMLHWarning,0,</v>
      </c>
      <c r="BM217" s="31" t="str">
        <f t="shared" si="725"/>
        <v>BypassOpenStudio_all,0,</v>
      </c>
      <c r="BN217" s="31" t="str">
        <f t="shared" si="726"/>
        <v>BypassOpenStudio_zp,0,</v>
      </c>
      <c r="BO217" s="31" t="str">
        <f t="shared" si="727"/>
        <v>BypassOpenStudio_zb,0,</v>
      </c>
      <c r="BP217" s="31" t="str">
        <f t="shared" si="728"/>
        <v>BypassOpenStudio_ap,0,</v>
      </c>
      <c r="BQ217" s="31" t="str">
        <f t="shared" si="729"/>
        <v>BypassOpenStudio_ab,0,</v>
      </c>
      <c r="BR217" s="31" t="str">
        <f t="shared" si="730"/>
        <v>BypassOpenStudio_zp,0,</v>
      </c>
      <c r="BS217" s="31" t="str">
        <f t="shared" si="731"/>
        <v>BypassOpenStudio_zb,0,</v>
      </c>
      <c r="BT217" s="31" t="str">
        <f t="shared" si="732"/>
        <v>BypassOpenStudio_ap,0,</v>
      </c>
      <c r="BU217" s="31" t="str">
        <f t="shared" si="733"/>
        <v>BypassOpenStudio_ab,0,</v>
      </c>
    </row>
    <row r="218" spans="1:73" hidden="1" outlineLevel="1" x14ac:dyDescent="0.25">
      <c r="A218" s="39">
        <f t="shared" si="734"/>
        <v>0</v>
      </c>
      <c r="B218" s="27" t="str">
        <f t="shared" si="735"/>
        <v>SoftwareSensitivity2016Tests\DetailedGeometry\x.cibd16</v>
      </c>
      <c r="C218" s="27" t="str">
        <f t="shared" si="736"/>
        <v>BatchOut_171026_r5178_FinalRel-v3-SSTSG_SSTDG\x.cibd16</v>
      </c>
      <c r="D218" s="27" t="str">
        <f t="shared" si="737"/>
        <v>BatchOut_171026_r5178_FinalRel-v3-SSTSG_SSTDG\XML\</v>
      </c>
      <c r="E218" s="9" t="str">
        <f t="shared" si="738"/>
        <v>x</v>
      </c>
      <c r="F218" s="22"/>
      <c r="G218" s="29"/>
      <c r="H218" s="23" t="str">
        <f t="shared" si="739"/>
        <v/>
      </c>
      <c r="I218" s="9" t="s">
        <v>11</v>
      </c>
      <c r="J21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8" s="15" t="s">
        <v>1</v>
      </c>
      <c r="L218" s="36">
        <f t="shared" si="846"/>
        <v>0</v>
      </c>
      <c r="M218" s="91" t="str">
        <f t="shared" si="740"/>
        <v>x</v>
      </c>
      <c r="N218" s="90" t="s">
        <v>149</v>
      </c>
      <c r="O218" s="28" t="str">
        <f t="shared" si="745"/>
        <v>x</v>
      </c>
      <c r="P218" s="36">
        <f t="shared" si="788"/>
        <v>1</v>
      </c>
      <c r="Q218" s="36">
        <f t="shared" si="788"/>
        <v>1</v>
      </c>
      <c r="R218" s="36">
        <f t="shared" si="788"/>
        <v>0</v>
      </c>
      <c r="S218" s="36">
        <f t="shared" si="788"/>
        <v>1</v>
      </c>
      <c r="T218" s="36">
        <f t="shared" si="788"/>
        <v>0</v>
      </c>
      <c r="U218" s="36">
        <f t="shared" si="788"/>
        <v>8</v>
      </c>
      <c r="V218" s="36">
        <f t="shared" si="788"/>
        <v>8</v>
      </c>
      <c r="W218" s="36">
        <f t="shared" si="788"/>
        <v>1</v>
      </c>
      <c r="X218" s="36">
        <f t="shared" si="788"/>
        <v>0</v>
      </c>
      <c r="Y218" s="36">
        <f t="shared" si="788"/>
        <v>0</v>
      </c>
      <c r="Z218" s="36">
        <f t="shared" si="788"/>
        <v>0</v>
      </c>
      <c r="AA218" s="36">
        <f t="shared" si="788"/>
        <v>0</v>
      </c>
      <c r="AB218" s="36">
        <f t="shared" si="788"/>
        <v>1</v>
      </c>
      <c r="AC218" s="36">
        <f t="shared" si="788"/>
        <v>0</v>
      </c>
      <c r="AD218" s="36">
        <f t="shared" si="788"/>
        <v>1</v>
      </c>
      <c r="AE218" s="36">
        <f t="shared" si="832"/>
        <v>0</v>
      </c>
      <c r="AF218" s="36">
        <f t="shared" si="832"/>
        <v>0</v>
      </c>
      <c r="AG218" s="36">
        <f t="shared" ref="AG218:AH218" si="851">AG217</f>
        <v>0</v>
      </c>
      <c r="AH218" s="36">
        <f t="shared" si="851"/>
        <v>0</v>
      </c>
      <c r="AI218" s="36">
        <f t="shared" ref="AI218" si="852">AI217</f>
        <v>0</v>
      </c>
      <c r="AJ218" s="36">
        <f t="shared" si="788"/>
        <v>0</v>
      </c>
      <c r="AK218" s="36">
        <f t="shared" si="837"/>
        <v>0</v>
      </c>
      <c r="AL218" s="36">
        <f t="shared" si="837"/>
        <v>0</v>
      </c>
      <c r="AM218" s="36">
        <f t="shared" si="837"/>
        <v>0</v>
      </c>
      <c r="AN218" s="36">
        <f t="shared" si="837"/>
        <v>0</v>
      </c>
      <c r="AO218" s="36">
        <f t="shared" si="837"/>
        <v>0</v>
      </c>
      <c r="AP218" s="36">
        <f t="shared" si="837"/>
        <v>0</v>
      </c>
      <c r="AQ218" s="36">
        <f t="shared" si="837"/>
        <v>0</v>
      </c>
      <c r="AR218" s="36">
        <f t="shared" si="813"/>
        <v>0</v>
      </c>
      <c r="AS218" s="31" t="str">
        <f t="shared" si="749"/>
        <v>SimulationStorage,1,</v>
      </c>
      <c r="AT218" s="31" t="str">
        <f t="shared" si="750"/>
        <v>AnalysisStorage,1,</v>
      </c>
      <c r="AU218" s="31" t="str">
        <f t="shared" si="751"/>
        <v>LogRuleEvaluation,0,</v>
      </c>
      <c r="AV218" s="31" t="str">
        <f t="shared" si="752"/>
        <v>ParallelSimulations,1,</v>
      </c>
      <c r="AW218" s="31" t="str">
        <f t="shared" si="753"/>
        <v>DurationStats,0,</v>
      </c>
      <c r="AX218" s="31" t="str">
        <f t="shared" si="754"/>
        <v>AnalysisThruStep,8,</v>
      </c>
      <c r="AY218" s="31" t="str">
        <f t="shared" si="755"/>
        <v>DontAbortOnErrorsThruStep,8,</v>
      </c>
      <c r="AZ218" s="31" t="str">
        <f t="shared" si="756"/>
        <v>BypassValidFileChecks,1,</v>
      </c>
      <c r="BA218" s="31" t="str">
        <f t="shared" si="757"/>
        <v>BypassInputChecks,0,</v>
      </c>
      <c r="BB218" s="31" t="str">
        <f t="shared" si="758"/>
        <v>BypassUMLHChecks,0,</v>
      </c>
      <c r="BC218" s="31" t="str">
        <f t="shared" si="759"/>
        <v>BypassCheckSimRules,0,</v>
      </c>
      <c r="BD218" s="31" t="str">
        <f t="shared" si="760"/>
        <v>BypassCheckCodeRules,0,</v>
      </c>
      <c r="BE218" s="31" t="str">
        <f t="shared" si="718"/>
        <v>StoreResultsToModelInput,1,</v>
      </c>
      <c r="BF218" s="31" t="str">
        <f t="shared" si="719"/>
        <v>StoreBEMDetails,0,</v>
      </c>
      <c r="BG218" s="31" t="str">
        <f t="shared" si="720"/>
        <v>ModelRpt_ALL,1,</v>
      </c>
      <c r="BH218" s="31" t="str">
        <f t="shared" si="721"/>
        <v>ExportHourlyResults_All,0,</v>
      </c>
      <c r="BI218" s="31" t="str">
        <f t="shared" si="722"/>
        <v>ComplianceReportPDF,0,</v>
      </c>
      <c r="BJ218" s="31" t="str">
        <f t="shared" si="723"/>
        <v>ComplianceReportXML,0,</v>
      </c>
      <c r="BK218" s="31" t="str">
        <f t="shared" si="724"/>
        <v>QuickAnalysis,0,</v>
      </c>
      <c r="BL218" s="31" t="str">
        <f t="shared" si="724"/>
        <v>PromptUserUMLHWarning,0,</v>
      </c>
      <c r="BM218" s="31" t="str">
        <f t="shared" si="725"/>
        <v>BypassOpenStudio_all,0,</v>
      </c>
      <c r="BN218" s="31" t="str">
        <f t="shared" si="726"/>
        <v>BypassOpenStudio_zp,0,</v>
      </c>
      <c r="BO218" s="31" t="str">
        <f t="shared" si="727"/>
        <v>BypassOpenStudio_zb,0,</v>
      </c>
      <c r="BP218" s="31" t="str">
        <f t="shared" si="728"/>
        <v>BypassOpenStudio_ap,0,</v>
      </c>
      <c r="BQ218" s="31" t="str">
        <f t="shared" si="729"/>
        <v>BypassOpenStudio_ab,0,</v>
      </c>
      <c r="BR218" s="31" t="str">
        <f t="shared" si="730"/>
        <v>BypassOpenStudio_zp,0,</v>
      </c>
      <c r="BS218" s="31" t="str">
        <f t="shared" si="731"/>
        <v>BypassOpenStudio_zb,0,</v>
      </c>
      <c r="BT218" s="31" t="str">
        <f t="shared" si="732"/>
        <v>BypassOpenStudio_ap,0,</v>
      </c>
      <c r="BU218" s="31" t="str">
        <f t="shared" si="733"/>
        <v>BypassOpenStudio_ab,0,</v>
      </c>
    </row>
    <row r="219" spans="1:73" hidden="1" outlineLevel="1" x14ac:dyDescent="0.25">
      <c r="A219" s="39">
        <f t="shared" si="734"/>
        <v>0</v>
      </c>
      <c r="B219" s="27" t="str">
        <f t="shared" si="735"/>
        <v>SoftwareSensitivity2016Tests\DetailedGeometry\x.cibd16</v>
      </c>
      <c r="C219" s="27" t="str">
        <f t="shared" si="736"/>
        <v>BatchOut_171026_r5178_FinalRel-v3-SSTSG_SSTDG\x.cibd16</v>
      </c>
      <c r="D219" s="27" t="str">
        <f t="shared" si="737"/>
        <v>BatchOut_171026_r5178_FinalRel-v3-SSTSG_SSTDG\XML\</v>
      </c>
      <c r="E219" s="9" t="str">
        <f t="shared" si="738"/>
        <v>x</v>
      </c>
      <c r="F219" s="22"/>
      <c r="G219" s="29"/>
      <c r="H219" s="23" t="str">
        <f t="shared" si="739"/>
        <v/>
      </c>
      <c r="I219" s="9" t="s">
        <v>11</v>
      </c>
      <c r="J21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9" s="15" t="s">
        <v>1</v>
      </c>
      <c r="L219" s="36">
        <f t="shared" si="846"/>
        <v>0</v>
      </c>
      <c r="M219" s="91" t="str">
        <f t="shared" si="740"/>
        <v>x</v>
      </c>
      <c r="N219" s="90" t="s">
        <v>149</v>
      </c>
      <c r="O219" s="28" t="str">
        <f t="shared" si="745"/>
        <v>x</v>
      </c>
      <c r="P219" s="36">
        <f t="shared" si="788"/>
        <v>1</v>
      </c>
      <c r="Q219" s="36">
        <f t="shared" si="788"/>
        <v>1</v>
      </c>
      <c r="R219" s="36">
        <f t="shared" si="788"/>
        <v>0</v>
      </c>
      <c r="S219" s="36">
        <f t="shared" si="788"/>
        <v>1</v>
      </c>
      <c r="T219" s="36">
        <f t="shared" si="788"/>
        <v>0</v>
      </c>
      <c r="U219" s="36">
        <f t="shared" si="788"/>
        <v>8</v>
      </c>
      <c r="V219" s="36">
        <f t="shared" si="788"/>
        <v>8</v>
      </c>
      <c r="W219" s="36">
        <f t="shared" si="788"/>
        <v>1</v>
      </c>
      <c r="X219" s="36">
        <f t="shared" si="788"/>
        <v>0</v>
      </c>
      <c r="Y219" s="36">
        <f t="shared" si="788"/>
        <v>0</v>
      </c>
      <c r="Z219" s="36">
        <f t="shared" si="788"/>
        <v>0</v>
      </c>
      <c r="AA219" s="36">
        <f t="shared" si="788"/>
        <v>0</v>
      </c>
      <c r="AB219" s="36">
        <f t="shared" si="788"/>
        <v>1</v>
      </c>
      <c r="AC219" s="36">
        <f t="shared" si="788"/>
        <v>0</v>
      </c>
      <c r="AD219" s="36">
        <f t="shared" si="788"/>
        <v>1</v>
      </c>
      <c r="AE219" s="36">
        <f t="shared" si="832"/>
        <v>0</v>
      </c>
      <c r="AF219" s="36">
        <f t="shared" si="832"/>
        <v>0</v>
      </c>
      <c r="AG219" s="36">
        <f t="shared" ref="AG219:AH219" si="853">AG218</f>
        <v>0</v>
      </c>
      <c r="AH219" s="36">
        <f t="shared" si="853"/>
        <v>0</v>
      </c>
      <c r="AI219" s="36">
        <f t="shared" ref="AI219" si="854">AI218</f>
        <v>0</v>
      </c>
      <c r="AJ219" s="36">
        <f t="shared" si="788"/>
        <v>0</v>
      </c>
      <c r="AK219" s="36">
        <f t="shared" si="837"/>
        <v>0</v>
      </c>
      <c r="AL219" s="36">
        <f t="shared" si="837"/>
        <v>0</v>
      </c>
      <c r="AM219" s="36">
        <f t="shared" si="837"/>
        <v>0</v>
      </c>
      <c r="AN219" s="36">
        <f t="shared" si="837"/>
        <v>0</v>
      </c>
      <c r="AO219" s="36">
        <f t="shared" si="837"/>
        <v>0</v>
      </c>
      <c r="AP219" s="36">
        <f t="shared" si="837"/>
        <v>0</v>
      </c>
      <c r="AQ219" s="36">
        <f t="shared" si="837"/>
        <v>0</v>
      </c>
      <c r="AR219" s="36">
        <f t="shared" si="813"/>
        <v>0</v>
      </c>
      <c r="AS219" s="31" t="str">
        <f t="shared" si="749"/>
        <v>SimulationStorage,1,</v>
      </c>
      <c r="AT219" s="31" t="str">
        <f t="shared" si="750"/>
        <v>AnalysisStorage,1,</v>
      </c>
      <c r="AU219" s="31" t="str">
        <f t="shared" si="751"/>
        <v>LogRuleEvaluation,0,</v>
      </c>
      <c r="AV219" s="31" t="str">
        <f t="shared" si="752"/>
        <v>ParallelSimulations,1,</v>
      </c>
      <c r="AW219" s="31" t="str">
        <f t="shared" si="753"/>
        <v>DurationStats,0,</v>
      </c>
      <c r="AX219" s="31" t="str">
        <f t="shared" si="754"/>
        <v>AnalysisThruStep,8,</v>
      </c>
      <c r="AY219" s="31" t="str">
        <f t="shared" si="755"/>
        <v>DontAbortOnErrorsThruStep,8,</v>
      </c>
      <c r="AZ219" s="31" t="str">
        <f t="shared" si="756"/>
        <v>BypassValidFileChecks,1,</v>
      </c>
      <c r="BA219" s="31" t="str">
        <f t="shared" si="757"/>
        <v>BypassInputChecks,0,</v>
      </c>
      <c r="BB219" s="31" t="str">
        <f t="shared" si="758"/>
        <v>BypassUMLHChecks,0,</v>
      </c>
      <c r="BC219" s="31" t="str">
        <f t="shared" si="759"/>
        <v>BypassCheckSimRules,0,</v>
      </c>
      <c r="BD219" s="31" t="str">
        <f t="shared" si="760"/>
        <v>BypassCheckCodeRules,0,</v>
      </c>
      <c r="BE219" s="31" t="str">
        <f t="shared" si="718"/>
        <v>StoreResultsToModelInput,1,</v>
      </c>
      <c r="BF219" s="31" t="str">
        <f t="shared" si="719"/>
        <v>StoreBEMDetails,0,</v>
      </c>
      <c r="BG219" s="31" t="str">
        <f t="shared" si="720"/>
        <v>ModelRpt_ALL,1,</v>
      </c>
      <c r="BH219" s="31" t="str">
        <f t="shared" si="721"/>
        <v>ExportHourlyResults_All,0,</v>
      </c>
      <c r="BI219" s="31" t="str">
        <f t="shared" si="722"/>
        <v>ComplianceReportPDF,0,</v>
      </c>
      <c r="BJ219" s="31" t="str">
        <f t="shared" si="723"/>
        <v>ComplianceReportXML,0,</v>
      </c>
      <c r="BK219" s="31" t="str">
        <f t="shared" si="724"/>
        <v>QuickAnalysis,0,</v>
      </c>
      <c r="BL219" s="31" t="str">
        <f t="shared" si="724"/>
        <v>PromptUserUMLHWarning,0,</v>
      </c>
      <c r="BM219" s="31" t="str">
        <f t="shared" si="725"/>
        <v>BypassOpenStudio_all,0,</v>
      </c>
      <c r="BN219" s="31" t="str">
        <f t="shared" si="726"/>
        <v>BypassOpenStudio_zp,0,</v>
      </c>
      <c r="BO219" s="31" t="str">
        <f t="shared" si="727"/>
        <v>BypassOpenStudio_zb,0,</v>
      </c>
      <c r="BP219" s="31" t="str">
        <f t="shared" si="728"/>
        <v>BypassOpenStudio_ap,0,</v>
      </c>
      <c r="BQ219" s="31" t="str">
        <f t="shared" si="729"/>
        <v>BypassOpenStudio_ab,0,</v>
      </c>
      <c r="BR219" s="31" t="str">
        <f t="shared" si="730"/>
        <v>BypassOpenStudio_zp,0,</v>
      </c>
      <c r="BS219" s="31" t="str">
        <f t="shared" si="731"/>
        <v>BypassOpenStudio_zb,0,</v>
      </c>
      <c r="BT219" s="31" t="str">
        <f t="shared" si="732"/>
        <v>BypassOpenStudio_ap,0,</v>
      </c>
      <c r="BU219" s="31" t="str">
        <f t="shared" si="733"/>
        <v>BypassOpenStudio_ab,0,</v>
      </c>
    </row>
    <row r="220" spans="1:73" hidden="1" outlineLevel="1" x14ac:dyDescent="0.25">
      <c r="A220" s="39">
        <f t="shared" si="734"/>
        <v>0</v>
      </c>
      <c r="B220" s="27" t="str">
        <f t="shared" si="735"/>
        <v>SoftwareSensitivity2016Tests\DetailedGeometry\x.cibd16</v>
      </c>
      <c r="C220" s="27" t="str">
        <f t="shared" si="736"/>
        <v>BatchOut_171026_r5178_FinalRel-v3-SSTSG_SSTDG\x.cibd16</v>
      </c>
      <c r="D220" s="27" t="str">
        <f t="shared" si="737"/>
        <v>BatchOut_171026_r5178_FinalRel-v3-SSTSG_SSTDG\XML\</v>
      </c>
      <c r="E220" s="9" t="str">
        <f t="shared" si="738"/>
        <v>x</v>
      </c>
      <c r="F220" s="22"/>
      <c r="G220" s="29"/>
      <c r="H220" s="23" t="str">
        <f t="shared" si="739"/>
        <v/>
      </c>
      <c r="I220" s="9" t="s">
        <v>11</v>
      </c>
      <c r="J22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0" s="15" t="s">
        <v>1</v>
      </c>
      <c r="L220" s="36">
        <f t="shared" si="846"/>
        <v>0</v>
      </c>
      <c r="M220" s="91" t="str">
        <f t="shared" si="740"/>
        <v>x</v>
      </c>
      <c r="N220" s="90" t="s">
        <v>149</v>
      </c>
      <c r="O220" s="28" t="str">
        <f t="shared" si="745"/>
        <v>x</v>
      </c>
      <c r="P220" s="36">
        <f t="shared" si="788"/>
        <v>1</v>
      </c>
      <c r="Q220" s="36">
        <f t="shared" si="788"/>
        <v>1</v>
      </c>
      <c r="R220" s="36">
        <f t="shared" si="788"/>
        <v>0</v>
      </c>
      <c r="S220" s="36">
        <f t="shared" si="788"/>
        <v>1</v>
      </c>
      <c r="T220" s="36">
        <f t="shared" si="788"/>
        <v>0</v>
      </c>
      <c r="U220" s="36">
        <f t="shared" si="788"/>
        <v>8</v>
      </c>
      <c r="V220" s="36">
        <f t="shared" ref="V220:AP235" si="855">V219</f>
        <v>8</v>
      </c>
      <c r="W220" s="36">
        <f t="shared" si="855"/>
        <v>1</v>
      </c>
      <c r="X220" s="36">
        <f t="shared" si="855"/>
        <v>0</v>
      </c>
      <c r="Y220" s="36">
        <f t="shared" si="855"/>
        <v>0</v>
      </c>
      <c r="Z220" s="36">
        <f t="shared" si="855"/>
        <v>0</v>
      </c>
      <c r="AA220" s="36">
        <f t="shared" si="855"/>
        <v>0</v>
      </c>
      <c r="AB220" s="36">
        <f t="shared" si="855"/>
        <v>1</v>
      </c>
      <c r="AC220" s="36">
        <f t="shared" si="855"/>
        <v>0</v>
      </c>
      <c r="AD220" s="36">
        <f t="shared" si="855"/>
        <v>1</v>
      </c>
      <c r="AE220" s="36">
        <f t="shared" ref="AE220:AF220" si="856">AE219</f>
        <v>0</v>
      </c>
      <c r="AF220" s="36">
        <f t="shared" si="856"/>
        <v>0</v>
      </c>
      <c r="AG220" s="36">
        <f t="shared" ref="AG220:AH220" si="857">AG219</f>
        <v>0</v>
      </c>
      <c r="AH220" s="36">
        <f t="shared" si="857"/>
        <v>0</v>
      </c>
      <c r="AI220" s="36">
        <f t="shared" ref="AI220" si="858">AI219</f>
        <v>0</v>
      </c>
      <c r="AJ220" s="36">
        <f t="shared" si="855"/>
        <v>0</v>
      </c>
      <c r="AK220" s="36">
        <f t="shared" si="837"/>
        <v>0</v>
      </c>
      <c r="AL220" s="36">
        <f t="shared" si="837"/>
        <v>0</v>
      </c>
      <c r="AM220" s="36">
        <f t="shared" si="837"/>
        <v>0</v>
      </c>
      <c r="AN220" s="36">
        <f t="shared" si="837"/>
        <v>0</v>
      </c>
      <c r="AO220" s="36">
        <f t="shared" si="837"/>
        <v>0</v>
      </c>
      <c r="AP220" s="36">
        <f t="shared" si="837"/>
        <v>0</v>
      </c>
      <c r="AQ220" s="36">
        <f t="shared" si="837"/>
        <v>0</v>
      </c>
      <c r="AR220" s="36">
        <f t="shared" si="813"/>
        <v>0</v>
      </c>
      <c r="AS220" s="31" t="str">
        <f t="shared" si="749"/>
        <v>SimulationStorage,1,</v>
      </c>
      <c r="AT220" s="31" t="str">
        <f t="shared" si="750"/>
        <v>AnalysisStorage,1,</v>
      </c>
      <c r="AU220" s="31" t="str">
        <f t="shared" si="751"/>
        <v>LogRuleEvaluation,0,</v>
      </c>
      <c r="AV220" s="31" t="str">
        <f t="shared" si="752"/>
        <v>ParallelSimulations,1,</v>
      </c>
      <c r="AW220" s="31" t="str">
        <f t="shared" si="753"/>
        <v>DurationStats,0,</v>
      </c>
      <c r="AX220" s="31" t="str">
        <f t="shared" si="754"/>
        <v>AnalysisThruStep,8,</v>
      </c>
      <c r="AY220" s="31" t="str">
        <f t="shared" si="755"/>
        <v>DontAbortOnErrorsThruStep,8,</v>
      </c>
      <c r="AZ220" s="31" t="str">
        <f t="shared" si="756"/>
        <v>BypassValidFileChecks,1,</v>
      </c>
      <c r="BA220" s="31" t="str">
        <f t="shared" si="757"/>
        <v>BypassInputChecks,0,</v>
      </c>
      <c r="BB220" s="31" t="str">
        <f t="shared" si="758"/>
        <v>BypassUMLHChecks,0,</v>
      </c>
      <c r="BC220" s="31" t="str">
        <f t="shared" si="759"/>
        <v>BypassCheckSimRules,0,</v>
      </c>
      <c r="BD220" s="31" t="str">
        <f t="shared" si="760"/>
        <v>BypassCheckCodeRules,0,</v>
      </c>
      <c r="BE220" s="31" t="str">
        <f t="shared" si="718"/>
        <v>StoreResultsToModelInput,1,</v>
      </c>
      <c r="BF220" s="31" t="str">
        <f t="shared" si="719"/>
        <v>StoreBEMDetails,0,</v>
      </c>
      <c r="BG220" s="31" t="str">
        <f t="shared" si="720"/>
        <v>ModelRpt_ALL,1,</v>
      </c>
      <c r="BH220" s="31" t="str">
        <f t="shared" si="721"/>
        <v>ExportHourlyResults_All,0,</v>
      </c>
      <c r="BI220" s="31" t="str">
        <f t="shared" si="722"/>
        <v>ComplianceReportPDF,0,</v>
      </c>
      <c r="BJ220" s="31" t="str">
        <f t="shared" si="723"/>
        <v>ComplianceReportXML,0,</v>
      </c>
      <c r="BK220" s="31" t="str">
        <f t="shared" si="724"/>
        <v>QuickAnalysis,0,</v>
      </c>
      <c r="BL220" s="31" t="str">
        <f t="shared" si="724"/>
        <v>PromptUserUMLHWarning,0,</v>
      </c>
      <c r="BM220" s="31" t="str">
        <f t="shared" si="725"/>
        <v>BypassOpenStudio_all,0,</v>
      </c>
      <c r="BN220" s="31" t="str">
        <f t="shared" si="726"/>
        <v>BypassOpenStudio_zp,0,</v>
      </c>
      <c r="BO220" s="31" t="str">
        <f t="shared" si="727"/>
        <v>BypassOpenStudio_zb,0,</v>
      </c>
      <c r="BP220" s="31" t="str">
        <f t="shared" si="728"/>
        <v>BypassOpenStudio_ap,0,</v>
      </c>
      <c r="BQ220" s="31" t="str">
        <f t="shared" si="729"/>
        <v>BypassOpenStudio_ab,0,</v>
      </c>
      <c r="BR220" s="31" t="str">
        <f t="shared" si="730"/>
        <v>BypassOpenStudio_zp,0,</v>
      </c>
      <c r="BS220" s="31" t="str">
        <f t="shared" si="731"/>
        <v>BypassOpenStudio_zb,0,</v>
      </c>
      <c r="BT220" s="31" t="str">
        <f t="shared" si="732"/>
        <v>BypassOpenStudio_ap,0,</v>
      </c>
      <c r="BU220" s="31" t="str">
        <f t="shared" si="733"/>
        <v>BypassOpenStudio_ab,0,</v>
      </c>
    </row>
    <row r="221" spans="1:73" hidden="1" outlineLevel="1" x14ac:dyDescent="0.25">
      <c r="A221" s="39">
        <f t="shared" si="734"/>
        <v>0</v>
      </c>
      <c r="B221" s="27" t="str">
        <f t="shared" si="735"/>
        <v>SoftwareSensitivity2016Tests\DetailedGeometry\x.cibd16</v>
      </c>
      <c r="C221" s="27" t="str">
        <f t="shared" si="736"/>
        <v>BatchOut_171026_r5178_FinalRel-v3-SSTSG_SSTDG\x.cibd16</v>
      </c>
      <c r="D221" s="27" t="str">
        <f t="shared" si="737"/>
        <v>BatchOut_171026_r5178_FinalRel-v3-SSTSG_SSTDG\XML\</v>
      </c>
      <c r="E221" s="9" t="str">
        <f t="shared" si="738"/>
        <v>x</v>
      </c>
      <c r="F221" s="22"/>
      <c r="G221" s="29"/>
      <c r="H221" s="23" t="str">
        <f t="shared" si="739"/>
        <v/>
      </c>
      <c r="I221" s="9" t="s">
        <v>11</v>
      </c>
      <c r="J22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1" s="15" t="s">
        <v>1</v>
      </c>
      <c r="L221" s="36">
        <f t="shared" si="846"/>
        <v>0</v>
      </c>
      <c r="M221" s="91" t="str">
        <f t="shared" si="740"/>
        <v>x</v>
      </c>
      <c r="N221" s="90" t="s">
        <v>149</v>
      </c>
      <c r="O221" s="28" t="str">
        <f t="shared" si="745"/>
        <v>x</v>
      </c>
      <c r="P221" s="36">
        <f t="shared" ref="P221:AJ246" si="859">P220</f>
        <v>1</v>
      </c>
      <c r="Q221" s="36">
        <f t="shared" si="859"/>
        <v>1</v>
      </c>
      <c r="R221" s="36">
        <f t="shared" si="859"/>
        <v>0</v>
      </c>
      <c r="S221" s="36">
        <f t="shared" si="859"/>
        <v>1</v>
      </c>
      <c r="T221" s="36">
        <f t="shared" si="859"/>
        <v>0</v>
      </c>
      <c r="U221" s="36">
        <f t="shared" si="859"/>
        <v>8</v>
      </c>
      <c r="V221" s="36">
        <f t="shared" si="855"/>
        <v>8</v>
      </c>
      <c r="W221" s="36">
        <f t="shared" si="855"/>
        <v>1</v>
      </c>
      <c r="X221" s="36">
        <f t="shared" si="855"/>
        <v>0</v>
      </c>
      <c r="Y221" s="36">
        <f t="shared" si="855"/>
        <v>0</v>
      </c>
      <c r="Z221" s="36">
        <f t="shared" si="855"/>
        <v>0</v>
      </c>
      <c r="AA221" s="36">
        <f t="shared" si="855"/>
        <v>0</v>
      </c>
      <c r="AB221" s="36">
        <f t="shared" si="855"/>
        <v>1</v>
      </c>
      <c r="AC221" s="36">
        <f t="shared" si="855"/>
        <v>0</v>
      </c>
      <c r="AD221" s="36">
        <f t="shared" si="855"/>
        <v>1</v>
      </c>
      <c r="AE221" s="36">
        <f t="shared" ref="AE221:AF221" si="860">AE220</f>
        <v>0</v>
      </c>
      <c r="AF221" s="36">
        <f t="shared" si="860"/>
        <v>0</v>
      </c>
      <c r="AG221" s="36">
        <f t="shared" ref="AG221:AH221" si="861">AG220</f>
        <v>0</v>
      </c>
      <c r="AH221" s="36">
        <f t="shared" si="861"/>
        <v>0</v>
      </c>
      <c r="AI221" s="36">
        <f t="shared" ref="AI221" si="862">AI220</f>
        <v>0</v>
      </c>
      <c r="AJ221" s="36">
        <f t="shared" si="855"/>
        <v>0</v>
      </c>
      <c r="AK221" s="36">
        <f t="shared" si="837"/>
        <v>0</v>
      </c>
      <c r="AL221" s="36">
        <f t="shared" si="837"/>
        <v>0</v>
      </c>
      <c r="AM221" s="36">
        <f t="shared" si="837"/>
        <v>0</v>
      </c>
      <c r="AN221" s="36">
        <f t="shared" si="837"/>
        <v>0</v>
      </c>
      <c r="AO221" s="36">
        <f t="shared" si="837"/>
        <v>0</v>
      </c>
      <c r="AP221" s="36">
        <f t="shared" si="837"/>
        <v>0</v>
      </c>
      <c r="AQ221" s="36">
        <f t="shared" si="837"/>
        <v>0</v>
      </c>
      <c r="AR221" s="36">
        <f t="shared" si="813"/>
        <v>0</v>
      </c>
      <c r="AS221" s="31" t="str">
        <f t="shared" si="749"/>
        <v>SimulationStorage,1,</v>
      </c>
      <c r="AT221" s="31" t="str">
        <f t="shared" si="750"/>
        <v>AnalysisStorage,1,</v>
      </c>
      <c r="AU221" s="31" t="str">
        <f t="shared" si="751"/>
        <v>LogRuleEvaluation,0,</v>
      </c>
      <c r="AV221" s="31" t="str">
        <f t="shared" si="752"/>
        <v>ParallelSimulations,1,</v>
      </c>
      <c r="AW221" s="31" t="str">
        <f t="shared" si="753"/>
        <v>DurationStats,0,</v>
      </c>
      <c r="AX221" s="31" t="str">
        <f t="shared" si="754"/>
        <v>AnalysisThruStep,8,</v>
      </c>
      <c r="AY221" s="31" t="str">
        <f t="shared" si="755"/>
        <v>DontAbortOnErrorsThruStep,8,</v>
      </c>
      <c r="AZ221" s="31" t="str">
        <f t="shared" si="756"/>
        <v>BypassValidFileChecks,1,</v>
      </c>
      <c r="BA221" s="31" t="str">
        <f t="shared" si="757"/>
        <v>BypassInputChecks,0,</v>
      </c>
      <c r="BB221" s="31" t="str">
        <f t="shared" si="758"/>
        <v>BypassUMLHChecks,0,</v>
      </c>
      <c r="BC221" s="31" t="str">
        <f t="shared" si="759"/>
        <v>BypassCheckSimRules,0,</v>
      </c>
      <c r="BD221" s="31" t="str">
        <f t="shared" si="760"/>
        <v>BypassCheckCodeRules,0,</v>
      </c>
      <c r="BE221" s="31" t="str">
        <f t="shared" si="718"/>
        <v>StoreResultsToModelInput,1,</v>
      </c>
      <c r="BF221" s="31" t="str">
        <f t="shared" si="719"/>
        <v>StoreBEMDetails,0,</v>
      </c>
      <c r="BG221" s="31" t="str">
        <f t="shared" si="720"/>
        <v>ModelRpt_ALL,1,</v>
      </c>
      <c r="BH221" s="31" t="str">
        <f t="shared" si="721"/>
        <v>ExportHourlyResults_All,0,</v>
      </c>
      <c r="BI221" s="31" t="str">
        <f t="shared" si="722"/>
        <v>ComplianceReportPDF,0,</v>
      </c>
      <c r="BJ221" s="31" t="str">
        <f t="shared" si="723"/>
        <v>ComplianceReportXML,0,</v>
      </c>
      <c r="BK221" s="31" t="str">
        <f t="shared" si="724"/>
        <v>QuickAnalysis,0,</v>
      </c>
      <c r="BL221" s="31" t="str">
        <f t="shared" si="724"/>
        <v>PromptUserUMLHWarning,0,</v>
      </c>
      <c r="BM221" s="31" t="str">
        <f t="shared" si="725"/>
        <v>BypassOpenStudio_all,0,</v>
      </c>
      <c r="BN221" s="31" t="str">
        <f t="shared" si="726"/>
        <v>BypassOpenStudio_zp,0,</v>
      </c>
      <c r="BO221" s="31" t="str">
        <f t="shared" si="727"/>
        <v>BypassOpenStudio_zb,0,</v>
      </c>
      <c r="BP221" s="31" t="str">
        <f t="shared" si="728"/>
        <v>BypassOpenStudio_ap,0,</v>
      </c>
      <c r="BQ221" s="31" t="str">
        <f t="shared" si="729"/>
        <v>BypassOpenStudio_ab,0,</v>
      </c>
      <c r="BR221" s="31" t="str">
        <f t="shared" si="730"/>
        <v>BypassOpenStudio_zp,0,</v>
      </c>
      <c r="BS221" s="31" t="str">
        <f t="shared" si="731"/>
        <v>BypassOpenStudio_zb,0,</v>
      </c>
      <c r="BT221" s="31" t="str">
        <f t="shared" si="732"/>
        <v>BypassOpenStudio_ap,0,</v>
      </c>
      <c r="BU221" s="31" t="str">
        <f t="shared" si="733"/>
        <v>BypassOpenStudio_ab,0,</v>
      </c>
    </row>
    <row r="222" spans="1:73" hidden="1" outlineLevel="1" x14ac:dyDescent="0.25">
      <c r="A222" s="39">
        <f t="shared" si="734"/>
        <v>0</v>
      </c>
      <c r="B222" s="27" t="str">
        <f t="shared" si="735"/>
        <v>SoftwareSensitivity2016Tests\DetailedGeometry\x.cibd16</v>
      </c>
      <c r="C222" s="27" t="str">
        <f t="shared" si="736"/>
        <v>BatchOut_171026_r5178_FinalRel-v3-SSTSG_SSTDG\x.cibd16</v>
      </c>
      <c r="D222" s="27" t="str">
        <f t="shared" si="737"/>
        <v>BatchOut_171026_r5178_FinalRel-v3-SSTSG_SSTDG\XML\</v>
      </c>
      <c r="E222" s="9" t="str">
        <f t="shared" si="738"/>
        <v>x</v>
      </c>
      <c r="F222" s="22"/>
      <c r="G222" s="29"/>
      <c r="H222" s="23" t="str">
        <f t="shared" si="739"/>
        <v/>
      </c>
      <c r="I222" s="9" t="s">
        <v>11</v>
      </c>
      <c r="J22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2" s="15" t="s">
        <v>1</v>
      </c>
      <c r="L222" s="36">
        <f t="shared" si="846"/>
        <v>0</v>
      </c>
      <c r="M222" s="91" t="str">
        <f t="shared" si="740"/>
        <v>x</v>
      </c>
      <c r="N222" s="90" t="s">
        <v>149</v>
      </c>
      <c r="O222" s="28" t="str">
        <f t="shared" si="745"/>
        <v>x</v>
      </c>
      <c r="P222" s="36">
        <f t="shared" si="859"/>
        <v>1</v>
      </c>
      <c r="Q222" s="36">
        <f t="shared" si="859"/>
        <v>1</v>
      </c>
      <c r="R222" s="36">
        <f t="shared" si="859"/>
        <v>0</v>
      </c>
      <c r="S222" s="36">
        <f t="shared" si="859"/>
        <v>1</v>
      </c>
      <c r="T222" s="36">
        <f t="shared" si="859"/>
        <v>0</v>
      </c>
      <c r="U222" s="36">
        <f t="shared" si="859"/>
        <v>8</v>
      </c>
      <c r="V222" s="36">
        <f t="shared" si="855"/>
        <v>8</v>
      </c>
      <c r="W222" s="36">
        <f t="shared" si="855"/>
        <v>1</v>
      </c>
      <c r="X222" s="36">
        <f t="shared" si="855"/>
        <v>0</v>
      </c>
      <c r="Y222" s="36">
        <f t="shared" si="855"/>
        <v>0</v>
      </c>
      <c r="Z222" s="36">
        <f t="shared" si="855"/>
        <v>0</v>
      </c>
      <c r="AA222" s="36">
        <f t="shared" si="855"/>
        <v>0</v>
      </c>
      <c r="AB222" s="36">
        <f t="shared" si="855"/>
        <v>1</v>
      </c>
      <c r="AC222" s="36">
        <f t="shared" si="855"/>
        <v>0</v>
      </c>
      <c r="AD222" s="36">
        <f t="shared" si="855"/>
        <v>1</v>
      </c>
      <c r="AE222" s="36">
        <f t="shared" ref="AE222:AF222" si="863">AE221</f>
        <v>0</v>
      </c>
      <c r="AF222" s="36">
        <f t="shared" si="863"/>
        <v>0</v>
      </c>
      <c r="AG222" s="36">
        <f t="shared" ref="AG222:AH222" si="864">AG221</f>
        <v>0</v>
      </c>
      <c r="AH222" s="36">
        <f t="shared" si="864"/>
        <v>0</v>
      </c>
      <c r="AI222" s="36">
        <f t="shared" ref="AI222" si="865">AI221</f>
        <v>0</v>
      </c>
      <c r="AJ222" s="36">
        <f t="shared" si="855"/>
        <v>0</v>
      </c>
      <c r="AK222" s="36">
        <f t="shared" si="837"/>
        <v>0</v>
      </c>
      <c r="AL222" s="36">
        <f t="shared" si="837"/>
        <v>0</v>
      </c>
      <c r="AM222" s="36">
        <f t="shared" si="837"/>
        <v>0</v>
      </c>
      <c r="AN222" s="36">
        <f t="shared" si="837"/>
        <v>0</v>
      </c>
      <c r="AO222" s="36">
        <f t="shared" si="837"/>
        <v>0</v>
      </c>
      <c r="AP222" s="36">
        <f t="shared" si="837"/>
        <v>0</v>
      </c>
      <c r="AQ222" s="36">
        <f t="shared" si="837"/>
        <v>0</v>
      </c>
      <c r="AR222" s="36">
        <f t="shared" si="813"/>
        <v>0</v>
      </c>
      <c r="AS222" s="31" t="str">
        <f t="shared" si="749"/>
        <v>SimulationStorage,1,</v>
      </c>
      <c r="AT222" s="31" t="str">
        <f t="shared" si="750"/>
        <v>AnalysisStorage,1,</v>
      </c>
      <c r="AU222" s="31" t="str">
        <f t="shared" si="751"/>
        <v>LogRuleEvaluation,0,</v>
      </c>
      <c r="AV222" s="31" t="str">
        <f t="shared" si="752"/>
        <v>ParallelSimulations,1,</v>
      </c>
      <c r="AW222" s="31" t="str">
        <f t="shared" si="753"/>
        <v>DurationStats,0,</v>
      </c>
      <c r="AX222" s="31" t="str">
        <f t="shared" si="754"/>
        <v>AnalysisThruStep,8,</v>
      </c>
      <c r="AY222" s="31" t="str">
        <f t="shared" si="755"/>
        <v>DontAbortOnErrorsThruStep,8,</v>
      </c>
      <c r="AZ222" s="31" t="str">
        <f t="shared" si="756"/>
        <v>BypassValidFileChecks,1,</v>
      </c>
      <c r="BA222" s="31" t="str">
        <f t="shared" si="757"/>
        <v>BypassInputChecks,0,</v>
      </c>
      <c r="BB222" s="31" t="str">
        <f t="shared" si="758"/>
        <v>BypassUMLHChecks,0,</v>
      </c>
      <c r="BC222" s="31" t="str">
        <f t="shared" si="759"/>
        <v>BypassCheckSimRules,0,</v>
      </c>
      <c r="BD222" s="31" t="str">
        <f t="shared" si="760"/>
        <v>BypassCheckCodeRules,0,</v>
      </c>
      <c r="BE222" s="31" t="str">
        <f t="shared" si="718"/>
        <v>StoreResultsToModelInput,1,</v>
      </c>
      <c r="BF222" s="31" t="str">
        <f t="shared" si="719"/>
        <v>StoreBEMDetails,0,</v>
      </c>
      <c r="BG222" s="31" t="str">
        <f t="shared" si="720"/>
        <v>ModelRpt_ALL,1,</v>
      </c>
      <c r="BH222" s="31" t="str">
        <f t="shared" si="721"/>
        <v>ExportHourlyResults_All,0,</v>
      </c>
      <c r="BI222" s="31" t="str">
        <f t="shared" si="722"/>
        <v>ComplianceReportPDF,0,</v>
      </c>
      <c r="BJ222" s="31" t="str">
        <f t="shared" si="723"/>
        <v>ComplianceReportXML,0,</v>
      </c>
      <c r="BK222" s="31" t="str">
        <f t="shared" si="724"/>
        <v>QuickAnalysis,0,</v>
      </c>
      <c r="BL222" s="31" t="str">
        <f t="shared" si="724"/>
        <v>PromptUserUMLHWarning,0,</v>
      </c>
      <c r="BM222" s="31" t="str">
        <f t="shared" si="725"/>
        <v>BypassOpenStudio_all,0,</v>
      </c>
      <c r="BN222" s="31" t="str">
        <f t="shared" si="726"/>
        <v>BypassOpenStudio_zp,0,</v>
      </c>
      <c r="BO222" s="31" t="str">
        <f t="shared" si="727"/>
        <v>BypassOpenStudio_zb,0,</v>
      </c>
      <c r="BP222" s="31" t="str">
        <f t="shared" si="728"/>
        <v>BypassOpenStudio_ap,0,</v>
      </c>
      <c r="BQ222" s="31" t="str">
        <f t="shared" si="729"/>
        <v>BypassOpenStudio_ab,0,</v>
      </c>
      <c r="BR222" s="31" t="str">
        <f t="shared" si="730"/>
        <v>BypassOpenStudio_zp,0,</v>
      </c>
      <c r="BS222" s="31" t="str">
        <f t="shared" si="731"/>
        <v>BypassOpenStudio_zb,0,</v>
      </c>
      <c r="BT222" s="31" t="str">
        <f t="shared" si="732"/>
        <v>BypassOpenStudio_ap,0,</v>
      </c>
      <c r="BU222" s="31" t="str">
        <f t="shared" si="733"/>
        <v>BypassOpenStudio_ab,0,</v>
      </c>
    </row>
    <row r="223" spans="1:73" hidden="1" outlineLevel="1" x14ac:dyDescent="0.25">
      <c r="A223" s="39">
        <f t="shared" si="734"/>
        <v>0</v>
      </c>
      <c r="B223" s="27" t="str">
        <f t="shared" si="735"/>
        <v>SoftwareSensitivity2016Tests\DetailedGeometry\x.cibd16</v>
      </c>
      <c r="C223" s="27" t="str">
        <f t="shared" si="736"/>
        <v>BatchOut_171026_r5178_FinalRel-v3-SSTSG_SSTDG\x.cibd16</v>
      </c>
      <c r="D223" s="27" t="str">
        <f t="shared" si="737"/>
        <v>BatchOut_171026_r5178_FinalRel-v3-SSTSG_SSTDG\XML\</v>
      </c>
      <c r="E223" s="9" t="str">
        <f t="shared" si="738"/>
        <v>x</v>
      </c>
      <c r="F223" s="22"/>
      <c r="G223" s="29"/>
      <c r="H223" s="23" t="str">
        <f t="shared" si="739"/>
        <v/>
      </c>
      <c r="I223" s="9" t="s">
        <v>11</v>
      </c>
      <c r="J22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3" s="15" t="s">
        <v>1</v>
      </c>
      <c r="L223" s="36">
        <f t="shared" si="846"/>
        <v>0</v>
      </c>
      <c r="M223" s="91" t="str">
        <f t="shared" si="740"/>
        <v>x</v>
      </c>
      <c r="N223" s="90" t="s">
        <v>149</v>
      </c>
      <c r="O223" s="28" t="str">
        <f t="shared" si="745"/>
        <v>x</v>
      </c>
      <c r="P223" s="36">
        <f t="shared" si="859"/>
        <v>1</v>
      </c>
      <c r="Q223" s="36">
        <f t="shared" si="859"/>
        <v>1</v>
      </c>
      <c r="R223" s="36">
        <f t="shared" si="859"/>
        <v>0</v>
      </c>
      <c r="S223" s="36">
        <f t="shared" si="859"/>
        <v>1</v>
      </c>
      <c r="T223" s="36">
        <f t="shared" si="859"/>
        <v>0</v>
      </c>
      <c r="U223" s="36">
        <f t="shared" si="859"/>
        <v>8</v>
      </c>
      <c r="V223" s="36">
        <f t="shared" si="855"/>
        <v>8</v>
      </c>
      <c r="W223" s="36">
        <f t="shared" si="855"/>
        <v>1</v>
      </c>
      <c r="X223" s="36">
        <f t="shared" si="855"/>
        <v>0</v>
      </c>
      <c r="Y223" s="36">
        <f t="shared" si="855"/>
        <v>0</v>
      </c>
      <c r="Z223" s="36">
        <f t="shared" si="855"/>
        <v>0</v>
      </c>
      <c r="AA223" s="36">
        <f t="shared" si="855"/>
        <v>0</v>
      </c>
      <c r="AB223" s="36">
        <f t="shared" si="855"/>
        <v>1</v>
      </c>
      <c r="AC223" s="36">
        <f t="shared" si="855"/>
        <v>0</v>
      </c>
      <c r="AD223" s="36">
        <f t="shared" si="855"/>
        <v>1</v>
      </c>
      <c r="AE223" s="36">
        <f t="shared" ref="AE223:AF223" si="866">AE222</f>
        <v>0</v>
      </c>
      <c r="AF223" s="36">
        <f t="shared" si="866"/>
        <v>0</v>
      </c>
      <c r="AG223" s="36">
        <f t="shared" ref="AG223:AH223" si="867">AG222</f>
        <v>0</v>
      </c>
      <c r="AH223" s="36">
        <f t="shared" si="867"/>
        <v>0</v>
      </c>
      <c r="AI223" s="36">
        <f t="shared" ref="AI223" si="868">AI222</f>
        <v>0</v>
      </c>
      <c r="AJ223" s="36">
        <f t="shared" si="855"/>
        <v>0</v>
      </c>
      <c r="AK223" s="36">
        <f t="shared" si="837"/>
        <v>0</v>
      </c>
      <c r="AL223" s="36">
        <f t="shared" si="837"/>
        <v>0</v>
      </c>
      <c r="AM223" s="36">
        <f t="shared" si="837"/>
        <v>0</v>
      </c>
      <c r="AN223" s="36">
        <f t="shared" si="837"/>
        <v>0</v>
      </c>
      <c r="AO223" s="36">
        <f t="shared" si="837"/>
        <v>0</v>
      </c>
      <c r="AP223" s="36">
        <f t="shared" si="837"/>
        <v>0</v>
      </c>
      <c r="AQ223" s="36">
        <f t="shared" si="837"/>
        <v>0</v>
      </c>
      <c r="AR223" s="36">
        <f t="shared" si="813"/>
        <v>0</v>
      </c>
      <c r="AS223" s="31" t="str">
        <f t="shared" si="749"/>
        <v>SimulationStorage,1,</v>
      </c>
      <c r="AT223" s="31" t="str">
        <f t="shared" si="750"/>
        <v>AnalysisStorage,1,</v>
      </c>
      <c r="AU223" s="31" t="str">
        <f t="shared" si="751"/>
        <v>LogRuleEvaluation,0,</v>
      </c>
      <c r="AV223" s="31" t="str">
        <f t="shared" si="752"/>
        <v>ParallelSimulations,1,</v>
      </c>
      <c r="AW223" s="31" t="str">
        <f t="shared" si="753"/>
        <v>DurationStats,0,</v>
      </c>
      <c r="AX223" s="31" t="str">
        <f t="shared" si="754"/>
        <v>AnalysisThruStep,8,</v>
      </c>
      <c r="AY223" s="31" t="str">
        <f t="shared" si="755"/>
        <v>DontAbortOnErrorsThruStep,8,</v>
      </c>
      <c r="AZ223" s="31" t="str">
        <f t="shared" si="756"/>
        <v>BypassValidFileChecks,1,</v>
      </c>
      <c r="BA223" s="31" t="str">
        <f t="shared" si="757"/>
        <v>BypassInputChecks,0,</v>
      </c>
      <c r="BB223" s="31" t="str">
        <f t="shared" si="758"/>
        <v>BypassUMLHChecks,0,</v>
      </c>
      <c r="BC223" s="31" t="str">
        <f t="shared" si="759"/>
        <v>BypassCheckSimRules,0,</v>
      </c>
      <c r="BD223" s="31" t="str">
        <f t="shared" si="760"/>
        <v>BypassCheckCodeRules,0,</v>
      </c>
      <c r="BE223" s="31" t="str">
        <f t="shared" si="718"/>
        <v>StoreResultsToModelInput,1,</v>
      </c>
      <c r="BF223" s="31" t="str">
        <f t="shared" si="719"/>
        <v>StoreBEMDetails,0,</v>
      </c>
      <c r="BG223" s="31" t="str">
        <f t="shared" si="720"/>
        <v>ModelRpt_ALL,1,</v>
      </c>
      <c r="BH223" s="31" t="str">
        <f t="shared" si="721"/>
        <v>ExportHourlyResults_All,0,</v>
      </c>
      <c r="BI223" s="31" t="str">
        <f t="shared" si="722"/>
        <v>ComplianceReportPDF,0,</v>
      </c>
      <c r="BJ223" s="31" t="str">
        <f t="shared" si="723"/>
        <v>ComplianceReportXML,0,</v>
      </c>
      <c r="BK223" s="31" t="str">
        <f t="shared" si="724"/>
        <v>QuickAnalysis,0,</v>
      </c>
      <c r="BL223" s="31" t="str">
        <f t="shared" si="724"/>
        <v>PromptUserUMLHWarning,0,</v>
      </c>
      <c r="BM223" s="31" t="str">
        <f t="shared" si="725"/>
        <v>BypassOpenStudio_all,0,</v>
      </c>
      <c r="BN223" s="31" t="str">
        <f t="shared" si="726"/>
        <v>BypassOpenStudio_zp,0,</v>
      </c>
      <c r="BO223" s="31" t="str">
        <f t="shared" si="727"/>
        <v>BypassOpenStudio_zb,0,</v>
      </c>
      <c r="BP223" s="31" t="str">
        <f t="shared" si="728"/>
        <v>BypassOpenStudio_ap,0,</v>
      </c>
      <c r="BQ223" s="31" t="str">
        <f t="shared" si="729"/>
        <v>BypassOpenStudio_ab,0,</v>
      </c>
      <c r="BR223" s="31" t="str">
        <f t="shared" si="730"/>
        <v>BypassOpenStudio_zp,0,</v>
      </c>
      <c r="BS223" s="31" t="str">
        <f t="shared" si="731"/>
        <v>BypassOpenStudio_zb,0,</v>
      </c>
      <c r="BT223" s="31" t="str">
        <f t="shared" si="732"/>
        <v>BypassOpenStudio_ap,0,</v>
      </c>
      <c r="BU223" s="31" t="str">
        <f t="shared" si="733"/>
        <v>BypassOpenStudio_ab,0,</v>
      </c>
    </row>
    <row r="224" spans="1:73" hidden="1" outlineLevel="1" x14ac:dyDescent="0.25">
      <c r="A224" s="39">
        <f t="shared" si="734"/>
        <v>0</v>
      </c>
      <c r="B224" s="27" t="str">
        <f t="shared" si="735"/>
        <v>SoftwareSensitivity2016Tests\DetailedGeometry\x.cibd16</v>
      </c>
      <c r="C224" s="27" t="str">
        <f t="shared" si="736"/>
        <v>BatchOut_171026_r5178_FinalRel-v3-SSTSG_SSTDG\x.cibd16</v>
      </c>
      <c r="D224" s="27" t="str">
        <f t="shared" si="737"/>
        <v>BatchOut_171026_r5178_FinalRel-v3-SSTSG_SSTDG\XML\</v>
      </c>
      <c r="E224" s="9" t="str">
        <f t="shared" si="738"/>
        <v>x</v>
      </c>
      <c r="F224" s="22"/>
      <c r="G224" s="29"/>
      <c r="H224" s="23" t="str">
        <f t="shared" si="739"/>
        <v/>
      </c>
      <c r="I224" s="9" t="s">
        <v>11</v>
      </c>
      <c r="J22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4" s="15" t="s">
        <v>1</v>
      </c>
      <c r="L224" s="36">
        <f t="shared" si="846"/>
        <v>0</v>
      </c>
      <c r="M224" s="91" t="str">
        <f t="shared" si="740"/>
        <v>x</v>
      </c>
      <c r="N224" s="90" t="s">
        <v>149</v>
      </c>
      <c r="O224" s="28" t="str">
        <f t="shared" si="745"/>
        <v>x</v>
      </c>
      <c r="P224" s="36">
        <f t="shared" si="859"/>
        <v>1</v>
      </c>
      <c r="Q224" s="36">
        <f t="shared" si="859"/>
        <v>1</v>
      </c>
      <c r="R224" s="36">
        <f t="shared" si="859"/>
        <v>0</v>
      </c>
      <c r="S224" s="36">
        <f t="shared" si="859"/>
        <v>1</v>
      </c>
      <c r="T224" s="36">
        <f t="shared" si="859"/>
        <v>0</v>
      </c>
      <c r="U224" s="36">
        <f t="shared" si="859"/>
        <v>8</v>
      </c>
      <c r="V224" s="36">
        <f t="shared" si="855"/>
        <v>8</v>
      </c>
      <c r="W224" s="36">
        <f t="shared" si="855"/>
        <v>1</v>
      </c>
      <c r="X224" s="36">
        <f t="shared" si="855"/>
        <v>0</v>
      </c>
      <c r="Y224" s="36">
        <f t="shared" si="855"/>
        <v>0</v>
      </c>
      <c r="Z224" s="36">
        <f t="shared" si="855"/>
        <v>0</v>
      </c>
      <c r="AA224" s="36">
        <f t="shared" si="855"/>
        <v>0</v>
      </c>
      <c r="AB224" s="36">
        <f t="shared" si="855"/>
        <v>1</v>
      </c>
      <c r="AC224" s="36">
        <f t="shared" si="855"/>
        <v>0</v>
      </c>
      <c r="AD224" s="36">
        <f t="shared" si="855"/>
        <v>1</v>
      </c>
      <c r="AE224" s="36">
        <f t="shared" ref="AE224:AF224" si="869">AE223</f>
        <v>0</v>
      </c>
      <c r="AF224" s="36">
        <f t="shared" si="869"/>
        <v>0</v>
      </c>
      <c r="AG224" s="36">
        <f t="shared" ref="AG224:AH224" si="870">AG223</f>
        <v>0</v>
      </c>
      <c r="AH224" s="36">
        <f t="shared" si="870"/>
        <v>0</v>
      </c>
      <c r="AI224" s="36">
        <f t="shared" ref="AI224" si="871">AI223</f>
        <v>0</v>
      </c>
      <c r="AJ224" s="36">
        <f t="shared" si="855"/>
        <v>0</v>
      </c>
      <c r="AK224" s="36">
        <f t="shared" si="837"/>
        <v>0</v>
      </c>
      <c r="AL224" s="36">
        <f t="shared" si="837"/>
        <v>0</v>
      </c>
      <c r="AM224" s="36">
        <f t="shared" si="837"/>
        <v>0</v>
      </c>
      <c r="AN224" s="36">
        <f t="shared" si="837"/>
        <v>0</v>
      </c>
      <c r="AO224" s="36">
        <f t="shared" si="837"/>
        <v>0</v>
      </c>
      <c r="AP224" s="36">
        <f t="shared" si="837"/>
        <v>0</v>
      </c>
      <c r="AQ224" s="36">
        <f t="shared" si="837"/>
        <v>0</v>
      </c>
      <c r="AR224" s="36">
        <f t="shared" si="813"/>
        <v>0</v>
      </c>
      <c r="AS224" s="31" t="str">
        <f t="shared" si="749"/>
        <v>SimulationStorage,1,</v>
      </c>
      <c r="AT224" s="31" t="str">
        <f t="shared" si="750"/>
        <v>AnalysisStorage,1,</v>
      </c>
      <c r="AU224" s="31" t="str">
        <f t="shared" si="751"/>
        <v>LogRuleEvaluation,0,</v>
      </c>
      <c r="AV224" s="31" t="str">
        <f t="shared" si="752"/>
        <v>ParallelSimulations,1,</v>
      </c>
      <c r="AW224" s="31" t="str">
        <f t="shared" si="753"/>
        <v>DurationStats,0,</v>
      </c>
      <c r="AX224" s="31" t="str">
        <f t="shared" si="754"/>
        <v>AnalysisThruStep,8,</v>
      </c>
      <c r="AY224" s="31" t="str">
        <f t="shared" si="755"/>
        <v>DontAbortOnErrorsThruStep,8,</v>
      </c>
      <c r="AZ224" s="31" t="str">
        <f t="shared" si="756"/>
        <v>BypassValidFileChecks,1,</v>
      </c>
      <c r="BA224" s="31" t="str">
        <f t="shared" si="757"/>
        <v>BypassInputChecks,0,</v>
      </c>
      <c r="BB224" s="31" t="str">
        <f t="shared" si="758"/>
        <v>BypassUMLHChecks,0,</v>
      </c>
      <c r="BC224" s="31" t="str">
        <f t="shared" si="759"/>
        <v>BypassCheckSimRules,0,</v>
      </c>
      <c r="BD224" s="31" t="str">
        <f t="shared" si="760"/>
        <v>BypassCheckCodeRules,0,</v>
      </c>
      <c r="BE224" s="31" t="str">
        <f t="shared" si="718"/>
        <v>StoreResultsToModelInput,1,</v>
      </c>
      <c r="BF224" s="31" t="str">
        <f t="shared" si="719"/>
        <v>StoreBEMDetails,0,</v>
      </c>
      <c r="BG224" s="31" t="str">
        <f t="shared" si="720"/>
        <v>ModelRpt_ALL,1,</v>
      </c>
      <c r="BH224" s="31" t="str">
        <f t="shared" si="721"/>
        <v>ExportHourlyResults_All,0,</v>
      </c>
      <c r="BI224" s="31" t="str">
        <f t="shared" si="722"/>
        <v>ComplianceReportPDF,0,</v>
      </c>
      <c r="BJ224" s="31" t="str">
        <f t="shared" si="723"/>
        <v>ComplianceReportXML,0,</v>
      </c>
      <c r="BK224" s="31" t="str">
        <f t="shared" si="724"/>
        <v>QuickAnalysis,0,</v>
      </c>
      <c r="BL224" s="31" t="str">
        <f t="shared" si="724"/>
        <v>PromptUserUMLHWarning,0,</v>
      </c>
      <c r="BM224" s="31" t="str">
        <f t="shared" si="725"/>
        <v>BypassOpenStudio_all,0,</v>
      </c>
      <c r="BN224" s="31" t="str">
        <f t="shared" si="726"/>
        <v>BypassOpenStudio_zp,0,</v>
      </c>
      <c r="BO224" s="31" t="str">
        <f t="shared" si="727"/>
        <v>BypassOpenStudio_zb,0,</v>
      </c>
      <c r="BP224" s="31" t="str">
        <f t="shared" si="728"/>
        <v>BypassOpenStudio_ap,0,</v>
      </c>
      <c r="BQ224" s="31" t="str">
        <f t="shared" si="729"/>
        <v>BypassOpenStudio_ab,0,</v>
      </c>
      <c r="BR224" s="31" t="str">
        <f t="shared" si="730"/>
        <v>BypassOpenStudio_zp,0,</v>
      </c>
      <c r="BS224" s="31" t="str">
        <f t="shared" si="731"/>
        <v>BypassOpenStudio_zb,0,</v>
      </c>
      <c r="BT224" s="31" t="str">
        <f t="shared" si="732"/>
        <v>BypassOpenStudio_ap,0,</v>
      </c>
      <c r="BU224" s="31" t="str">
        <f t="shared" si="733"/>
        <v>BypassOpenStudio_ab,0,</v>
      </c>
    </row>
    <row r="225" spans="1:73" hidden="1" outlineLevel="1" x14ac:dyDescent="0.25">
      <c r="A225" s="39">
        <f t="shared" si="734"/>
        <v>0</v>
      </c>
      <c r="B225" s="27" t="str">
        <f t="shared" si="735"/>
        <v>SoftwareSensitivity2016Tests\DetailedGeometry\x.cibd16</v>
      </c>
      <c r="C225" s="27" t="str">
        <f t="shared" si="736"/>
        <v>BatchOut_171026_r5178_FinalRel-v3-SSTSG_SSTDG\x.cibd16</v>
      </c>
      <c r="D225" s="27" t="str">
        <f t="shared" si="737"/>
        <v>BatchOut_171026_r5178_FinalRel-v3-SSTSG_SSTDG\XML\</v>
      </c>
      <c r="E225" s="9" t="str">
        <f t="shared" si="738"/>
        <v>x</v>
      </c>
      <c r="F225" s="22"/>
      <c r="G225" s="29"/>
      <c r="H225" s="23" t="str">
        <f t="shared" si="739"/>
        <v/>
      </c>
      <c r="I225" s="9" t="s">
        <v>11</v>
      </c>
      <c r="J22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5" s="15" t="s">
        <v>1</v>
      </c>
      <c r="L225" s="36">
        <f t="shared" si="846"/>
        <v>0</v>
      </c>
      <c r="M225" s="91" t="str">
        <f t="shared" si="740"/>
        <v>x</v>
      </c>
      <c r="N225" s="90" t="s">
        <v>149</v>
      </c>
      <c r="O225" s="28" t="str">
        <f t="shared" si="745"/>
        <v>x</v>
      </c>
      <c r="P225" s="36">
        <f t="shared" si="859"/>
        <v>1</v>
      </c>
      <c r="Q225" s="36">
        <f t="shared" si="859"/>
        <v>1</v>
      </c>
      <c r="R225" s="36">
        <f t="shared" si="859"/>
        <v>0</v>
      </c>
      <c r="S225" s="36">
        <f t="shared" si="859"/>
        <v>1</v>
      </c>
      <c r="T225" s="36">
        <f t="shared" si="859"/>
        <v>0</v>
      </c>
      <c r="U225" s="36">
        <f t="shared" si="859"/>
        <v>8</v>
      </c>
      <c r="V225" s="36">
        <f t="shared" si="855"/>
        <v>8</v>
      </c>
      <c r="W225" s="36">
        <f t="shared" si="855"/>
        <v>1</v>
      </c>
      <c r="X225" s="36">
        <f t="shared" si="855"/>
        <v>0</v>
      </c>
      <c r="Y225" s="36">
        <f t="shared" si="855"/>
        <v>0</v>
      </c>
      <c r="Z225" s="36">
        <f t="shared" si="855"/>
        <v>0</v>
      </c>
      <c r="AA225" s="36">
        <f t="shared" si="855"/>
        <v>0</v>
      </c>
      <c r="AB225" s="36">
        <f t="shared" si="855"/>
        <v>1</v>
      </c>
      <c r="AC225" s="36">
        <f t="shared" si="855"/>
        <v>0</v>
      </c>
      <c r="AD225" s="36">
        <f t="shared" si="855"/>
        <v>1</v>
      </c>
      <c r="AE225" s="36">
        <f t="shared" ref="AE225:AF225" si="872">AE224</f>
        <v>0</v>
      </c>
      <c r="AF225" s="36">
        <f t="shared" si="872"/>
        <v>0</v>
      </c>
      <c r="AG225" s="36">
        <f t="shared" ref="AG225:AH225" si="873">AG224</f>
        <v>0</v>
      </c>
      <c r="AH225" s="36">
        <f t="shared" si="873"/>
        <v>0</v>
      </c>
      <c r="AI225" s="36">
        <f t="shared" ref="AI225" si="874">AI224</f>
        <v>0</v>
      </c>
      <c r="AJ225" s="36">
        <f t="shared" si="855"/>
        <v>0</v>
      </c>
      <c r="AK225" s="36">
        <f t="shared" si="837"/>
        <v>0</v>
      </c>
      <c r="AL225" s="36">
        <f t="shared" si="837"/>
        <v>0</v>
      </c>
      <c r="AM225" s="36">
        <f t="shared" si="837"/>
        <v>0</v>
      </c>
      <c r="AN225" s="36">
        <f t="shared" si="837"/>
        <v>0</v>
      </c>
      <c r="AO225" s="36">
        <f t="shared" si="837"/>
        <v>0</v>
      </c>
      <c r="AP225" s="36">
        <f t="shared" si="837"/>
        <v>0</v>
      </c>
      <c r="AQ225" s="36">
        <f t="shared" si="837"/>
        <v>0</v>
      </c>
      <c r="AR225" s="36">
        <f t="shared" si="813"/>
        <v>0</v>
      </c>
      <c r="AS225" s="31" t="str">
        <f t="shared" si="749"/>
        <v>SimulationStorage,1,</v>
      </c>
      <c r="AT225" s="31" t="str">
        <f t="shared" si="750"/>
        <v>AnalysisStorage,1,</v>
      </c>
      <c r="AU225" s="31" t="str">
        <f t="shared" si="751"/>
        <v>LogRuleEvaluation,0,</v>
      </c>
      <c r="AV225" s="31" t="str">
        <f t="shared" si="752"/>
        <v>ParallelSimulations,1,</v>
      </c>
      <c r="AW225" s="31" t="str">
        <f t="shared" si="753"/>
        <v>DurationStats,0,</v>
      </c>
      <c r="AX225" s="31" t="str">
        <f t="shared" si="754"/>
        <v>AnalysisThruStep,8,</v>
      </c>
      <c r="AY225" s="31" t="str">
        <f t="shared" si="755"/>
        <v>DontAbortOnErrorsThruStep,8,</v>
      </c>
      <c r="AZ225" s="31" t="str">
        <f t="shared" si="756"/>
        <v>BypassValidFileChecks,1,</v>
      </c>
      <c r="BA225" s="31" t="str">
        <f t="shared" si="757"/>
        <v>BypassInputChecks,0,</v>
      </c>
      <c r="BB225" s="31" t="str">
        <f t="shared" si="758"/>
        <v>BypassUMLHChecks,0,</v>
      </c>
      <c r="BC225" s="31" t="str">
        <f t="shared" si="759"/>
        <v>BypassCheckSimRules,0,</v>
      </c>
      <c r="BD225" s="31" t="str">
        <f t="shared" si="760"/>
        <v>BypassCheckCodeRules,0,</v>
      </c>
      <c r="BE225" s="31" t="str">
        <f t="shared" si="718"/>
        <v>StoreResultsToModelInput,1,</v>
      </c>
      <c r="BF225" s="31" t="str">
        <f t="shared" si="719"/>
        <v>StoreBEMDetails,0,</v>
      </c>
      <c r="BG225" s="31" t="str">
        <f t="shared" si="720"/>
        <v>ModelRpt_ALL,1,</v>
      </c>
      <c r="BH225" s="31" t="str">
        <f t="shared" si="721"/>
        <v>ExportHourlyResults_All,0,</v>
      </c>
      <c r="BI225" s="31" t="str">
        <f t="shared" si="722"/>
        <v>ComplianceReportPDF,0,</v>
      </c>
      <c r="BJ225" s="31" t="str">
        <f t="shared" si="723"/>
        <v>ComplianceReportXML,0,</v>
      </c>
      <c r="BK225" s="31" t="str">
        <f t="shared" si="724"/>
        <v>QuickAnalysis,0,</v>
      </c>
      <c r="BL225" s="31" t="str">
        <f t="shared" si="724"/>
        <v>PromptUserUMLHWarning,0,</v>
      </c>
      <c r="BM225" s="31" t="str">
        <f t="shared" si="725"/>
        <v>BypassOpenStudio_all,0,</v>
      </c>
      <c r="BN225" s="31" t="str">
        <f t="shared" si="726"/>
        <v>BypassOpenStudio_zp,0,</v>
      </c>
      <c r="BO225" s="31" t="str">
        <f t="shared" si="727"/>
        <v>BypassOpenStudio_zb,0,</v>
      </c>
      <c r="BP225" s="31" t="str">
        <f t="shared" si="728"/>
        <v>BypassOpenStudio_ap,0,</v>
      </c>
      <c r="BQ225" s="31" t="str">
        <f t="shared" si="729"/>
        <v>BypassOpenStudio_ab,0,</v>
      </c>
      <c r="BR225" s="31" t="str">
        <f t="shared" si="730"/>
        <v>BypassOpenStudio_zp,0,</v>
      </c>
      <c r="BS225" s="31" t="str">
        <f t="shared" si="731"/>
        <v>BypassOpenStudio_zb,0,</v>
      </c>
      <c r="BT225" s="31" t="str">
        <f t="shared" si="732"/>
        <v>BypassOpenStudio_ap,0,</v>
      </c>
      <c r="BU225" s="31" t="str">
        <f t="shared" si="733"/>
        <v>BypassOpenStudio_ab,0,</v>
      </c>
    </row>
    <row r="226" spans="1:73" hidden="1" outlineLevel="1" x14ac:dyDescent="0.25">
      <c r="A226" s="39">
        <f t="shared" si="734"/>
        <v>0</v>
      </c>
      <c r="B226" s="27" t="str">
        <f t="shared" si="735"/>
        <v>SoftwareSensitivity2016Tests\DetailedGeometry\x.cibd16</v>
      </c>
      <c r="C226" s="27" t="str">
        <f t="shared" si="736"/>
        <v>BatchOut_171026_r5178_FinalRel-v3-SSTSG_SSTDG\x.cibd16</v>
      </c>
      <c r="D226" s="27" t="str">
        <f t="shared" si="737"/>
        <v>BatchOut_171026_r5178_FinalRel-v3-SSTSG_SSTDG\XML\</v>
      </c>
      <c r="E226" s="9" t="str">
        <f t="shared" si="738"/>
        <v>x</v>
      </c>
      <c r="F226" s="22"/>
      <c r="G226" s="29"/>
      <c r="H226" s="23" t="str">
        <f t="shared" si="739"/>
        <v/>
      </c>
      <c r="I226" s="9" t="s">
        <v>11</v>
      </c>
      <c r="J22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6" s="15" t="s">
        <v>1</v>
      </c>
      <c r="L226" s="36">
        <f t="shared" si="846"/>
        <v>0</v>
      </c>
      <c r="M226" s="91" t="str">
        <f t="shared" si="740"/>
        <v>x</v>
      </c>
      <c r="N226" s="90" t="s">
        <v>149</v>
      </c>
      <c r="O226" s="28" t="str">
        <f t="shared" si="745"/>
        <v>x</v>
      </c>
      <c r="P226" s="36">
        <f t="shared" si="859"/>
        <v>1</v>
      </c>
      <c r="Q226" s="36">
        <f t="shared" si="859"/>
        <v>1</v>
      </c>
      <c r="R226" s="36">
        <f t="shared" si="859"/>
        <v>0</v>
      </c>
      <c r="S226" s="36">
        <f t="shared" si="859"/>
        <v>1</v>
      </c>
      <c r="T226" s="36">
        <f t="shared" si="859"/>
        <v>0</v>
      </c>
      <c r="U226" s="36">
        <f t="shared" si="859"/>
        <v>8</v>
      </c>
      <c r="V226" s="36">
        <f t="shared" si="855"/>
        <v>8</v>
      </c>
      <c r="W226" s="36">
        <f t="shared" si="855"/>
        <v>1</v>
      </c>
      <c r="X226" s="36">
        <f t="shared" si="855"/>
        <v>0</v>
      </c>
      <c r="Y226" s="36">
        <f t="shared" si="855"/>
        <v>0</v>
      </c>
      <c r="Z226" s="36">
        <f t="shared" si="855"/>
        <v>0</v>
      </c>
      <c r="AA226" s="36">
        <f t="shared" si="855"/>
        <v>0</v>
      </c>
      <c r="AB226" s="36">
        <f t="shared" si="855"/>
        <v>1</v>
      </c>
      <c r="AC226" s="36">
        <f t="shared" si="855"/>
        <v>0</v>
      </c>
      <c r="AD226" s="36">
        <f t="shared" si="855"/>
        <v>1</v>
      </c>
      <c r="AE226" s="36">
        <f t="shared" ref="AE226:AF226" si="875">AE225</f>
        <v>0</v>
      </c>
      <c r="AF226" s="36">
        <f t="shared" si="875"/>
        <v>0</v>
      </c>
      <c r="AG226" s="36">
        <f t="shared" ref="AG226:AH226" si="876">AG225</f>
        <v>0</v>
      </c>
      <c r="AH226" s="36">
        <f t="shared" si="876"/>
        <v>0</v>
      </c>
      <c r="AI226" s="36">
        <f t="shared" ref="AI226" si="877">AI225</f>
        <v>0</v>
      </c>
      <c r="AJ226" s="36">
        <f t="shared" si="855"/>
        <v>0</v>
      </c>
      <c r="AK226" s="36">
        <f t="shared" si="837"/>
        <v>0</v>
      </c>
      <c r="AL226" s="36">
        <f t="shared" si="837"/>
        <v>0</v>
      </c>
      <c r="AM226" s="36">
        <f t="shared" si="837"/>
        <v>0</v>
      </c>
      <c r="AN226" s="36">
        <f t="shared" si="837"/>
        <v>0</v>
      </c>
      <c r="AO226" s="36">
        <f t="shared" si="837"/>
        <v>0</v>
      </c>
      <c r="AP226" s="36">
        <f t="shared" si="837"/>
        <v>0</v>
      </c>
      <c r="AQ226" s="36">
        <f t="shared" si="837"/>
        <v>0</v>
      </c>
      <c r="AR226" s="36">
        <f t="shared" si="813"/>
        <v>0</v>
      </c>
      <c r="AS226" s="31" t="str">
        <f t="shared" si="749"/>
        <v>SimulationStorage,1,</v>
      </c>
      <c r="AT226" s="31" t="str">
        <f t="shared" si="750"/>
        <v>AnalysisStorage,1,</v>
      </c>
      <c r="AU226" s="31" t="str">
        <f t="shared" si="751"/>
        <v>LogRuleEvaluation,0,</v>
      </c>
      <c r="AV226" s="31" t="str">
        <f t="shared" si="752"/>
        <v>ParallelSimulations,1,</v>
      </c>
      <c r="AW226" s="31" t="str">
        <f t="shared" si="753"/>
        <v>DurationStats,0,</v>
      </c>
      <c r="AX226" s="31" t="str">
        <f t="shared" si="754"/>
        <v>AnalysisThruStep,8,</v>
      </c>
      <c r="AY226" s="31" t="str">
        <f t="shared" si="755"/>
        <v>DontAbortOnErrorsThruStep,8,</v>
      </c>
      <c r="AZ226" s="31" t="str">
        <f t="shared" si="756"/>
        <v>BypassValidFileChecks,1,</v>
      </c>
      <c r="BA226" s="31" t="str">
        <f t="shared" si="757"/>
        <v>BypassInputChecks,0,</v>
      </c>
      <c r="BB226" s="31" t="str">
        <f t="shared" si="758"/>
        <v>BypassUMLHChecks,0,</v>
      </c>
      <c r="BC226" s="31" t="str">
        <f t="shared" si="759"/>
        <v>BypassCheckSimRules,0,</v>
      </c>
      <c r="BD226" s="31" t="str">
        <f t="shared" si="760"/>
        <v>BypassCheckCodeRules,0,</v>
      </c>
      <c r="BE226" s="31" t="str">
        <f t="shared" si="718"/>
        <v>StoreResultsToModelInput,1,</v>
      </c>
      <c r="BF226" s="31" t="str">
        <f t="shared" si="719"/>
        <v>StoreBEMDetails,0,</v>
      </c>
      <c r="BG226" s="31" t="str">
        <f t="shared" si="720"/>
        <v>ModelRpt_ALL,1,</v>
      </c>
      <c r="BH226" s="31" t="str">
        <f t="shared" si="721"/>
        <v>ExportHourlyResults_All,0,</v>
      </c>
      <c r="BI226" s="31" t="str">
        <f t="shared" si="722"/>
        <v>ComplianceReportPDF,0,</v>
      </c>
      <c r="BJ226" s="31" t="str">
        <f t="shared" si="723"/>
        <v>ComplianceReportXML,0,</v>
      </c>
      <c r="BK226" s="31" t="str">
        <f t="shared" si="724"/>
        <v>QuickAnalysis,0,</v>
      </c>
      <c r="BL226" s="31" t="str">
        <f t="shared" si="724"/>
        <v>PromptUserUMLHWarning,0,</v>
      </c>
      <c r="BM226" s="31" t="str">
        <f t="shared" si="725"/>
        <v>BypassOpenStudio_all,0,</v>
      </c>
      <c r="BN226" s="31" t="str">
        <f t="shared" si="726"/>
        <v>BypassOpenStudio_zp,0,</v>
      </c>
      <c r="BO226" s="31" t="str">
        <f t="shared" si="727"/>
        <v>BypassOpenStudio_zb,0,</v>
      </c>
      <c r="BP226" s="31" t="str">
        <f t="shared" si="728"/>
        <v>BypassOpenStudio_ap,0,</v>
      </c>
      <c r="BQ226" s="31" t="str">
        <f t="shared" si="729"/>
        <v>BypassOpenStudio_ab,0,</v>
      </c>
      <c r="BR226" s="31" t="str">
        <f t="shared" si="730"/>
        <v>BypassOpenStudio_zp,0,</v>
      </c>
      <c r="BS226" s="31" t="str">
        <f t="shared" si="731"/>
        <v>BypassOpenStudio_zb,0,</v>
      </c>
      <c r="BT226" s="31" t="str">
        <f t="shared" si="732"/>
        <v>BypassOpenStudio_ap,0,</v>
      </c>
      <c r="BU226" s="31" t="str">
        <f t="shared" si="733"/>
        <v>BypassOpenStudio_ab,0,</v>
      </c>
    </row>
    <row r="227" spans="1:73" hidden="1" outlineLevel="1" x14ac:dyDescent="0.25">
      <c r="A227" s="39">
        <f t="shared" si="734"/>
        <v>0</v>
      </c>
      <c r="B227" s="27" t="str">
        <f t="shared" si="735"/>
        <v>SoftwareSensitivity2016Tests\DetailedGeometry\x.cibd16</v>
      </c>
      <c r="C227" s="27" t="str">
        <f t="shared" si="736"/>
        <v>BatchOut_171026_r5178_FinalRel-v3-SSTSG_SSTDG\x.cibd16</v>
      </c>
      <c r="D227" s="27" t="str">
        <f t="shared" si="737"/>
        <v>BatchOut_171026_r5178_FinalRel-v3-SSTSG_SSTDG\XML\</v>
      </c>
      <c r="E227" s="9" t="str">
        <f t="shared" si="738"/>
        <v>x</v>
      </c>
      <c r="F227" s="22"/>
      <c r="G227" s="29"/>
      <c r="H227" s="23" t="str">
        <f t="shared" si="739"/>
        <v/>
      </c>
      <c r="I227" s="9" t="s">
        <v>11</v>
      </c>
      <c r="J22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7" s="15" t="s">
        <v>1</v>
      </c>
      <c r="L227" s="36">
        <f t="shared" si="846"/>
        <v>0</v>
      </c>
      <c r="M227" s="91" t="str">
        <f t="shared" si="740"/>
        <v>x</v>
      </c>
      <c r="N227" s="90" t="s">
        <v>149</v>
      </c>
      <c r="O227" s="28" t="str">
        <f t="shared" si="745"/>
        <v>x</v>
      </c>
      <c r="P227" s="36">
        <f t="shared" si="859"/>
        <v>1</v>
      </c>
      <c r="Q227" s="36">
        <f t="shared" si="859"/>
        <v>1</v>
      </c>
      <c r="R227" s="36">
        <f t="shared" si="859"/>
        <v>0</v>
      </c>
      <c r="S227" s="36">
        <f t="shared" si="859"/>
        <v>1</v>
      </c>
      <c r="T227" s="36">
        <f t="shared" si="859"/>
        <v>0</v>
      </c>
      <c r="U227" s="36">
        <f t="shared" si="859"/>
        <v>8</v>
      </c>
      <c r="V227" s="36">
        <f t="shared" si="855"/>
        <v>8</v>
      </c>
      <c r="W227" s="36">
        <f t="shared" si="855"/>
        <v>1</v>
      </c>
      <c r="X227" s="36">
        <f t="shared" si="855"/>
        <v>0</v>
      </c>
      <c r="Y227" s="36">
        <f t="shared" si="855"/>
        <v>0</v>
      </c>
      <c r="Z227" s="36">
        <f t="shared" si="855"/>
        <v>0</v>
      </c>
      <c r="AA227" s="36">
        <f t="shared" si="855"/>
        <v>0</v>
      </c>
      <c r="AB227" s="36">
        <f t="shared" si="855"/>
        <v>1</v>
      </c>
      <c r="AC227" s="36">
        <f t="shared" si="855"/>
        <v>0</v>
      </c>
      <c r="AD227" s="36">
        <f t="shared" si="855"/>
        <v>1</v>
      </c>
      <c r="AE227" s="36">
        <f t="shared" ref="AE227:AF227" si="878">AE226</f>
        <v>0</v>
      </c>
      <c r="AF227" s="36">
        <f t="shared" si="878"/>
        <v>0</v>
      </c>
      <c r="AG227" s="36">
        <f t="shared" ref="AG227:AH227" si="879">AG226</f>
        <v>0</v>
      </c>
      <c r="AH227" s="36">
        <f t="shared" si="879"/>
        <v>0</v>
      </c>
      <c r="AI227" s="36">
        <f t="shared" ref="AI227" si="880">AI226</f>
        <v>0</v>
      </c>
      <c r="AJ227" s="36">
        <f t="shared" si="855"/>
        <v>0</v>
      </c>
      <c r="AK227" s="36">
        <f t="shared" si="855"/>
        <v>0</v>
      </c>
      <c r="AL227" s="36">
        <f t="shared" si="855"/>
        <v>0</v>
      </c>
      <c r="AM227" s="36">
        <f t="shared" si="855"/>
        <v>0</v>
      </c>
      <c r="AN227" s="36">
        <f t="shared" si="855"/>
        <v>0</v>
      </c>
      <c r="AO227" s="36">
        <f t="shared" si="855"/>
        <v>0</v>
      </c>
      <c r="AP227" s="36">
        <f t="shared" si="855"/>
        <v>0</v>
      </c>
      <c r="AQ227" s="36">
        <f t="shared" ref="AQ227:AQ255" si="881">AQ226</f>
        <v>0</v>
      </c>
      <c r="AR227" s="36">
        <f t="shared" si="813"/>
        <v>0</v>
      </c>
      <c r="AS227" s="31" t="str">
        <f t="shared" si="749"/>
        <v>SimulationStorage,1,</v>
      </c>
      <c r="AT227" s="31" t="str">
        <f t="shared" si="750"/>
        <v>AnalysisStorage,1,</v>
      </c>
      <c r="AU227" s="31" t="str">
        <f t="shared" si="751"/>
        <v>LogRuleEvaluation,0,</v>
      </c>
      <c r="AV227" s="31" t="str">
        <f t="shared" si="752"/>
        <v>ParallelSimulations,1,</v>
      </c>
      <c r="AW227" s="31" t="str">
        <f t="shared" si="753"/>
        <v>DurationStats,0,</v>
      </c>
      <c r="AX227" s="31" t="str">
        <f t="shared" si="754"/>
        <v>AnalysisThruStep,8,</v>
      </c>
      <c r="AY227" s="31" t="str">
        <f t="shared" si="755"/>
        <v>DontAbortOnErrorsThruStep,8,</v>
      </c>
      <c r="AZ227" s="31" t="str">
        <f t="shared" si="756"/>
        <v>BypassValidFileChecks,1,</v>
      </c>
      <c r="BA227" s="31" t="str">
        <f t="shared" si="757"/>
        <v>BypassInputChecks,0,</v>
      </c>
      <c r="BB227" s="31" t="str">
        <f t="shared" si="758"/>
        <v>BypassUMLHChecks,0,</v>
      </c>
      <c r="BC227" s="31" t="str">
        <f t="shared" si="759"/>
        <v>BypassCheckSimRules,0,</v>
      </c>
      <c r="BD227" s="31" t="str">
        <f t="shared" si="760"/>
        <v>BypassCheckCodeRules,0,</v>
      </c>
      <c r="BE227" s="31" t="str">
        <f t="shared" si="718"/>
        <v>StoreResultsToModelInput,1,</v>
      </c>
      <c r="BF227" s="31" t="str">
        <f t="shared" si="719"/>
        <v>StoreBEMDetails,0,</v>
      </c>
      <c r="BG227" s="31" t="str">
        <f t="shared" si="720"/>
        <v>ModelRpt_ALL,1,</v>
      </c>
      <c r="BH227" s="31" t="str">
        <f t="shared" si="721"/>
        <v>ExportHourlyResults_All,0,</v>
      </c>
      <c r="BI227" s="31" t="str">
        <f t="shared" si="722"/>
        <v>ComplianceReportPDF,0,</v>
      </c>
      <c r="BJ227" s="31" t="str">
        <f t="shared" si="723"/>
        <v>ComplianceReportXML,0,</v>
      </c>
      <c r="BK227" s="31" t="str">
        <f t="shared" si="724"/>
        <v>QuickAnalysis,0,</v>
      </c>
      <c r="BL227" s="31" t="str">
        <f t="shared" si="724"/>
        <v>PromptUserUMLHWarning,0,</v>
      </c>
      <c r="BM227" s="31" t="str">
        <f t="shared" si="725"/>
        <v>BypassOpenStudio_all,0,</v>
      </c>
      <c r="BN227" s="31" t="str">
        <f t="shared" si="726"/>
        <v>BypassOpenStudio_zp,0,</v>
      </c>
      <c r="BO227" s="31" t="str">
        <f t="shared" si="727"/>
        <v>BypassOpenStudio_zb,0,</v>
      </c>
      <c r="BP227" s="31" t="str">
        <f t="shared" si="728"/>
        <v>BypassOpenStudio_ap,0,</v>
      </c>
      <c r="BQ227" s="31" t="str">
        <f t="shared" si="729"/>
        <v>BypassOpenStudio_ab,0,</v>
      </c>
      <c r="BR227" s="31" t="str">
        <f t="shared" si="730"/>
        <v>BypassOpenStudio_zp,0,</v>
      </c>
      <c r="BS227" s="31" t="str">
        <f t="shared" si="731"/>
        <v>BypassOpenStudio_zb,0,</v>
      </c>
      <c r="BT227" s="31" t="str">
        <f t="shared" si="732"/>
        <v>BypassOpenStudio_ap,0,</v>
      </c>
      <c r="BU227" s="31" t="str">
        <f t="shared" si="733"/>
        <v>BypassOpenStudio_ab,0,</v>
      </c>
    </row>
    <row r="228" spans="1:73" hidden="1" outlineLevel="1" x14ac:dyDescent="0.25">
      <c r="A228" s="39">
        <f t="shared" si="734"/>
        <v>0</v>
      </c>
      <c r="B228" s="27" t="str">
        <f t="shared" si="735"/>
        <v>SoftwareSensitivity2016Tests\DetailedGeometry\x.cibd16</v>
      </c>
      <c r="C228" s="27" t="str">
        <f t="shared" si="736"/>
        <v>BatchOut_171026_r5178_FinalRel-v3-SSTSG_SSTDG\x.cibd16</v>
      </c>
      <c r="D228" s="27" t="str">
        <f t="shared" si="737"/>
        <v>BatchOut_171026_r5178_FinalRel-v3-SSTSG_SSTDG\XML\</v>
      </c>
      <c r="E228" s="9" t="str">
        <f t="shared" si="738"/>
        <v>x</v>
      </c>
      <c r="F228" s="22"/>
      <c r="G228" s="29"/>
      <c r="H228" s="23" t="str">
        <f t="shared" si="739"/>
        <v/>
      </c>
      <c r="I228" s="9" t="s">
        <v>11</v>
      </c>
      <c r="J22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8" s="15" t="s">
        <v>1</v>
      </c>
      <c r="L228" s="36">
        <f t="shared" si="846"/>
        <v>0</v>
      </c>
      <c r="M228" s="91" t="str">
        <f t="shared" si="740"/>
        <v>x</v>
      </c>
      <c r="N228" s="90" t="s">
        <v>149</v>
      </c>
      <c r="O228" s="28" t="str">
        <f t="shared" si="745"/>
        <v>x</v>
      </c>
      <c r="P228" s="36">
        <f t="shared" si="859"/>
        <v>1</v>
      </c>
      <c r="Q228" s="36">
        <f t="shared" si="859"/>
        <v>1</v>
      </c>
      <c r="R228" s="36">
        <f t="shared" si="859"/>
        <v>0</v>
      </c>
      <c r="S228" s="36">
        <f t="shared" si="859"/>
        <v>1</v>
      </c>
      <c r="T228" s="36">
        <f t="shared" si="859"/>
        <v>0</v>
      </c>
      <c r="U228" s="36">
        <f t="shared" si="859"/>
        <v>8</v>
      </c>
      <c r="V228" s="36">
        <f t="shared" si="855"/>
        <v>8</v>
      </c>
      <c r="W228" s="36">
        <f t="shared" si="855"/>
        <v>1</v>
      </c>
      <c r="X228" s="36">
        <f t="shared" si="855"/>
        <v>0</v>
      </c>
      <c r="Y228" s="36">
        <f t="shared" si="855"/>
        <v>0</v>
      </c>
      <c r="Z228" s="36">
        <f t="shared" si="855"/>
        <v>0</v>
      </c>
      <c r="AA228" s="36">
        <f t="shared" si="855"/>
        <v>0</v>
      </c>
      <c r="AB228" s="36">
        <f t="shared" si="855"/>
        <v>1</v>
      </c>
      <c r="AC228" s="36">
        <f t="shared" si="855"/>
        <v>0</v>
      </c>
      <c r="AD228" s="36">
        <f t="shared" si="855"/>
        <v>1</v>
      </c>
      <c r="AE228" s="36">
        <f t="shared" ref="AE228:AF228" si="882">AE227</f>
        <v>0</v>
      </c>
      <c r="AF228" s="36">
        <f t="shared" si="882"/>
        <v>0</v>
      </c>
      <c r="AG228" s="36">
        <f t="shared" ref="AG228:AH228" si="883">AG227</f>
        <v>0</v>
      </c>
      <c r="AH228" s="36">
        <f t="shared" si="883"/>
        <v>0</v>
      </c>
      <c r="AI228" s="36">
        <f t="shared" ref="AI228" si="884">AI227</f>
        <v>0</v>
      </c>
      <c r="AJ228" s="36">
        <f t="shared" si="855"/>
        <v>0</v>
      </c>
      <c r="AK228" s="36">
        <f t="shared" si="855"/>
        <v>0</v>
      </c>
      <c r="AL228" s="36">
        <f t="shared" si="855"/>
        <v>0</v>
      </c>
      <c r="AM228" s="36">
        <f t="shared" si="855"/>
        <v>0</v>
      </c>
      <c r="AN228" s="36">
        <f t="shared" si="855"/>
        <v>0</v>
      </c>
      <c r="AO228" s="36">
        <f t="shared" si="855"/>
        <v>0</v>
      </c>
      <c r="AP228" s="36">
        <f t="shared" si="855"/>
        <v>0</v>
      </c>
      <c r="AQ228" s="36">
        <f t="shared" si="881"/>
        <v>0</v>
      </c>
      <c r="AR228" s="36">
        <f t="shared" si="813"/>
        <v>0</v>
      </c>
      <c r="AS228" s="31" t="str">
        <f t="shared" si="749"/>
        <v>SimulationStorage,1,</v>
      </c>
      <c r="AT228" s="31" t="str">
        <f t="shared" si="750"/>
        <v>AnalysisStorage,1,</v>
      </c>
      <c r="AU228" s="31" t="str">
        <f t="shared" si="751"/>
        <v>LogRuleEvaluation,0,</v>
      </c>
      <c r="AV228" s="31" t="str">
        <f t="shared" si="752"/>
        <v>ParallelSimulations,1,</v>
      </c>
      <c r="AW228" s="31" t="str">
        <f t="shared" si="753"/>
        <v>DurationStats,0,</v>
      </c>
      <c r="AX228" s="31" t="str">
        <f t="shared" si="754"/>
        <v>AnalysisThruStep,8,</v>
      </c>
      <c r="AY228" s="31" t="str">
        <f t="shared" si="755"/>
        <v>DontAbortOnErrorsThruStep,8,</v>
      </c>
      <c r="AZ228" s="31" t="str">
        <f t="shared" si="756"/>
        <v>BypassValidFileChecks,1,</v>
      </c>
      <c r="BA228" s="31" t="str">
        <f t="shared" si="757"/>
        <v>BypassInputChecks,0,</v>
      </c>
      <c r="BB228" s="31" t="str">
        <f t="shared" si="758"/>
        <v>BypassUMLHChecks,0,</v>
      </c>
      <c r="BC228" s="31" t="str">
        <f t="shared" si="759"/>
        <v>BypassCheckSimRules,0,</v>
      </c>
      <c r="BD228" s="31" t="str">
        <f t="shared" si="760"/>
        <v>BypassCheckCodeRules,0,</v>
      </c>
      <c r="BE228" s="31" t="str">
        <f t="shared" si="718"/>
        <v>StoreResultsToModelInput,1,</v>
      </c>
      <c r="BF228" s="31" t="str">
        <f t="shared" si="719"/>
        <v>StoreBEMDetails,0,</v>
      </c>
      <c r="BG228" s="31" t="str">
        <f t="shared" si="720"/>
        <v>ModelRpt_ALL,1,</v>
      </c>
      <c r="BH228" s="31" t="str">
        <f t="shared" si="721"/>
        <v>ExportHourlyResults_All,0,</v>
      </c>
      <c r="BI228" s="31" t="str">
        <f t="shared" si="722"/>
        <v>ComplianceReportPDF,0,</v>
      </c>
      <c r="BJ228" s="31" t="str">
        <f t="shared" si="723"/>
        <v>ComplianceReportXML,0,</v>
      </c>
      <c r="BK228" s="31" t="str">
        <f t="shared" si="724"/>
        <v>QuickAnalysis,0,</v>
      </c>
      <c r="BL228" s="31" t="str">
        <f t="shared" si="724"/>
        <v>PromptUserUMLHWarning,0,</v>
      </c>
      <c r="BM228" s="31" t="str">
        <f t="shared" si="725"/>
        <v>BypassOpenStudio_all,0,</v>
      </c>
      <c r="BN228" s="31" t="str">
        <f t="shared" si="726"/>
        <v>BypassOpenStudio_zp,0,</v>
      </c>
      <c r="BO228" s="31" t="str">
        <f t="shared" si="727"/>
        <v>BypassOpenStudio_zb,0,</v>
      </c>
      <c r="BP228" s="31" t="str">
        <f t="shared" si="728"/>
        <v>BypassOpenStudio_ap,0,</v>
      </c>
      <c r="BQ228" s="31" t="str">
        <f t="shared" si="729"/>
        <v>BypassOpenStudio_ab,0,</v>
      </c>
      <c r="BR228" s="31" t="str">
        <f t="shared" si="730"/>
        <v>BypassOpenStudio_zp,0,</v>
      </c>
      <c r="BS228" s="31" t="str">
        <f t="shared" si="731"/>
        <v>BypassOpenStudio_zb,0,</v>
      </c>
      <c r="BT228" s="31" t="str">
        <f t="shared" si="732"/>
        <v>BypassOpenStudio_ap,0,</v>
      </c>
      <c r="BU228" s="31" t="str">
        <f t="shared" si="733"/>
        <v>BypassOpenStudio_ab,0,</v>
      </c>
    </row>
    <row r="229" spans="1:73" hidden="1" outlineLevel="1" x14ac:dyDescent="0.25">
      <c r="A229" s="39">
        <f t="shared" si="734"/>
        <v>0</v>
      </c>
      <c r="B229" s="27" t="str">
        <f t="shared" si="735"/>
        <v>SoftwareSensitivity2016Tests\DetailedGeometry\x.cibd16</v>
      </c>
      <c r="C229" s="27" t="str">
        <f t="shared" si="736"/>
        <v>BatchOut_171026_r5178_FinalRel-v3-SSTSG_SSTDG\x.cibd16</v>
      </c>
      <c r="D229" s="27" t="str">
        <f t="shared" si="737"/>
        <v>BatchOut_171026_r5178_FinalRel-v3-SSTSG_SSTDG\XML\</v>
      </c>
      <c r="E229" s="9" t="str">
        <f t="shared" si="738"/>
        <v>x</v>
      </c>
      <c r="F229" s="22"/>
      <c r="G229" s="29"/>
      <c r="H229" s="23" t="str">
        <f t="shared" si="739"/>
        <v/>
      </c>
      <c r="I229" s="9" t="s">
        <v>11</v>
      </c>
      <c r="J22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9" s="15" t="s">
        <v>1</v>
      </c>
      <c r="L229" s="36">
        <f t="shared" si="846"/>
        <v>0</v>
      </c>
      <c r="M229" s="91" t="str">
        <f t="shared" si="740"/>
        <v>x</v>
      </c>
      <c r="N229" s="90" t="s">
        <v>149</v>
      </c>
      <c r="O229" s="28" t="str">
        <f t="shared" si="745"/>
        <v>x</v>
      </c>
      <c r="P229" s="36">
        <f t="shared" si="859"/>
        <v>1</v>
      </c>
      <c r="Q229" s="36">
        <f t="shared" si="859"/>
        <v>1</v>
      </c>
      <c r="R229" s="36">
        <f t="shared" si="859"/>
        <v>0</v>
      </c>
      <c r="S229" s="36">
        <f t="shared" si="859"/>
        <v>1</v>
      </c>
      <c r="T229" s="36">
        <f t="shared" si="859"/>
        <v>0</v>
      </c>
      <c r="U229" s="36">
        <f t="shared" si="859"/>
        <v>8</v>
      </c>
      <c r="V229" s="36">
        <f t="shared" si="855"/>
        <v>8</v>
      </c>
      <c r="W229" s="36">
        <f t="shared" si="855"/>
        <v>1</v>
      </c>
      <c r="X229" s="36">
        <f t="shared" si="855"/>
        <v>0</v>
      </c>
      <c r="Y229" s="36">
        <f t="shared" si="855"/>
        <v>0</v>
      </c>
      <c r="Z229" s="36">
        <f t="shared" si="855"/>
        <v>0</v>
      </c>
      <c r="AA229" s="36">
        <f t="shared" si="855"/>
        <v>0</v>
      </c>
      <c r="AB229" s="36">
        <f t="shared" si="855"/>
        <v>1</v>
      </c>
      <c r="AC229" s="36">
        <f t="shared" si="855"/>
        <v>0</v>
      </c>
      <c r="AD229" s="36">
        <f t="shared" si="855"/>
        <v>1</v>
      </c>
      <c r="AE229" s="36">
        <f t="shared" ref="AE229:AF229" si="885">AE228</f>
        <v>0</v>
      </c>
      <c r="AF229" s="36">
        <f t="shared" si="885"/>
        <v>0</v>
      </c>
      <c r="AG229" s="36">
        <f t="shared" ref="AG229:AH229" si="886">AG228</f>
        <v>0</v>
      </c>
      <c r="AH229" s="36">
        <f t="shared" si="886"/>
        <v>0</v>
      </c>
      <c r="AI229" s="36">
        <f t="shared" ref="AI229" si="887">AI228</f>
        <v>0</v>
      </c>
      <c r="AJ229" s="36">
        <f t="shared" si="855"/>
        <v>0</v>
      </c>
      <c r="AK229" s="36">
        <f t="shared" si="855"/>
        <v>0</v>
      </c>
      <c r="AL229" s="36">
        <f t="shared" si="855"/>
        <v>0</v>
      </c>
      <c r="AM229" s="36">
        <f t="shared" si="855"/>
        <v>0</v>
      </c>
      <c r="AN229" s="36">
        <f t="shared" si="855"/>
        <v>0</v>
      </c>
      <c r="AO229" s="36">
        <f t="shared" si="855"/>
        <v>0</v>
      </c>
      <c r="AP229" s="36">
        <f t="shared" si="855"/>
        <v>0</v>
      </c>
      <c r="AQ229" s="36">
        <f t="shared" si="881"/>
        <v>0</v>
      </c>
      <c r="AR229" s="36">
        <f t="shared" si="813"/>
        <v>0</v>
      </c>
      <c r="AS229" s="31" t="str">
        <f t="shared" si="749"/>
        <v>SimulationStorage,1,</v>
      </c>
      <c r="AT229" s="31" t="str">
        <f t="shared" si="750"/>
        <v>AnalysisStorage,1,</v>
      </c>
      <c r="AU229" s="31" t="str">
        <f t="shared" si="751"/>
        <v>LogRuleEvaluation,0,</v>
      </c>
      <c r="AV229" s="31" t="str">
        <f t="shared" si="752"/>
        <v>ParallelSimulations,1,</v>
      </c>
      <c r="AW229" s="31" t="str">
        <f t="shared" si="753"/>
        <v>DurationStats,0,</v>
      </c>
      <c r="AX229" s="31" t="str">
        <f t="shared" si="754"/>
        <v>AnalysisThruStep,8,</v>
      </c>
      <c r="AY229" s="31" t="str">
        <f t="shared" si="755"/>
        <v>DontAbortOnErrorsThruStep,8,</v>
      </c>
      <c r="AZ229" s="31" t="str">
        <f t="shared" si="756"/>
        <v>BypassValidFileChecks,1,</v>
      </c>
      <c r="BA229" s="31" t="str">
        <f t="shared" si="757"/>
        <v>BypassInputChecks,0,</v>
      </c>
      <c r="BB229" s="31" t="str">
        <f t="shared" si="758"/>
        <v>BypassUMLHChecks,0,</v>
      </c>
      <c r="BC229" s="31" t="str">
        <f t="shared" si="759"/>
        <v>BypassCheckSimRules,0,</v>
      </c>
      <c r="BD229" s="31" t="str">
        <f t="shared" si="760"/>
        <v>BypassCheckCodeRules,0,</v>
      </c>
      <c r="BE229" s="31" t="str">
        <f t="shared" si="718"/>
        <v>StoreResultsToModelInput,1,</v>
      </c>
      <c r="BF229" s="31" t="str">
        <f t="shared" si="719"/>
        <v>StoreBEMDetails,0,</v>
      </c>
      <c r="BG229" s="31" t="str">
        <f t="shared" si="720"/>
        <v>ModelRpt_ALL,1,</v>
      </c>
      <c r="BH229" s="31" t="str">
        <f t="shared" si="721"/>
        <v>ExportHourlyResults_All,0,</v>
      </c>
      <c r="BI229" s="31" t="str">
        <f t="shared" si="722"/>
        <v>ComplianceReportPDF,0,</v>
      </c>
      <c r="BJ229" s="31" t="str">
        <f t="shared" si="723"/>
        <v>ComplianceReportXML,0,</v>
      </c>
      <c r="BK229" s="31" t="str">
        <f t="shared" si="724"/>
        <v>QuickAnalysis,0,</v>
      </c>
      <c r="BL229" s="31" t="str">
        <f t="shared" si="724"/>
        <v>PromptUserUMLHWarning,0,</v>
      </c>
      <c r="BM229" s="31" t="str">
        <f t="shared" si="725"/>
        <v>BypassOpenStudio_all,0,</v>
      </c>
      <c r="BN229" s="31" t="str">
        <f t="shared" si="726"/>
        <v>BypassOpenStudio_zp,0,</v>
      </c>
      <c r="BO229" s="31" t="str">
        <f t="shared" si="727"/>
        <v>BypassOpenStudio_zb,0,</v>
      </c>
      <c r="BP229" s="31" t="str">
        <f t="shared" si="728"/>
        <v>BypassOpenStudio_ap,0,</v>
      </c>
      <c r="BQ229" s="31" t="str">
        <f t="shared" si="729"/>
        <v>BypassOpenStudio_ab,0,</v>
      </c>
      <c r="BR229" s="31" t="str">
        <f t="shared" si="730"/>
        <v>BypassOpenStudio_zp,0,</v>
      </c>
      <c r="BS229" s="31" t="str">
        <f t="shared" si="731"/>
        <v>BypassOpenStudio_zb,0,</v>
      </c>
      <c r="BT229" s="31" t="str">
        <f t="shared" si="732"/>
        <v>BypassOpenStudio_ap,0,</v>
      </c>
      <c r="BU229" s="31" t="str">
        <f t="shared" si="733"/>
        <v>BypassOpenStudio_ab,0,</v>
      </c>
    </row>
    <row r="230" spans="1:73" hidden="1" outlineLevel="1" x14ac:dyDescent="0.25">
      <c r="A230" s="39">
        <f t="shared" si="734"/>
        <v>0</v>
      </c>
      <c r="B230" s="27" t="str">
        <f t="shared" si="735"/>
        <v>SoftwareSensitivity2016Tests\DetailedGeometry\x.cibd16</v>
      </c>
      <c r="C230" s="27" t="str">
        <f t="shared" si="736"/>
        <v>BatchOut_171026_r5178_FinalRel-v3-SSTSG_SSTDG\x.cibd16</v>
      </c>
      <c r="D230" s="27" t="str">
        <f t="shared" si="737"/>
        <v>BatchOut_171026_r5178_FinalRel-v3-SSTSG_SSTDG\XML\</v>
      </c>
      <c r="E230" s="9" t="str">
        <f t="shared" si="738"/>
        <v>x</v>
      </c>
      <c r="F230" s="22"/>
      <c r="G230" s="29"/>
      <c r="H230" s="23" t="str">
        <f t="shared" si="739"/>
        <v/>
      </c>
      <c r="I230" s="9" t="s">
        <v>11</v>
      </c>
      <c r="J23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0" s="15" t="s">
        <v>1</v>
      </c>
      <c r="L230" s="36">
        <f t="shared" si="846"/>
        <v>0</v>
      </c>
      <c r="M230" s="91" t="str">
        <f t="shared" si="740"/>
        <v>x</v>
      </c>
      <c r="N230" s="90" t="s">
        <v>149</v>
      </c>
      <c r="O230" s="28" t="str">
        <f t="shared" si="745"/>
        <v>x</v>
      </c>
      <c r="P230" s="36">
        <f t="shared" si="859"/>
        <v>1</v>
      </c>
      <c r="Q230" s="36">
        <f t="shared" si="859"/>
        <v>1</v>
      </c>
      <c r="R230" s="36">
        <f t="shared" si="859"/>
        <v>0</v>
      </c>
      <c r="S230" s="36">
        <f t="shared" si="859"/>
        <v>1</v>
      </c>
      <c r="T230" s="36">
        <f t="shared" si="859"/>
        <v>0</v>
      </c>
      <c r="U230" s="36">
        <f t="shared" si="859"/>
        <v>8</v>
      </c>
      <c r="V230" s="36">
        <f t="shared" si="855"/>
        <v>8</v>
      </c>
      <c r="W230" s="36">
        <f t="shared" si="855"/>
        <v>1</v>
      </c>
      <c r="X230" s="36">
        <f t="shared" si="855"/>
        <v>0</v>
      </c>
      <c r="Y230" s="36">
        <f t="shared" si="855"/>
        <v>0</v>
      </c>
      <c r="Z230" s="36">
        <f t="shared" si="855"/>
        <v>0</v>
      </c>
      <c r="AA230" s="36">
        <f t="shared" si="855"/>
        <v>0</v>
      </c>
      <c r="AB230" s="36">
        <f t="shared" si="855"/>
        <v>1</v>
      </c>
      <c r="AC230" s="36">
        <f t="shared" si="855"/>
        <v>0</v>
      </c>
      <c r="AD230" s="36">
        <f t="shared" si="855"/>
        <v>1</v>
      </c>
      <c r="AE230" s="36">
        <f t="shared" ref="AE230:AF230" si="888">AE229</f>
        <v>0</v>
      </c>
      <c r="AF230" s="36">
        <f t="shared" si="888"/>
        <v>0</v>
      </c>
      <c r="AG230" s="36">
        <f t="shared" ref="AG230:AH230" si="889">AG229</f>
        <v>0</v>
      </c>
      <c r="AH230" s="36">
        <f t="shared" si="889"/>
        <v>0</v>
      </c>
      <c r="AI230" s="36">
        <f t="shared" ref="AI230" si="890">AI229</f>
        <v>0</v>
      </c>
      <c r="AJ230" s="36">
        <f t="shared" si="855"/>
        <v>0</v>
      </c>
      <c r="AK230" s="36">
        <f t="shared" si="855"/>
        <v>0</v>
      </c>
      <c r="AL230" s="36">
        <f t="shared" si="855"/>
        <v>0</v>
      </c>
      <c r="AM230" s="36">
        <f t="shared" si="855"/>
        <v>0</v>
      </c>
      <c r="AN230" s="36">
        <f t="shared" si="855"/>
        <v>0</v>
      </c>
      <c r="AO230" s="36">
        <f t="shared" si="855"/>
        <v>0</v>
      </c>
      <c r="AP230" s="36">
        <f t="shared" si="855"/>
        <v>0</v>
      </c>
      <c r="AQ230" s="36">
        <f t="shared" si="881"/>
        <v>0</v>
      </c>
      <c r="AR230" s="36">
        <f t="shared" si="813"/>
        <v>0</v>
      </c>
      <c r="AS230" s="31" t="str">
        <f t="shared" si="749"/>
        <v>SimulationStorage,1,</v>
      </c>
      <c r="AT230" s="31" t="str">
        <f t="shared" si="750"/>
        <v>AnalysisStorage,1,</v>
      </c>
      <c r="AU230" s="31" t="str">
        <f t="shared" si="751"/>
        <v>LogRuleEvaluation,0,</v>
      </c>
      <c r="AV230" s="31" t="str">
        <f t="shared" si="752"/>
        <v>ParallelSimulations,1,</v>
      </c>
      <c r="AW230" s="31" t="str">
        <f t="shared" si="753"/>
        <v>DurationStats,0,</v>
      </c>
      <c r="AX230" s="31" t="str">
        <f t="shared" si="754"/>
        <v>AnalysisThruStep,8,</v>
      </c>
      <c r="AY230" s="31" t="str">
        <f t="shared" si="755"/>
        <v>DontAbortOnErrorsThruStep,8,</v>
      </c>
      <c r="AZ230" s="31" t="str">
        <f t="shared" si="756"/>
        <v>BypassValidFileChecks,1,</v>
      </c>
      <c r="BA230" s="31" t="str">
        <f t="shared" si="757"/>
        <v>BypassInputChecks,0,</v>
      </c>
      <c r="BB230" s="31" t="str">
        <f t="shared" si="758"/>
        <v>BypassUMLHChecks,0,</v>
      </c>
      <c r="BC230" s="31" t="str">
        <f t="shared" si="759"/>
        <v>BypassCheckSimRules,0,</v>
      </c>
      <c r="BD230" s="31" t="str">
        <f t="shared" si="760"/>
        <v>BypassCheckCodeRules,0,</v>
      </c>
      <c r="BE230" s="31" t="str">
        <f t="shared" si="718"/>
        <v>StoreResultsToModelInput,1,</v>
      </c>
      <c r="BF230" s="31" t="str">
        <f t="shared" si="719"/>
        <v>StoreBEMDetails,0,</v>
      </c>
      <c r="BG230" s="31" t="str">
        <f t="shared" si="720"/>
        <v>ModelRpt_ALL,1,</v>
      </c>
      <c r="BH230" s="31" t="str">
        <f t="shared" si="721"/>
        <v>ExportHourlyResults_All,0,</v>
      </c>
      <c r="BI230" s="31" t="str">
        <f t="shared" si="722"/>
        <v>ComplianceReportPDF,0,</v>
      </c>
      <c r="BJ230" s="31" t="str">
        <f t="shared" si="723"/>
        <v>ComplianceReportXML,0,</v>
      </c>
      <c r="BK230" s="31" t="str">
        <f t="shared" si="724"/>
        <v>QuickAnalysis,0,</v>
      </c>
      <c r="BL230" s="31" t="str">
        <f t="shared" si="724"/>
        <v>PromptUserUMLHWarning,0,</v>
      </c>
      <c r="BM230" s="31" t="str">
        <f t="shared" si="725"/>
        <v>BypassOpenStudio_all,0,</v>
      </c>
      <c r="BN230" s="31" t="str">
        <f t="shared" si="726"/>
        <v>BypassOpenStudio_zp,0,</v>
      </c>
      <c r="BO230" s="31" t="str">
        <f t="shared" si="727"/>
        <v>BypassOpenStudio_zb,0,</v>
      </c>
      <c r="BP230" s="31" t="str">
        <f t="shared" si="728"/>
        <v>BypassOpenStudio_ap,0,</v>
      </c>
      <c r="BQ230" s="31" t="str">
        <f t="shared" si="729"/>
        <v>BypassOpenStudio_ab,0,</v>
      </c>
      <c r="BR230" s="31" t="str">
        <f t="shared" si="730"/>
        <v>BypassOpenStudio_zp,0,</v>
      </c>
      <c r="BS230" s="31" t="str">
        <f t="shared" si="731"/>
        <v>BypassOpenStudio_zb,0,</v>
      </c>
      <c r="BT230" s="31" t="str">
        <f t="shared" si="732"/>
        <v>BypassOpenStudio_ap,0,</v>
      </c>
      <c r="BU230" s="31" t="str">
        <f t="shared" si="733"/>
        <v>BypassOpenStudio_ab,0,</v>
      </c>
    </row>
    <row r="231" spans="1:73" hidden="1" outlineLevel="1" x14ac:dyDescent="0.25">
      <c r="A231" s="39">
        <f t="shared" si="734"/>
        <v>0</v>
      </c>
      <c r="B231" s="27" t="str">
        <f t="shared" si="735"/>
        <v>SoftwareSensitivity2016Tests\DetailedGeometry\x.cibd16</v>
      </c>
      <c r="C231" s="27" t="str">
        <f t="shared" si="736"/>
        <v>BatchOut_171026_r5178_FinalRel-v3-SSTSG_SSTDG\x.cibd16</v>
      </c>
      <c r="D231" s="27" t="str">
        <f t="shared" si="737"/>
        <v>BatchOut_171026_r5178_FinalRel-v3-SSTSG_SSTDG\XML\</v>
      </c>
      <c r="E231" s="9" t="str">
        <f t="shared" si="738"/>
        <v>x</v>
      </c>
      <c r="F231" s="22"/>
      <c r="G231" s="29"/>
      <c r="H231" s="23" t="str">
        <f t="shared" si="739"/>
        <v/>
      </c>
      <c r="I231" s="9" t="s">
        <v>11</v>
      </c>
      <c r="J23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1" s="15" t="s">
        <v>1</v>
      </c>
      <c r="L231" s="36">
        <f t="shared" si="846"/>
        <v>0</v>
      </c>
      <c r="M231" s="91" t="str">
        <f t="shared" si="740"/>
        <v>x</v>
      </c>
      <c r="N231" s="90" t="s">
        <v>149</v>
      </c>
      <c r="O231" s="28" t="str">
        <f t="shared" si="745"/>
        <v>x</v>
      </c>
      <c r="P231" s="36">
        <f t="shared" si="859"/>
        <v>1</v>
      </c>
      <c r="Q231" s="36">
        <f t="shared" si="859"/>
        <v>1</v>
      </c>
      <c r="R231" s="36">
        <f t="shared" si="859"/>
        <v>0</v>
      </c>
      <c r="S231" s="36">
        <f t="shared" si="859"/>
        <v>1</v>
      </c>
      <c r="T231" s="36">
        <f t="shared" si="859"/>
        <v>0</v>
      </c>
      <c r="U231" s="36">
        <f t="shared" si="859"/>
        <v>8</v>
      </c>
      <c r="V231" s="36">
        <f t="shared" si="855"/>
        <v>8</v>
      </c>
      <c r="W231" s="36">
        <f t="shared" si="855"/>
        <v>1</v>
      </c>
      <c r="X231" s="36">
        <f t="shared" si="855"/>
        <v>0</v>
      </c>
      <c r="Y231" s="36">
        <f t="shared" si="855"/>
        <v>0</v>
      </c>
      <c r="Z231" s="36">
        <f t="shared" si="855"/>
        <v>0</v>
      </c>
      <c r="AA231" s="36">
        <f t="shared" si="855"/>
        <v>0</v>
      </c>
      <c r="AB231" s="36">
        <f t="shared" si="855"/>
        <v>1</v>
      </c>
      <c r="AC231" s="36">
        <f t="shared" si="855"/>
        <v>0</v>
      </c>
      <c r="AD231" s="36">
        <f t="shared" si="855"/>
        <v>1</v>
      </c>
      <c r="AE231" s="36">
        <f t="shared" ref="AE231:AF231" si="891">AE230</f>
        <v>0</v>
      </c>
      <c r="AF231" s="36">
        <f t="shared" si="891"/>
        <v>0</v>
      </c>
      <c r="AG231" s="36">
        <f t="shared" ref="AG231:AH231" si="892">AG230</f>
        <v>0</v>
      </c>
      <c r="AH231" s="36">
        <f t="shared" si="892"/>
        <v>0</v>
      </c>
      <c r="AI231" s="36">
        <f t="shared" ref="AI231" si="893">AI230</f>
        <v>0</v>
      </c>
      <c r="AJ231" s="36">
        <f t="shared" si="855"/>
        <v>0</v>
      </c>
      <c r="AK231" s="36">
        <f t="shared" si="855"/>
        <v>0</v>
      </c>
      <c r="AL231" s="36">
        <f t="shared" si="855"/>
        <v>0</v>
      </c>
      <c r="AM231" s="36">
        <f t="shared" si="855"/>
        <v>0</v>
      </c>
      <c r="AN231" s="36">
        <f t="shared" si="855"/>
        <v>0</v>
      </c>
      <c r="AO231" s="36">
        <f t="shared" si="855"/>
        <v>0</v>
      </c>
      <c r="AP231" s="36">
        <f t="shared" si="855"/>
        <v>0</v>
      </c>
      <c r="AQ231" s="36">
        <f t="shared" si="881"/>
        <v>0</v>
      </c>
      <c r="AR231" s="36">
        <f t="shared" si="813"/>
        <v>0</v>
      </c>
      <c r="AS231" s="31" t="str">
        <f t="shared" si="749"/>
        <v>SimulationStorage,1,</v>
      </c>
      <c r="AT231" s="31" t="str">
        <f t="shared" si="750"/>
        <v>AnalysisStorage,1,</v>
      </c>
      <c r="AU231" s="31" t="str">
        <f t="shared" si="751"/>
        <v>LogRuleEvaluation,0,</v>
      </c>
      <c r="AV231" s="31" t="str">
        <f t="shared" si="752"/>
        <v>ParallelSimulations,1,</v>
      </c>
      <c r="AW231" s="31" t="str">
        <f t="shared" si="753"/>
        <v>DurationStats,0,</v>
      </c>
      <c r="AX231" s="31" t="str">
        <f t="shared" si="754"/>
        <v>AnalysisThruStep,8,</v>
      </c>
      <c r="AY231" s="31" t="str">
        <f t="shared" si="755"/>
        <v>DontAbortOnErrorsThruStep,8,</v>
      </c>
      <c r="AZ231" s="31" t="str">
        <f t="shared" si="756"/>
        <v>BypassValidFileChecks,1,</v>
      </c>
      <c r="BA231" s="31" t="str">
        <f t="shared" si="757"/>
        <v>BypassInputChecks,0,</v>
      </c>
      <c r="BB231" s="31" t="str">
        <f t="shared" si="758"/>
        <v>BypassUMLHChecks,0,</v>
      </c>
      <c r="BC231" s="31" t="str">
        <f t="shared" si="759"/>
        <v>BypassCheckSimRules,0,</v>
      </c>
      <c r="BD231" s="31" t="str">
        <f t="shared" si="760"/>
        <v>BypassCheckCodeRules,0,</v>
      </c>
      <c r="BE231" s="31" t="str">
        <f t="shared" si="718"/>
        <v>StoreResultsToModelInput,1,</v>
      </c>
      <c r="BF231" s="31" t="str">
        <f t="shared" si="719"/>
        <v>StoreBEMDetails,0,</v>
      </c>
      <c r="BG231" s="31" t="str">
        <f t="shared" si="720"/>
        <v>ModelRpt_ALL,1,</v>
      </c>
      <c r="BH231" s="31" t="str">
        <f t="shared" si="721"/>
        <v>ExportHourlyResults_All,0,</v>
      </c>
      <c r="BI231" s="31" t="str">
        <f t="shared" si="722"/>
        <v>ComplianceReportPDF,0,</v>
      </c>
      <c r="BJ231" s="31" t="str">
        <f t="shared" si="723"/>
        <v>ComplianceReportXML,0,</v>
      </c>
      <c r="BK231" s="31" t="str">
        <f t="shared" si="724"/>
        <v>QuickAnalysis,0,</v>
      </c>
      <c r="BL231" s="31" t="str">
        <f t="shared" si="724"/>
        <v>PromptUserUMLHWarning,0,</v>
      </c>
      <c r="BM231" s="31" t="str">
        <f t="shared" si="725"/>
        <v>BypassOpenStudio_all,0,</v>
      </c>
      <c r="BN231" s="31" t="str">
        <f t="shared" si="726"/>
        <v>BypassOpenStudio_zp,0,</v>
      </c>
      <c r="BO231" s="31" t="str">
        <f t="shared" si="727"/>
        <v>BypassOpenStudio_zb,0,</v>
      </c>
      <c r="BP231" s="31" t="str">
        <f t="shared" si="728"/>
        <v>BypassOpenStudio_ap,0,</v>
      </c>
      <c r="BQ231" s="31" t="str">
        <f t="shared" si="729"/>
        <v>BypassOpenStudio_ab,0,</v>
      </c>
      <c r="BR231" s="31" t="str">
        <f t="shared" si="730"/>
        <v>BypassOpenStudio_zp,0,</v>
      </c>
      <c r="BS231" s="31" t="str">
        <f t="shared" si="731"/>
        <v>BypassOpenStudio_zb,0,</v>
      </c>
      <c r="BT231" s="31" t="str">
        <f t="shared" si="732"/>
        <v>BypassOpenStudio_ap,0,</v>
      </c>
      <c r="BU231" s="31" t="str">
        <f t="shared" si="733"/>
        <v>BypassOpenStudio_ab,0,</v>
      </c>
    </row>
    <row r="232" spans="1:73" hidden="1" outlineLevel="1" x14ac:dyDescent="0.25">
      <c r="A232" s="39">
        <f t="shared" si="734"/>
        <v>0</v>
      </c>
      <c r="B232" s="27" t="str">
        <f t="shared" si="735"/>
        <v>SoftwareSensitivity2016Tests\DetailedGeometry\x.cibd16</v>
      </c>
      <c r="C232" s="27" t="str">
        <f t="shared" si="736"/>
        <v>BatchOut_171026_r5178_FinalRel-v3-SSTSG_SSTDG\x.cibd16</v>
      </c>
      <c r="D232" s="27" t="str">
        <f t="shared" si="737"/>
        <v>BatchOut_171026_r5178_FinalRel-v3-SSTSG_SSTDG\XML\</v>
      </c>
      <c r="E232" s="9" t="str">
        <f t="shared" si="738"/>
        <v>x</v>
      </c>
      <c r="F232" s="22"/>
      <c r="G232" s="29"/>
      <c r="H232" s="23" t="str">
        <f t="shared" si="739"/>
        <v/>
      </c>
      <c r="I232" s="9" t="s">
        <v>11</v>
      </c>
      <c r="J23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2" s="15" t="s">
        <v>1</v>
      </c>
      <c r="L232" s="36">
        <f t="shared" si="846"/>
        <v>0</v>
      </c>
      <c r="M232" s="91" t="str">
        <f t="shared" si="740"/>
        <v>x</v>
      </c>
      <c r="N232" s="90" t="s">
        <v>149</v>
      </c>
      <c r="O232" s="28" t="str">
        <f t="shared" si="745"/>
        <v>x</v>
      </c>
      <c r="P232" s="36">
        <f t="shared" si="859"/>
        <v>1</v>
      </c>
      <c r="Q232" s="36">
        <f t="shared" si="859"/>
        <v>1</v>
      </c>
      <c r="R232" s="36">
        <f t="shared" si="859"/>
        <v>0</v>
      </c>
      <c r="S232" s="36">
        <f t="shared" si="859"/>
        <v>1</v>
      </c>
      <c r="T232" s="36">
        <f t="shared" si="859"/>
        <v>0</v>
      </c>
      <c r="U232" s="36">
        <f t="shared" si="859"/>
        <v>8</v>
      </c>
      <c r="V232" s="36">
        <f t="shared" si="855"/>
        <v>8</v>
      </c>
      <c r="W232" s="36">
        <f t="shared" si="855"/>
        <v>1</v>
      </c>
      <c r="X232" s="36">
        <f t="shared" si="855"/>
        <v>0</v>
      </c>
      <c r="Y232" s="36">
        <f t="shared" si="855"/>
        <v>0</v>
      </c>
      <c r="Z232" s="36">
        <f t="shared" si="855"/>
        <v>0</v>
      </c>
      <c r="AA232" s="36">
        <f t="shared" si="855"/>
        <v>0</v>
      </c>
      <c r="AB232" s="36">
        <f t="shared" si="855"/>
        <v>1</v>
      </c>
      <c r="AC232" s="36">
        <f t="shared" si="855"/>
        <v>0</v>
      </c>
      <c r="AD232" s="36">
        <f t="shared" si="855"/>
        <v>1</v>
      </c>
      <c r="AE232" s="36">
        <f t="shared" ref="AE232:AF232" si="894">AE231</f>
        <v>0</v>
      </c>
      <c r="AF232" s="36">
        <f t="shared" si="894"/>
        <v>0</v>
      </c>
      <c r="AG232" s="36">
        <f t="shared" ref="AG232:AH232" si="895">AG231</f>
        <v>0</v>
      </c>
      <c r="AH232" s="36">
        <f t="shared" si="895"/>
        <v>0</v>
      </c>
      <c r="AI232" s="36">
        <f t="shared" ref="AI232" si="896">AI231</f>
        <v>0</v>
      </c>
      <c r="AJ232" s="36">
        <f t="shared" si="855"/>
        <v>0</v>
      </c>
      <c r="AK232" s="36">
        <f t="shared" si="855"/>
        <v>0</v>
      </c>
      <c r="AL232" s="36">
        <f t="shared" si="855"/>
        <v>0</v>
      </c>
      <c r="AM232" s="36">
        <f t="shared" si="855"/>
        <v>0</v>
      </c>
      <c r="AN232" s="36">
        <f t="shared" si="855"/>
        <v>0</v>
      </c>
      <c r="AO232" s="36">
        <f t="shared" si="855"/>
        <v>0</v>
      </c>
      <c r="AP232" s="36">
        <f t="shared" si="855"/>
        <v>0</v>
      </c>
      <c r="AQ232" s="36">
        <f t="shared" si="881"/>
        <v>0</v>
      </c>
      <c r="AR232" s="36">
        <f t="shared" si="813"/>
        <v>0</v>
      </c>
      <c r="AS232" s="31" t="str">
        <f t="shared" si="749"/>
        <v>SimulationStorage,1,</v>
      </c>
      <c r="AT232" s="31" t="str">
        <f t="shared" si="750"/>
        <v>AnalysisStorage,1,</v>
      </c>
      <c r="AU232" s="31" t="str">
        <f t="shared" si="751"/>
        <v>LogRuleEvaluation,0,</v>
      </c>
      <c r="AV232" s="31" t="str">
        <f t="shared" si="752"/>
        <v>ParallelSimulations,1,</v>
      </c>
      <c r="AW232" s="31" t="str">
        <f t="shared" si="753"/>
        <v>DurationStats,0,</v>
      </c>
      <c r="AX232" s="31" t="str">
        <f t="shared" si="754"/>
        <v>AnalysisThruStep,8,</v>
      </c>
      <c r="AY232" s="31" t="str">
        <f t="shared" si="755"/>
        <v>DontAbortOnErrorsThruStep,8,</v>
      </c>
      <c r="AZ232" s="31" t="str">
        <f t="shared" si="756"/>
        <v>BypassValidFileChecks,1,</v>
      </c>
      <c r="BA232" s="31" t="str">
        <f t="shared" si="757"/>
        <v>BypassInputChecks,0,</v>
      </c>
      <c r="BB232" s="31" t="str">
        <f t="shared" si="758"/>
        <v>BypassUMLHChecks,0,</v>
      </c>
      <c r="BC232" s="31" t="str">
        <f t="shared" si="759"/>
        <v>BypassCheckSimRules,0,</v>
      </c>
      <c r="BD232" s="31" t="str">
        <f t="shared" si="760"/>
        <v>BypassCheckCodeRules,0,</v>
      </c>
      <c r="BE232" s="31" t="str">
        <f t="shared" si="718"/>
        <v>StoreResultsToModelInput,1,</v>
      </c>
      <c r="BF232" s="31" t="str">
        <f t="shared" si="719"/>
        <v>StoreBEMDetails,0,</v>
      </c>
      <c r="BG232" s="31" t="str">
        <f t="shared" si="720"/>
        <v>ModelRpt_ALL,1,</v>
      </c>
      <c r="BH232" s="31" t="str">
        <f t="shared" si="721"/>
        <v>ExportHourlyResults_All,0,</v>
      </c>
      <c r="BI232" s="31" t="str">
        <f t="shared" si="722"/>
        <v>ComplianceReportPDF,0,</v>
      </c>
      <c r="BJ232" s="31" t="str">
        <f t="shared" si="723"/>
        <v>ComplianceReportXML,0,</v>
      </c>
      <c r="BK232" s="31" t="str">
        <f t="shared" si="724"/>
        <v>QuickAnalysis,0,</v>
      </c>
      <c r="BL232" s="31" t="str">
        <f t="shared" si="724"/>
        <v>PromptUserUMLHWarning,0,</v>
      </c>
      <c r="BM232" s="31" t="str">
        <f t="shared" si="725"/>
        <v>BypassOpenStudio_all,0,</v>
      </c>
      <c r="BN232" s="31" t="str">
        <f t="shared" si="726"/>
        <v>BypassOpenStudio_zp,0,</v>
      </c>
      <c r="BO232" s="31" t="str">
        <f t="shared" si="727"/>
        <v>BypassOpenStudio_zb,0,</v>
      </c>
      <c r="BP232" s="31" t="str">
        <f t="shared" si="728"/>
        <v>BypassOpenStudio_ap,0,</v>
      </c>
      <c r="BQ232" s="31" t="str">
        <f t="shared" si="729"/>
        <v>BypassOpenStudio_ab,0,</v>
      </c>
      <c r="BR232" s="31" t="str">
        <f t="shared" si="730"/>
        <v>BypassOpenStudio_zp,0,</v>
      </c>
      <c r="BS232" s="31" t="str">
        <f t="shared" si="731"/>
        <v>BypassOpenStudio_zb,0,</v>
      </c>
      <c r="BT232" s="31" t="str">
        <f t="shared" si="732"/>
        <v>BypassOpenStudio_ap,0,</v>
      </c>
      <c r="BU232" s="31" t="str">
        <f t="shared" si="733"/>
        <v>BypassOpenStudio_ab,0,</v>
      </c>
    </row>
    <row r="233" spans="1:73" hidden="1" outlineLevel="1" x14ac:dyDescent="0.25">
      <c r="A233" s="39">
        <f t="shared" si="734"/>
        <v>0</v>
      </c>
      <c r="B233" s="27" t="str">
        <f t="shared" si="735"/>
        <v>SoftwareSensitivity2016Tests\DetailedGeometry\x.cibd16</v>
      </c>
      <c r="C233" s="27" t="str">
        <f t="shared" si="736"/>
        <v>BatchOut_171026_r5178_FinalRel-v3-SSTSG_SSTDG\x.cibd16</v>
      </c>
      <c r="D233" s="27" t="str">
        <f t="shared" si="737"/>
        <v>BatchOut_171026_r5178_FinalRel-v3-SSTSG_SSTDG\XML\</v>
      </c>
      <c r="E233" s="9" t="str">
        <f t="shared" si="738"/>
        <v>x</v>
      </c>
      <c r="F233" s="22"/>
      <c r="G233" s="29"/>
      <c r="H233" s="23" t="str">
        <f t="shared" si="739"/>
        <v/>
      </c>
      <c r="I233" s="9" t="s">
        <v>11</v>
      </c>
      <c r="J23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3" s="15" t="s">
        <v>1</v>
      </c>
      <c r="L233" s="36">
        <v>0</v>
      </c>
      <c r="M233" s="91" t="str">
        <f t="shared" si="740"/>
        <v>x</v>
      </c>
      <c r="N233" s="90" t="s">
        <v>149</v>
      </c>
      <c r="O233" s="28" t="str">
        <f t="shared" si="745"/>
        <v>x</v>
      </c>
      <c r="P233" s="36">
        <f t="shared" si="859"/>
        <v>1</v>
      </c>
      <c r="Q233" s="36">
        <f t="shared" si="859"/>
        <v>1</v>
      </c>
      <c r="R233" s="36">
        <f t="shared" si="859"/>
        <v>0</v>
      </c>
      <c r="S233" s="36">
        <f t="shared" si="859"/>
        <v>1</v>
      </c>
      <c r="T233" s="36">
        <f t="shared" si="859"/>
        <v>0</v>
      </c>
      <c r="U233" s="36">
        <f t="shared" si="859"/>
        <v>8</v>
      </c>
      <c r="V233" s="36">
        <f t="shared" si="855"/>
        <v>8</v>
      </c>
      <c r="W233" s="36">
        <f t="shared" si="855"/>
        <v>1</v>
      </c>
      <c r="X233" s="36">
        <f t="shared" si="855"/>
        <v>0</v>
      </c>
      <c r="Y233" s="36">
        <f t="shared" si="855"/>
        <v>0</v>
      </c>
      <c r="Z233" s="36">
        <f t="shared" si="855"/>
        <v>0</v>
      </c>
      <c r="AA233" s="36">
        <f t="shared" si="855"/>
        <v>0</v>
      </c>
      <c r="AB233" s="36">
        <f t="shared" si="855"/>
        <v>1</v>
      </c>
      <c r="AC233" s="36">
        <f t="shared" si="855"/>
        <v>0</v>
      </c>
      <c r="AD233" s="36">
        <f t="shared" si="855"/>
        <v>1</v>
      </c>
      <c r="AE233" s="36">
        <f t="shared" ref="AE233:AF233" si="897">AE232</f>
        <v>0</v>
      </c>
      <c r="AF233" s="36">
        <f t="shared" si="897"/>
        <v>0</v>
      </c>
      <c r="AG233" s="36">
        <f t="shared" ref="AG233:AH233" si="898">AG232</f>
        <v>0</v>
      </c>
      <c r="AH233" s="36">
        <f t="shared" si="898"/>
        <v>0</v>
      </c>
      <c r="AI233" s="36">
        <f t="shared" ref="AI233" si="899">AI232</f>
        <v>0</v>
      </c>
      <c r="AJ233" s="36">
        <f t="shared" si="855"/>
        <v>0</v>
      </c>
      <c r="AK233" s="36">
        <f t="shared" si="855"/>
        <v>0</v>
      </c>
      <c r="AL233" s="36">
        <f t="shared" si="855"/>
        <v>0</v>
      </c>
      <c r="AM233" s="36">
        <f t="shared" si="855"/>
        <v>0</v>
      </c>
      <c r="AN233" s="36">
        <f t="shared" si="855"/>
        <v>0</v>
      </c>
      <c r="AO233" s="36">
        <f t="shared" si="855"/>
        <v>0</v>
      </c>
      <c r="AP233" s="36">
        <f t="shared" si="855"/>
        <v>0</v>
      </c>
      <c r="AQ233" s="36">
        <f t="shared" si="881"/>
        <v>0</v>
      </c>
      <c r="AR233" s="36">
        <f t="shared" si="813"/>
        <v>0</v>
      </c>
      <c r="AS233" s="31" t="str">
        <f t="shared" si="749"/>
        <v>SimulationStorage,1,</v>
      </c>
      <c r="AT233" s="31" t="str">
        <f t="shared" si="750"/>
        <v>AnalysisStorage,1,</v>
      </c>
      <c r="AU233" s="31" t="str">
        <f t="shared" si="751"/>
        <v>LogRuleEvaluation,0,</v>
      </c>
      <c r="AV233" s="31" t="str">
        <f t="shared" si="752"/>
        <v>ParallelSimulations,1,</v>
      </c>
      <c r="AW233" s="31" t="str">
        <f t="shared" si="753"/>
        <v>DurationStats,0,</v>
      </c>
      <c r="AX233" s="31" t="str">
        <f t="shared" si="754"/>
        <v>AnalysisThruStep,8,</v>
      </c>
      <c r="AY233" s="31" t="str">
        <f t="shared" si="755"/>
        <v>DontAbortOnErrorsThruStep,8,</v>
      </c>
      <c r="AZ233" s="31" t="str">
        <f t="shared" si="756"/>
        <v>BypassValidFileChecks,1,</v>
      </c>
      <c r="BA233" s="31" t="str">
        <f t="shared" si="757"/>
        <v>BypassInputChecks,0,</v>
      </c>
      <c r="BB233" s="31" t="str">
        <f t="shared" si="758"/>
        <v>BypassUMLHChecks,0,</v>
      </c>
      <c r="BC233" s="31" t="str">
        <f t="shared" si="759"/>
        <v>BypassCheckSimRules,0,</v>
      </c>
      <c r="BD233" s="31" t="str">
        <f t="shared" si="760"/>
        <v>BypassCheckCodeRules,0,</v>
      </c>
      <c r="BE233" s="31" t="str">
        <f t="shared" si="718"/>
        <v>StoreResultsToModelInput,1,</v>
      </c>
      <c r="BF233" s="31" t="str">
        <f t="shared" si="719"/>
        <v>StoreBEMDetails,0,</v>
      </c>
      <c r="BG233" s="31" t="str">
        <f t="shared" si="720"/>
        <v>ModelRpt_ALL,1,</v>
      </c>
      <c r="BH233" s="31" t="str">
        <f t="shared" si="721"/>
        <v>ExportHourlyResults_All,0,</v>
      </c>
      <c r="BI233" s="31" t="str">
        <f t="shared" si="722"/>
        <v>ComplianceReportPDF,0,</v>
      </c>
      <c r="BJ233" s="31" t="str">
        <f t="shared" si="723"/>
        <v>ComplianceReportXML,0,</v>
      </c>
      <c r="BK233" s="31" t="str">
        <f t="shared" si="724"/>
        <v>QuickAnalysis,0,</v>
      </c>
      <c r="BL233" s="31" t="str">
        <f t="shared" si="724"/>
        <v>PromptUserUMLHWarning,0,</v>
      </c>
      <c r="BM233" s="31" t="str">
        <f t="shared" si="725"/>
        <v>BypassOpenStudio_all,0,</v>
      </c>
      <c r="BN233" s="31" t="str">
        <f t="shared" si="726"/>
        <v>BypassOpenStudio_zp,0,</v>
      </c>
      <c r="BO233" s="31" t="str">
        <f t="shared" si="727"/>
        <v>BypassOpenStudio_zb,0,</v>
      </c>
      <c r="BP233" s="31" t="str">
        <f t="shared" si="728"/>
        <v>BypassOpenStudio_ap,0,</v>
      </c>
      <c r="BQ233" s="31" t="str">
        <f t="shared" si="729"/>
        <v>BypassOpenStudio_ab,0,</v>
      </c>
      <c r="BR233" s="31" t="str">
        <f t="shared" si="730"/>
        <v>BypassOpenStudio_zp,0,</v>
      </c>
      <c r="BS233" s="31" t="str">
        <f t="shared" si="731"/>
        <v>BypassOpenStudio_zb,0,</v>
      </c>
      <c r="BT233" s="31" t="str">
        <f t="shared" si="732"/>
        <v>BypassOpenStudio_ap,0,</v>
      </c>
      <c r="BU233" s="31" t="str">
        <f t="shared" si="733"/>
        <v>BypassOpenStudio_ab,0,</v>
      </c>
    </row>
    <row r="234" spans="1:73" hidden="1" outlineLevel="1" x14ac:dyDescent="0.25">
      <c r="A234" s="39">
        <f t="shared" si="734"/>
        <v>0</v>
      </c>
      <c r="B234" s="27" t="str">
        <f t="shared" si="735"/>
        <v>SoftwareSensitivity2016Tests\DetailedGeometry\x.cibd16</v>
      </c>
      <c r="C234" s="27" t="str">
        <f t="shared" si="736"/>
        <v>BatchOut_171026_r5178_FinalRel-v3-SSTSG_SSTDG\x.cibd16</v>
      </c>
      <c r="D234" s="27" t="str">
        <f t="shared" si="737"/>
        <v>BatchOut_171026_r5178_FinalRel-v3-SSTSG_SSTDG\XML\</v>
      </c>
      <c r="E234" s="9" t="str">
        <f t="shared" si="738"/>
        <v>x</v>
      </c>
      <c r="F234" s="22"/>
      <c r="G234" s="29"/>
      <c r="H234" s="23" t="str">
        <f t="shared" si="739"/>
        <v/>
      </c>
      <c r="I234" s="9" t="s">
        <v>11</v>
      </c>
      <c r="J23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4" s="15" t="s">
        <v>1</v>
      </c>
      <c r="L234" s="36">
        <v>0</v>
      </c>
      <c r="M234" s="91" t="str">
        <f t="shared" si="740"/>
        <v>x</v>
      </c>
      <c r="N234" s="90" t="s">
        <v>149</v>
      </c>
      <c r="O234" s="28" t="str">
        <f t="shared" si="745"/>
        <v>x</v>
      </c>
      <c r="P234" s="36">
        <f t="shared" si="859"/>
        <v>1</v>
      </c>
      <c r="Q234" s="36">
        <f t="shared" si="859"/>
        <v>1</v>
      </c>
      <c r="R234" s="36">
        <f t="shared" si="859"/>
        <v>0</v>
      </c>
      <c r="S234" s="36">
        <f t="shared" si="859"/>
        <v>1</v>
      </c>
      <c r="T234" s="36">
        <f t="shared" si="859"/>
        <v>0</v>
      </c>
      <c r="U234" s="36">
        <f t="shared" si="859"/>
        <v>8</v>
      </c>
      <c r="V234" s="36">
        <f t="shared" si="855"/>
        <v>8</v>
      </c>
      <c r="W234" s="36">
        <f t="shared" si="855"/>
        <v>1</v>
      </c>
      <c r="X234" s="36">
        <f t="shared" si="855"/>
        <v>0</v>
      </c>
      <c r="Y234" s="36">
        <f t="shared" si="855"/>
        <v>0</v>
      </c>
      <c r="Z234" s="36">
        <f t="shared" si="855"/>
        <v>0</v>
      </c>
      <c r="AA234" s="36">
        <f t="shared" si="855"/>
        <v>0</v>
      </c>
      <c r="AB234" s="36">
        <f t="shared" si="855"/>
        <v>1</v>
      </c>
      <c r="AC234" s="36">
        <f t="shared" si="855"/>
        <v>0</v>
      </c>
      <c r="AD234" s="36">
        <f t="shared" si="855"/>
        <v>1</v>
      </c>
      <c r="AE234" s="36">
        <f t="shared" ref="AE234:AF234" si="900">AE233</f>
        <v>0</v>
      </c>
      <c r="AF234" s="36">
        <f t="shared" si="900"/>
        <v>0</v>
      </c>
      <c r="AG234" s="36">
        <f t="shared" ref="AG234:AH234" si="901">AG233</f>
        <v>0</v>
      </c>
      <c r="AH234" s="36">
        <f t="shared" si="901"/>
        <v>0</v>
      </c>
      <c r="AI234" s="36">
        <f t="shared" ref="AI234" si="902">AI233</f>
        <v>0</v>
      </c>
      <c r="AJ234" s="36">
        <f t="shared" si="855"/>
        <v>0</v>
      </c>
      <c r="AK234" s="36">
        <f t="shared" si="855"/>
        <v>0</v>
      </c>
      <c r="AL234" s="36">
        <f t="shared" si="855"/>
        <v>0</v>
      </c>
      <c r="AM234" s="36">
        <f t="shared" si="855"/>
        <v>0</v>
      </c>
      <c r="AN234" s="36">
        <f t="shared" si="855"/>
        <v>0</v>
      </c>
      <c r="AO234" s="36">
        <f t="shared" si="855"/>
        <v>0</v>
      </c>
      <c r="AP234" s="36">
        <f t="shared" si="855"/>
        <v>0</v>
      </c>
      <c r="AQ234" s="36">
        <f t="shared" si="881"/>
        <v>0</v>
      </c>
      <c r="AR234" s="36">
        <f t="shared" si="813"/>
        <v>0</v>
      </c>
      <c r="AS234" s="31" t="str">
        <f t="shared" si="749"/>
        <v>SimulationStorage,1,</v>
      </c>
      <c r="AT234" s="31" t="str">
        <f t="shared" si="750"/>
        <v>AnalysisStorage,1,</v>
      </c>
      <c r="AU234" s="31" t="str">
        <f t="shared" si="751"/>
        <v>LogRuleEvaluation,0,</v>
      </c>
      <c r="AV234" s="31" t="str">
        <f t="shared" si="752"/>
        <v>ParallelSimulations,1,</v>
      </c>
      <c r="AW234" s="31" t="str">
        <f t="shared" si="753"/>
        <v>DurationStats,0,</v>
      </c>
      <c r="AX234" s="31" t="str">
        <f t="shared" si="754"/>
        <v>AnalysisThruStep,8,</v>
      </c>
      <c r="AY234" s="31" t="str">
        <f t="shared" si="755"/>
        <v>DontAbortOnErrorsThruStep,8,</v>
      </c>
      <c r="AZ234" s="31" t="str">
        <f t="shared" si="756"/>
        <v>BypassValidFileChecks,1,</v>
      </c>
      <c r="BA234" s="31" t="str">
        <f t="shared" si="757"/>
        <v>BypassInputChecks,0,</v>
      </c>
      <c r="BB234" s="31" t="str">
        <f t="shared" si="758"/>
        <v>BypassUMLHChecks,0,</v>
      </c>
      <c r="BC234" s="31" t="str">
        <f t="shared" si="759"/>
        <v>BypassCheckSimRules,0,</v>
      </c>
      <c r="BD234" s="31" t="str">
        <f t="shared" si="760"/>
        <v>BypassCheckCodeRules,0,</v>
      </c>
      <c r="BE234" s="31" t="str">
        <f t="shared" si="718"/>
        <v>StoreResultsToModelInput,1,</v>
      </c>
      <c r="BF234" s="31" t="str">
        <f t="shared" si="719"/>
        <v>StoreBEMDetails,0,</v>
      </c>
      <c r="BG234" s="31" t="str">
        <f t="shared" si="720"/>
        <v>ModelRpt_ALL,1,</v>
      </c>
      <c r="BH234" s="31" t="str">
        <f t="shared" si="721"/>
        <v>ExportHourlyResults_All,0,</v>
      </c>
      <c r="BI234" s="31" t="str">
        <f t="shared" si="722"/>
        <v>ComplianceReportPDF,0,</v>
      </c>
      <c r="BJ234" s="31" t="str">
        <f t="shared" si="723"/>
        <v>ComplianceReportXML,0,</v>
      </c>
      <c r="BK234" s="31" t="str">
        <f t="shared" si="724"/>
        <v>QuickAnalysis,0,</v>
      </c>
      <c r="BL234" s="31" t="str">
        <f t="shared" si="724"/>
        <v>PromptUserUMLHWarning,0,</v>
      </c>
      <c r="BM234" s="31" t="str">
        <f t="shared" si="725"/>
        <v>BypassOpenStudio_all,0,</v>
      </c>
      <c r="BN234" s="31" t="str">
        <f t="shared" si="726"/>
        <v>BypassOpenStudio_zp,0,</v>
      </c>
      <c r="BO234" s="31" t="str">
        <f t="shared" si="727"/>
        <v>BypassOpenStudio_zb,0,</v>
      </c>
      <c r="BP234" s="31" t="str">
        <f t="shared" si="728"/>
        <v>BypassOpenStudio_ap,0,</v>
      </c>
      <c r="BQ234" s="31" t="str">
        <f t="shared" si="729"/>
        <v>BypassOpenStudio_ab,0,</v>
      </c>
      <c r="BR234" s="31" t="str">
        <f t="shared" si="730"/>
        <v>BypassOpenStudio_zp,0,</v>
      </c>
      <c r="BS234" s="31" t="str">
        <f t="shared" si="731"/>
        <v>BypassOpenStudio_zb,0,</v>
      </c>
      <c r="BT234" s="31" t="str">
        <f t="shared" si="732"/>
        <v>BypassOpenStudio_ap,0,</v>
      </c>
      <c r="BU234" s="31" t="str">
        <f t="shared" si="733"/>
        <v>BypassOpenStudio_ab,0,</v>
      </c>
    </row>
    <row r="235" spans="1:73" hidden="1" outlineLevel="1" x14ac:dyDescent="0.25">
      <c r="A235" s="39">
        <f t="shared" si="734"/>
        <v>0</v>
      </c>
      <c r="B235" s="27" t="str">
        <f t="shared" si="735"/>
        <v>SoftwareSensitivity2016Tests\DetailedGeometry\x.cibd16</v>
      </c>
      <c r="C235" s="27" t="str">
        <f t="shared" si="736"/>
        <v>BatchOut_171026_r5178_FinalRel-v3-SSTSG_SSTDG\x.cibd16</v>
      </c>
      <c r="D235" s="27" t="str">
        <f t="shared" si="737"/>
        <v>BatchOut_171026_r5178_FinalRel-v3-SSTSG_SSTDG\XML\</v>
      </c>
      <c r="E235" s="9" t="str">
        <f t="shared" si="738"/>
        <v>x</v>
      </c>
      <c r="F235" s="22"/>
      <c r="G235" s="29"/>
      <c r="H235" s="23" t="str">
        <f t="shared" si="739"/>
        <v/>
      </c>
      <c r="I235" s="9" t="s">
        <v>11</v>
      </c>
      <c r="J23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5" s="15" t="s">
        <v>1</v>
      </c>
      <c r="L235" s="36">
        <f t="shared" si="846"/>
        <v>0</v>
      </c>
      <c r="M235" s="91" t="str">
        <f t="shared" si="740"/>
        <v>x</v>
      </c>
      <c r="N235" s="90" t="s">
        <v>149</v>
      </c>
      <c r="O235" s="28" t="str">
        <f t="shared" si="745"/>
        <v>x</v>
      </c>
      <c r="P235" s="36">
        <f t="shared" si="859"/>
        <v>1</v>
      </c>
      <c r="Q235" s="36">
        <f t="shared" si="859"/>
        <v>1</v>
      </c>
      <c r="R235" s="36">
        <f t="shared" si="859"/>
        <v>0</v>
      </c>
      <c r="S235" s="36">
        <f t="shared" si="859"/>
        <v>1</v>
      </c>
      <c r="T235" s="36">
        <f t="shared" si="859"/>
        <v>0</v>
      </c>
      <c r="U235" s="36">
        <f t="shared" si="859"/>
        <v>8</v>
      </c>
      <c r="V235" s="36">
        <f t="shared" si="855"/>
        <v>8</v>
      </c>
      <c r="W235" s="36">
        <f t="shared" si="855"/>
        <v>1</v>
      </c>
      <c r="X235" s="36">
        <f t="shared" si="855"/>
        <v>0</v>
      </c>
      <c r="Y235" s="36">
        <f t="shared" si="855"/>
        <v>0</v>
      </c>
      <c r="Z235" s="36">
        <f t="shared" si="855"/>
        <v>0</v>
      </c>
      <c r="AA235" s="36">
        <f t="shared" si="855"/>
        <v>0</v>
      </c>
      <c r="AB235" s="36">
        <f t="shared" si="855"/>
        <v>1</v>
      </c>
      <c r="AC235" s="36">
        <f t="shared" si="855"/>
        <v>0</v>
      </c>
      <c r="AD235" s="36">
        <f t="shared" si="855"/>
        <v>1</v>
      </c>
      <c r="AE235" s="36">
        <f t="shared" ref="AE235:AF245" si="903">AE234</f>
        <v>0</v>
      </c>
      <c r="AF235" s="36">
        <f t="shared" si="903"/>
        <v>0</v>
      </c>
      <c r="AG235" s="36">
        <f t="shared" ref="AG235:AH235" si="904">AG234</f>
        <v>0</v>
      </c>
      <c r="AH235" s="36">
        <f t="shared" si="904"/>
        <v>0</v>
      </c>
      <c r="AI235" s="36">
        <f t="shared" ref="AI235" si="905">AI234</f>
        <v>0</v>
      </c>
      <c r="AJ235" s="36">
        <f t="shared" si="855"/>
        <v>0</v>
      </c>
      <c r="AK235" s="36">
        <f t="shared" si="855"/>
        <v>0</v>
      </c>
      <c r="AL235" s="36">
        <f t="shared" si="855"/>
        <v>0</v>
      </c>
      <c r="AM235" s="36">
        <f t="shared" si="855"/>
        <v>0</v>
      </c>
      <c r="AN235" s="36">
        <f t="shared" si="855"/>
        <v>0</v>
      </c>
      <c r="AO235" s="36">
        <f t="shared" si="855"/>
        <v>0</v>
      </c>
      <c r="AP235" s="36">
        <f t="shared" si="855"/>
        <v>0</v>
      </c>
      <c r="AQ235" s="36">
        <f t="shared" si="881"/>
        <v>0</v>
      </c>
      <c r="AR235" s="36">
        <f t="shared" si="813"/>
        <v>0</v>
      </c>
      <c r="AS235" s="31" t="str">
        <f t="shared" si="749"/>
        <v>SimulationStorage,1,</v>
      </c>
      <c r="AT235" s="31" t="str">
        <f t="shared" si="750"/>
        <v>AnalysisStorage,1,</v>
      </c>
      <c r="AU235" s="31" t="str">
        <f t="shared" si="751"/>
        <v>LogRuleEvaluation,0,</v>
      </c>
      <c r="AV235" s="31" t="str">
        <f t="shared" si="752"/>
        <v>ParallelSimulations,1,</v>
      </c>
      <c r="AW235" s="31" t="str">
        <f t="shared" si="753"/>
        <v>DurationStats,0,</v>
      </c>
      <c r="AX235" s="31" t="str">
        <f t="shared" si="754"/>
        <v>AnalysisThruStep,8,</v>
      </c>
      <c r="AY235" s="31" t="str">
        <f t="shared" si="755"/>
        <v>DontAbortOnErrorsThruStep,8,</v>
      </c>
      <c r="AZ235" s="31" t="str">
        <f t="shared" si="756"/>
        <v>BypassValidFileChecks,1,</v>
      </c>
      <c r="BA235" s="31" t="str">
        <f t="shared" si="757"/>
        <v>BypassInputChecks,0,</v>
      </c>
      <c r="BB235" s="31" t="str">
        <f t="shared" si="758"/>
        <v>BypassUMLHChecks,0,</v>
      </c>
      <c r="BC235" s="31" t="str">
        <f t="shared" si="759"/>
        <v>BypassCheckSimRules,0,</v>
      </c>
      <c r="BD235" s="31" t="str">
        <f t="shared" si="760"/>
        <v>BypassCheckCodeRules,0,</v>
      </c>
      <c r="BE235" s="31" t="str">
        <f t="shared" si="718"/>
        <v>StoreResultsToModelInput,1,</v>
      </c>
      <c r="BF235" s="31" t="str">
        <f t="shared" si="719"/>
        <v>StoreBEMDetails,0,</v>
      </c>
      <c r="BG235" s="31" t="str">
        <f t="shared" si="720"/>
        <v>ModelRpt_ALL,1,</v>
      </c>
      <c r="BH235" s="31" t="str">
        <f t="shared" si="721"/>
        <v>ExportHourlyResults_All,0,</v>
      </c>
      <c r="BI235" s="31" t="str">
        <f t="shared" si="722"/>
        <v>ComplianceReportPDF,0,</v>
      </c>
      <c r="BJ235" s="31" t="str">
        <f t="shared" si="723"/>
        <v>ComplianceReportXML,0,</v>
      </c>
      <c r="BK235" s="31" t="str">
        <f t="shared" si="724"/>
        <v>QuickAnalysis,0,</v>
      </c>
      <c r="BL235" s="31" t="str">
        <f t="shared" si="724"/>
        <v>PromptUserUMLHWarning,0,</v>
      </c>
      <c r="BM235" s="31" t="str">
        <f t="shared" si="725"/>
        <v>BypassOpenStudio_all,0,</v>
      </c>
      <c r="BN235" s="31" t="str">
        <f t="shared" si="726"/>
        <v>BypassOpenStudio_zp,0,</v>
      </c>
      <c r="BO235" s="31" t="str">
        <f t="shared" si="727"/>
        <v>BypassOpenStudio_zb,0,</v>
      </c>
      <c r="BP235" s="31" t="str">
        <f t="shared" si="728"/>
        <v>BypassOpenStudio_ap,0,</v>
      </c>
      <c r="BQ235" s="31" t="str">
        <f t="shared" si="729"/>
        <v>BypassOpenStudio_ab,0,</v>
      </c>
      <c r="BR235" s="31" t="str">
        <f t="shared" si="730"/>
        <v>BypassOpenStudio_zp,0,</v>
      </c>
      <c r="BS235" s="31" t="str">
        <f t="shared" si="731"/>
        <v>BypassOpenStudio_zb,0,</v>
      </c>
      <c r="BT235" s="31" t="str">
        <f t="shared" si="732"/>
        <v>BypassOpenStudio_ap,0,</v>
      </c>
      <c r="BU235" s="31" t="str">
        <f t="shared" si="733"/>
        <v>BypassOpenStudio_ab,0,</v>
      </c>
    </row>
    <row r="236" spans="1:73" hidden="1" outlineLevel="1" x14ac:dyDescent="0.25">
      <c r="A236" s="39">
        <f t="shared" si="734"/>
        <v>0</v>
      </c>
      <c r="B236" s="27" t="str">
        <f t="shared" si="735"/>
        <v>SoftwareSensitivity2016Tests\DetailedGeometry\x.cibd16</v>
      </c>
      <c r="C236" s="27" t="str">
        <f t="shared" si="736"/>
        <v>BatchOut_171026_r5178_FinalRel-v3-SSTSG_SSTDG\x.cibd16</v>
      </c>
      <c r="D236" s="27" t="str">
        <f t="shared" si="737"/>
        <v>BatchOut_171026_r5178_FinalRel-v3-SSTSG_SSTDG\XML\</v>
      </c>
      <c r="E236" s="9" t="str">
        <f t="shared" si="738"/>
        <v>x</v>
      </c>
      <c r="F236" s="22"/>
      <c r="G236" s="29"/>
      <c r="H236" s="23" t="str">
        <f t="shared" si="739"/>
        <v/>
      </c>
      <c r="I236" s="9" t="s">
        <v>11</v>
      </c>
      <c r="J236"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6" s="15" t="s">
        <v>1</v>
      </c>
      <c r="L236" s="36">
        <f t="shared" si="846"/>
        <v>0</v>
      </c>
      <c r="M236" s="91" t="str">
        <f t="shared" si="740"/>
        <v>x</v>
      </c>
      <c r="N236" s="90" t="s">
        <v>149</v>
      </c>
      <c r="O236" s="28" t="str">
        <f t="shared" si="745"/>
        <v>x</v>
      </c>
      <c r="P236" s="36">
        <f t="shared" si="859"/>
        <v>1</v>
      </c>
      <c r="Q236" s="36">
        <f t="shared" si="859"/>
        <v>1</v>
      </c>
      <c r="R236" s="36">
        <f t="shared" si="859"/>
        <v>0</v>
      </c>
      <c r="S236" s="36">
        <f t="shared" si="859"/>
        <v>1</v>
      </c>
      <c r="T236" s="36">
        <f t="shared" si="859"/>
        <v>0</v>
      </c>
      <c r="U236" s="36">
        <f t="shared" si="859"/>
        <v>8</v>
      </c>
      <c r="V236" s="36">
        <f t="shared" si="859"/>
        <v>8</v>
      </c>
      <c r="W236" s="36">
        <f t="shared" si="859"/>
        <v>1</v>
      </c>
      <c r="X236" s="36">
        <f t="shared" si="859"/>
        <v>0</v>
      </c>
      <c r="Y236" s="36">
        <f t="shared" si="859"/>
        <v>0</v>
      </c>
      <c r="Z236" s="36">
        <f t="shared" si="859"/>
        <v>0</v>
      </c>
      <c r="AA236" s="36">
        <f t="shared" si="859"/>
        <v>0</v>
      </c>
      <c r="AB236" s="36">
        <f t="shared" si="859"/>
        <v>1</v>
      </c>
      <c r="AC236" s="36">
        <f t="shared" si="859"/>
        <v>0</v>
      </c>
      <c r="AD236" s="36">
        <f t="shared" si="859"/>
        <v>1</v>
      </c>
      <c r="AE236" s="36">
        <f t="shared" si="903"/>
        <v>0</v>
      </c>
      <c r="AF236" s="36">
        <f t="shared" si="903"/>
        <v>0</v>
      </c>
      <c r="AG236" s="36">
        <f t="shared" ref="AG236:AH236" si="906">AG235</f>
        <v>0</v>
      </c>
      <c r="AH236" s="36">
        <f t="shared" si="906"/>
        <v>0</v>
      </c>
      <c r="AI236" s="36">
        <f t="shared" ref="AI236" si="907">AI235</f>
        <v>0</v>
      </c>
      <c r="AJ236" s="36">
        <f t="shared" si="859"/>
        <v>0</v>
      </c>
      <c r="AK236" s="36">
        <f t="shared" ref="AK236:AP251" si="908">AK235</f>
        <v>0</v>
      </c>
      <c r="AL236" s="36">
        <f t="shared" si="908"/>
        <v>0</v>
      </c>
      <c r="AM236" s="36">
        <f t="shared" si="908"/>
        <v>0</v>
      </c>
      <c r="AN236" s="36">
        <f t="shared" si="908"/>
        <v>0</v>
      </c>
      <c r="AO236" s="36">
        <f t="shared" si="908"/>
        <v>0</v>
      </c>
      <c r="AP236" s="36">
        <f t="shared" si="908"/>
        <v>0</v>
      </c>
      <c r="AQ236" s="36">
        <f t="shared" si="881"/>
        <v>0</v>
      </c>
      <c r="AR236" s="36">
        <f t="shared" si="813"/>
        <v>0</v>
      </c>
      <c r="AS236" s="31" t="str">
        <f t="shared" si="749"/>
        <v>SimulationStorage,1,</v>
      </c>
      <c r="AT236" s="31" t="str">
        <f t="shared" si="750"/>
        <v>AnalysisStorage,1,</v>
      </c>
      <c r="AU236" s="31" t="str">
        <f t="shared" si="751"/>
        <v>LogRuleEvaluation,0,</v>
      </c>
      <c r="AV236" s="31" t="str">
        <f t="shared" si="752"/>
        <v>ParallelSimulations,1,</v>
      </c>
      <c r="AW236" s="31" t="str">
        <f t="shared" si="753"/>
        <v>DurationStats,0,</v>
      </c>
      <c r="AX236" s="31" t="str">
        <f t="shared" si="754"/>
        <v>AnalysisThruStep,8,</v>
      </c>
      <c r="AY236" s="31" t="str">
        <f t="shared" si="755"/>
        <v>DontAbortOnErrorsThruStep,8,</v>
      </c>
      <c r="AZ236" s="31" t="str">
        <f t="shared" si="756"/>
        <v>BypassValidFileChecks,1,</v>
      </c>
      <c r="BA236" s="31" t="str">
        <f t="shared" si="757"/>
        <v>BypassInputChecks,0,</v>
      </c>
      <c r="BB236" s="31" t="str">
        <f t="shared" si="758"/>
        <v>BypassUMLHChecks,0,</v>
      </c>
      <c r="BC236" s="31" t="str">
        <f t="shared" si="759"/>
        <v>BypassCheckSimRules,0,</v>
      </c>
      <c r="BD236" s="31" t="str">
        <f t="shared" si="760"/>
        <v>BypassCheckCodeRules,0,</v>
      </c>
      <c r="BE236" s="31" t="str">
        <f t="shared" si="718"/>
        <v>StoreResultsToModelInput,1,</v>
      </c>
      <c r="BF236" s="31" t="str">
        <f t="shared" si="719"/>
        <v>StoreBEMDetails,0,</v>
      </c>
      <c r="BG236" s="31" t="str">
        <f t="shared" si="720"/>
        <v>ModelRpt_ALL,1,</v>
      </c>
      <c r="BH236" s="31" t="str">
        <f t="shared" si="721"/>
        <v>ExportHourlyResults_All,0,</v>
      </c>
      <c r="BI236" s="31" t="str">
        <f t="shared" si="722"/>
        <v>ComplianceReportPDF,0,</v>
      </c>
      <c r="BJ236" s="31" t="str">
        <f t="shared" si="723"/>
        <v>ComplianceReportXML,0,</v>
      </c>
      <c r="BK236" s="31" t="str">
        <f t="shared" si="724"/>
        <v>QuickAnalysis,0,</v>
      </c>
      <c r="BL236" s="31" t="str">
        <f t="shared" si="724"/>
        <v>PromptUserUMLHWarning,0,</v>
      </c>
      <c r="BM236" s="31" t="str">
        <f t="shared" si="725"/>
        <v>BypassOpenStudio_all,0,</v>
      </c>
      <c r="BN236" s="31" t="str">
        <f t="shared" si="726"/>
        <v>BypassOpenStudio_zp,0,</v>
      </c>
      <c r="BO236" s="31" t="str">
        <f t="shared" si="727"/>
        <v>BypassOpenStudio_zb,0,</v>
      </c>
      <c r="BP236" s="31" t="str">
        <f t="shared" si="728"/>
        <v>BypassOpenStudio_ap,0,</v>
      </c>
      <c r="BQ236" s="31" t="str">
        <f t="shared" si="729"/>
        <v>BypassOpenStudio_ab,0,</v>
      </c>
      <c r="BR236" s="31" t="str">
        <f t="shared" si="730"/>
        <v>BypassOpenStudio_zp,0,</v>
      </c>
      <c r="BS236" s="31" t="str">
        <f t="shared" si="731"/>
        <v>BypassOpenStudio_zb,0,</v>
      </c>
      <c r="BT236" s="31" t="str">
        <f t="shared" si="732"/>
        <v>BypassOpenStudio_ap,0,</v>
      </c>
      <c r="BU236" s="31" t="str">
        <f t="shared" si="733"/>
        <v>BypassOpenStudio_ab,0,</v>
      </c>
    </row>
    <row r="237" spans="1:73" hidden="1" outlineLevel="1" x14ac:dyDescent="0.25">
      <c r="A237" s="39">
        <f t="shared" si="734"/>
        <v>0</v>
      </c>
      <c r="B237" s="27" t="str">
        <f t="shared" si="735"/>
        <v>SoftwareSensitivity2016Tests\DetailedGeometry\x.cibd16</v>
      </c>
      <c r="C237" s="27" t="str">
        <f t="shared" si="736"/>
        <v>BatchOut_171026_r5178_FinalRel-v3-SSTSG_SSTDG\x.cibd16</v>
      </c>
      <c r="D237" s="27" t="str">
        <f t="shared" si="737"/>
        <v>BatchOut_171026_r5178_FinalRel-v3-SSTSG_SSTDG\XML\</v>
      </c>
      <c r="E237" s="9" t="str">
        <f t="shared" si="738"/>
        <v>x</v>
      </c>
      <c r="F237" s="22"/>
      <c r="G237" s="29"/>
      <c r="H237" s="23" t="str">
        <f t="shared" si="739"/>
        <v/>
      </c>
      <c r="I237" s="9" t="s">
        <v>11</v>
      </c>
      <c r="J237"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7" s="15" t="s">
        <v>1</v>
      </c>
      <c r="L237" s="36">
        <f t="shared" si="846"/>
        <v>0</v>
      </c>
      <c r="M237" s="91" t="str">
        <f t="shared" si="740"/>
        <v>x</v>
      </c>
      <c r="N237" s="90" t="s">
        <v>149</v>
      </c>
      <c r="O237" s="28" t="str">
        <f t="shared" si="745"/>
        <v>x</v>
      </c>
      <c r="P237" s="36">
        <f t="shared" si="859"/>
        <v>1</v>
      </c>
      <c r="Q237" s="36">
        <f t="shared" si="859"/>
        <v>1</v>
      </c>
      <c r="R237" s="36">
        <f t="shared" si="859"/>
        <v>0</v>
      </c>
      <c r="S237" s="36">
        <f t="shared" si="859"/>
        <v>1</v>
      </c>
      <c r="T237" s="36">
        <f t="shared" si="859"/>
        <v>0</v>
      </c>
      <c r="U237" s="36">
        <f t="shared" si="859"/>
        <v>8</v>
      </c>
      <c r="V237" s="36">
        <f t="shared" si="859"/>
        <v>8</v>
      </c>
      <c r="W237" s="36">
        <f t="shared" si="859"/>
        <v>1</v>
      </c>
      <c r="X237" s="36">
        <f t="shared" si="859"/>
        <v>0</v>
      </c>
      <c r="Y237" s="36">
        <f t="shared" si="859"/>
        <v>0</v>
      </c>
      <c r="Z237" s="36">
        <f t="shared" si="859"/>
        <v>0</v>
      </c>
      <c r="AA237" s="36">
        <f t="shared" si="859"/>
        <v>0</v>
      </c>
      <c r="AB237" s="36">
        <f t="shared" si="859"/>
        <v>1</v>
      </c>
      <c r="AC237" s="36">
        <f t="shared" si="859"/>
        <v>0</v>
      </c>
      <c r="AD237" s="36">
        <f t="shared" si="859"/>
        <v>1</v>
      </c>
      <c r="AE237" s="36">
        <f t="shared" si="903"/>
        <v>0</v>
      </c>
      <c r="AF237" s="36">
        <f t="shared" si="903"/>
        <v>0</v>
      </c>
      <c r="AG237" s="36">
        <f t="shared" ref="AG237:AH237" si="909">AG236</f>
        <v>0</v>
      </c>
      <c r="AH237" s="36">
        <f t="shared" si="909"/>
        <v>0</v>
      </c>
      <c r="AI237" s="36">
        <f t="shared" ref="AI237" si="910">AI236</f>
        <v>0</v>
      </c>
      <c r="AJ237" s="36">
        <f t="shared" si="859"/>
        <v>0</v>
      </c>
      <c r="AK237" s="36">
        <f t="shared" si="908"/>
        <v>0</v>
      </c>
      <c r="AL237" s="36">
        <f t="shared" si="908"/>
        <v>0</v>
      </c>
      <c r="AM237" s="36">
        <f t="shared" si="908"/>
        <v>0</v>
      </c>
      <c r="AN237" s="36">
        <f t="shared" si="908"/>
        <v>0</v>
      </c>
      <c r="AO237" s="36">
        <f t="shared" si="908"/>
        <v>0</v>
      </c>
      <c r="AP237" s="36">
        <f t="shared" si="908"/>
        <v>0</v>
      </c>
      <c r="AQ237" s="36">
        <f t="shared" si="881"/>
        <v>0</v>
      </c>
      <c r="AR237" s="36">
        <f t="shared" si="813"/>
        <v>0</v>
      </c>
      <c r="AS237" s="31" t="str">
        <f t="shared" si="749"/>
        <v>SimulationStorage,1,</v>
      </c>
      <c r="AT237" s="31" t="str">
        <f t="shared" si="750"/>
        <v>AnalysisStorage,1,</v>
      </c>
      <c r="AU237" s="31" t="str">
        <f t="shared" si="751"/>
        <v>LogRuleEvaluation,0,</v>
      </c>
      <c r="AV237" s="31" t="str">
        <f t="shared" si="752"/>
        <v>ParallelSimulations,1,</v>
      </c>
      <c r="AW237" s="31" t="str">
        <f t="shared" si="753"/>
        <v>DurationStats,0,</v>
      </c>
      <c r="AX237" s="31" t="str">
        <f t="shared" si="754"/>
        <v>AnalysisThruStep,8,</v>
      </c>
      <c r="AY237" s="31" t="str">
        <f t="shared" si="755"/>
        <v>DontAbortOnErrorsThruStep,8,</v>
      </c>
      <c r="AZ237" s="31" t="str">
        <f t="shared" si="756"/>
        <v>BypassValidFileChecks,1,</v>
      </c>
      <c r="BA237" s="31" t="str">
        <f t="shared" si="757"/>
        <v>BypassInputChecks,0,</v>
      </c>
      <c r="BB237" s="31" t="str">
        <f t="shared" si="758"/>
        <v>BypassUMLHChecks,0,</v>
      </c>
      <c r="BC237" s="31" t="str">
        <f t="shared" si="759"/>
        <v>BypassCheckSimRules,0,</v>
      </c>
      <c r="BD237" s="31" t="str">
        <f t="shared" si="760"/>
        <v>BypassCheckCodeRules,0,</v>
      </c>
      <c r="BE237" s="31" t="str">
        <f t="shared" si="718"/>
        <v>StoreResultsToModelInput,1,</v>
      </c>
      <c r="BF237" s="31" t="str">
        <f t="shared" si="719"/>
        <v>StoreBEMDetails,0,</v>
      </c>
      <c r="BG237" s="31" t="str">
        <f t="shared" si="720"/>
        <v>ModelRpt_ALL,1,</v>
      </c>
      <c r="BH237" s="31" t="str">
        <f t="shared" si="721"/>
        <v>ExportHourlyResults_All,0,</v>
      </c>
      <c r="BI237" s="31" t="str">
        <f t="shared" si="722"/>
        <v>ComplianceReportPDF,0,</v>
      </c>
      <c r="BJ237" s="31" t="str">
        <f t="shared" si="723"/>
        <v>ComplianceReportXML,0,</v>
      </c>
      <c r="BK237" s="31" t="str">
        <f t="shared" si="724"/>
        <v>QuickAnalysis,0,</v>
      </c>
      <c r="BL237" s="31" t="str">
        <f t="shared" si="724"/>
        <v>PromptUserUMLHWarning,0,</v>
      </c>
      <c r="BM237" s="31" t="str">
        <f t="shared" si="725"/>
        <v>BypassOpenStudio_all,0,</v>
      </c>
      <c r="BN237" s="31" t="str">
        <f t="shared" si="726"/>
        <v>BypassOpenStudio_zp,0,</v>
      </c>
      <c r="BO237" s="31" t="str">
        <f t="shared" si="727"/>
        <v>BypassOpenStudio_zb,0,</v>
      </c>
      <c r="BP237" s="31" t="str">
        <f t="shared" si="728"/>
        <v>BypassOpenStudio_ap,0,</v>
      </c>
      <c r="BQ237" s="31" t="str">
        <f t="shared" si="729"/>
        <v>BypassOpenStudio_ab,0,</v>
      </c>
      <c r="BR237" s="31" t="str">
        <f t="shared" si="730"/>
        <v>BypassOpenStudio_zp,0,</v>
      </c>
      <c r="BS237" s="31" t="str">
        <f t="shared" si="731"/>
        <v>BypassOpenStudio_zb,0,</v>
      </c>
      <c r="BT237" s="31" t="str">
        <f t="shared" si="732"/>
        <v>BypassOpenStudio_ap,0,</v>
      </c>
      <c r="BU237" s="31" t="str">
        <f t="shared" si="733"/>
        <v>BypassOpenStudio_ab,0,</v>
      </c>
    </row>
    <row r="238" spans="1:73" hidden="1" outlineLevel="1" x14ac:dyDescent="0.25">
      <c r="A238" s="39">
        <f t="shared" si="734"/>
        <v>0</v>
      </c>
      <c r="B238" s="27" t="str">
        <f t="shared" si="735"/>
        <v>SoftwareSensitivity2016Tests\DetailedGeometry\x.cibd16</v>
      </c>
      <c r="C238" s="27" t="str">
        <f t="shared" si="736"/>
        <v>BatchOut_171026_r5178_FinalRel-v3-SSTSG_SSTDG\x.cibd16</v>
      </c>
      <c r="D238" s="27" t="str">
        <f t="shared" si="737"/>
        <v>BatchOut_171026_r5178_FinalRel-v3-SSTSG_SSTDG\XML\</v>
      </c>
      <c r="E238" s="9" t="str">
        <f t="shared" si="738"/>
        <v>x</v>
      </c>
      <c r="F238" s="22"/>
      <c r="G238" s="29"/>
      <c r="H238" s="23" t="str">
        <f t="shared" si="739"/>
        <v/>
      </c>
      <c r="I238" s="9" t="s">
        <v>11</v>
      </c>
      <c r="J238"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8" s="15" t="s">
        <v>1</v>
      </c>
      <c r="L238" s="36">
        <f t="shared" si="846"/>
        <v>0</v>
      </c>
      <c r="M238" s="91" t="str">
        <f t="shared" si="740"/>
        <v>x</v>
      </c>
      <c r="N238" s="90" t="s">
        <v>149</v>
      </c>
      <c r="O238" s="28" t="str">
        <f t="shared" si="745"/>
        <v>x</v>
      </c>
      <c r="P238" s="36">
        <f t="shared" si="859"/>
        <v>1</v>
      </c>
      <c r="Q238" s="36">
        <f t="shared" si="859"/>
        <v>1</v>
      </c>
      <c r="R238" s="36">
        <f t="shared" si="859"/>
        <v>0</v>
      </c>
      <c r="S238" s="36">
        <f t="shared" si="859"/>
        <v>1</v>
      </c>
      <c r="T238" s="36">
        <f t="shared" si="859"/>
        <v>0</v>
      </c>
      <c r="U238" s="36">
        <f t="shared" si="859"/>
        <v>8</v>
      </c>
      <c r="V238" s="36">
        <f t="shared" si="859"/>
        <v>8</v>
      </c>
      <c r="W238" s="36">
        <f t="shared" si="859"/>
        <v>1</v>
      </c>
      <c r="X238" s="36">
        <f t="shared" si="859"/>
        <v>0</v>
      </c>
      <c r="Y238" s="36">
        <f t="shared" si="859"/>
        <v>0</v>
      </c>
      <c r="Z238" s="36">
        <f t="shared" si="859"/>
        <v>0</v>
      </c>
      <c r="AA238" s="36">
        <f t="shared" si="859"/>
        <v>0</v>
      </c>
      <c r="AB238" s="36">
        <f t="shared" si="859"/>
        <v>1</v>
      </c>
      <c r="AC238" s="36">
        <f t="shared" si="859"/>
        <v>0</v>
      </c>
      <c r="AD238" s="36">
        <f t="shared" si="859"/>
        <v>1</v>
      </c>
      <c r="AE238" s="36">
        <f t="shared" si="903"/>
        <v>0</v>
      </c>
      <c r="AF238" s="36">
        <f t="shared" si="903"/>
        <v>0</v>
      </c>
      <c r="AG238" s="36">
        <f t="shared" ref="AG238:AH238" si="911">AG237</f>
        <v>0</v>
      </c>
      <c r="AH238" s="36">
        <f t="shared" si="911"/>
        <v>0</v>
      </c>
      <c r="AI238" s="36">
        <f t="shared" ref="AI238" si="912">AI237</f>
        <v>0</v>
      </c>
      <c r="AJ238" s="36">
        <f t="shared" si="859"/>
        <v>0</v>
      </c>
      <c r="AK238" s="36">
        <f t="shared" si="908"/>
        <v>0</v>
      </c>
      <c r="AL238" s="36">
        <f t="shared" si="908"/>
        <v>0</v>
      </c>
      <c r="AM238" s="36">
        <f t="shared" si="908"/>
        <v>0</v>
      </c>
      <c r="AN238" s="36">
        <f t="shared" si="908"/>
        <v>0</v>
      </c>
      <c r="AO238" s="36">
        <f t="shared" si="908"/>
        <v>0</v>
      </c>
      <c r="AP238" s="36">
        <f t="shared" si="908"/>
        <v>0</v>
      </c>
      <c r="AQ238" s="36">
        <f t="shared" si="881"/>
        <v>0</v>
      </c>
      <c r="AR238" s="36">
        <f t="shared" si="813"/>
        <v>0</v>
      </c>
      <c r="AS238" s="31" t="str">
        <f t="shared" si="749"/>
        <v>SimulationStorage,1,</v>
      </c>
      <c r="AT238" s="31" t="str">
        <f t="shared" si="750"/>
        <v>AnalysisStorage,1,</v>
      </c>
      <c r="AU238" s="31" t="str">
        <f t="shared" si="751"/>
        <v>LogRuleEvaluation,0,</v>
      </c>
      <c r="AV238" s="31" t="str">
        <f t="shared" si="752"/>
        <v>ParallelSimulations,1,</v>
      </c>
      <c r="AW238" s="31" t="str">
        <f t="shared" si="753"/>
        <v>DurationStats,0,</v>
      </c>
      <c r="AX238" s="31" t="str">
        <f t="shared" si="754"/>
        <v>AnalysisThruStep,8,</v>
      </c>
      <c r="AY238" s="31" t="str">
        <f t="shared" si="755"/>
        <v>DontAbortOnErrorsThruStep,8,</v>
      </c>
      <c r="AZ238" s="31" t="str">
        <f t="shared" si="756"/>
        <v>BypassValidFileChecks,1,</v>
      </c>
      <c r="BA238" s="31" t="str">
        <f t="shared" si="757"/>
        <v>BypassInputChecks,0,</v>
      </c>
      <c r="BB238" s="31" t="str">
        <f t="shared" si="758"/>
        <v>BypassUMLHChecks,0,</v>
      </c>
      <c r="BC238" s="31" t="str">
        <f t="shared" si="759"/>
        <v>BypassCheckSimRules,0,</v>
      </c>
      <c r="BD238" s="31" t="str">
        <f t="shared" si="760"/>
        <v>BypassCheckCodeRules,0,</v>
      </c>
      <c r="BE238" s="31" t="str">
        <f t="shared" si="718"/>
        <v>StoreResultsToModelInput,1,</v>
      </c>
      <c r="BF238" s="31" t="str">
        <f t="shared" si="719"/>
        <v>StoreBEMDetails,0,</v>
      </c>
      <c r="BG238" s="31" t="str">
        <f t="shared" si="720"/>
        <v>ModelRpt_ALL,1,</v>
      </c>
      <c r="BH238" s="31" t="str">
        <f t="shared" si="721"/>
        <v>ExportHourlyResults_All,0,</v>
      </c>
      <c r="BI238" s="31" t="str">
        <f t="shared" si="722"/>
        <v>ComplianceReportPDF,0,</v>
      </c>
      <c r="BJ238" s="31" t="str">
        <f t="shared" si="723"/>
        <v>ComplianceReportXML,0,</v>
      </c>
      <c r="BK238" s="31" t="str">
        <f t="shared" si="724"/>
        <v>QuickAnalysis,0,</v>
      </c>
      <c r="BL238" s="31" t="str">
        <f t="shared" si="724"/>
        <v>PromptUserUMLHWarning,0,</v>
      </c>
      <c r="BM238" s="31" t="str">
        <f t="shared" si="725"/>
        <v>BypassOpenStudio_all,0,</v>
      </c>
      <c r="BN238" s="31" t="str">
        <f t="shared" si="726"/>
        <v>BypassOpenStudio_zp,0,</v>
      </c>
      <c r="BO238" s="31" t="str">
        <f t="shared" si="727"/>
        <v>BypassOpenStudio_zb,0,</v>
      </c>
      <c r="BP238" s="31" t="str">
        <f t="shared" si="728"/>
        <v>BypassOpenStudio_ap,0,</v>
      </c>
      <c r="BQ238" s="31" t="str">
        <f t="shared" si="729"/>
        <v>BypassOpenStudio_ab,0,</v>
      </c>
      <c r="BR238" s="31" t="str">
        <f t="shared" si="730"/>
        <v>BypassOpenStudio_zp,0,</v>
      </c>
      <c r="BS238" s="31" t="str">
        <f t="shared" si="731"/>
        <v>BypassOpenStudio_zb,0,</v>
      </c>
      <c r="BT238" s="31" t="str">
        <f t="shared" si="732"/>
        <v>BypassOpenStudio_ap,0,</v>
      </c>
      <c r="BU238" s="31" t="str">
        <f t="shared" si="733"/>
        <v>BypassOpenStudio_ab,0,</v>
      </c>
    </row>
    <row r="239" spans="1:73" hidden="1" outlineLevel="1" x14ac:dyDescent="0.25">
      <c r="A239" s="39">
        <f t="shared" si="734"/>
        <v>0</v>
      </c>
      <c r="B239" s="27" t="str">
        <f t="shared" si="735"/>
        <v>SoftwareSensitivity2016Tests\DetailedGeometry\x.cibd16</v>
      </c>
      <c r="C239" s="27" t="str">
        <f t="shared" si="736"/>
        <v>BatchOut_171026_r5178_FinalRel-v3-SSTSG_SSTDG\x.cibd16</v>
      </c>
      <c r="D239" s="27" t="str">
        <f t="shared" si="737"/>
        <v>BatchOut_171026_r5178_FinalRel-v3-SSTSG_SSTDG\XML\</v>
      </c>
      <c r="E239" s="9" t="str">
        <f t="shared" si="738"/>
        <v>x</v>
      </c>
      <c r="F239" s="22"/>
      <c r="G239" s="29"/>
      <c r="H239" s="23" t="str">
        <f t="shared" si="739"/>
        <v/>
      </c>
      <c r="I239" s="9" t="s">
        <v>11</v>
      </c>
      <c r="J239"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9" s="15" t="s">
        <v>1</v>
      </c>
      <c r="L239" s="36">
        <f t="shared" si="846"/>
        <v>0</v>
      </c>
      <c r="M239" s="91" t="str">
        <f t="shared" si="740"/>
        <v>x</v>
      </c>
      <c r="N239" s="90" t="s">
        <v>149</v>
      </c>
      <c r="O239" s="28" t="str">
        <f t="shared" si="745"/>
        <v>x</v>
      </c>
      <c r="P239" s="36">
        <f t="shared" si="859"/>
        <v>1</v>
      </c>
      <c r="Q239" s="36">
        <f t="shared" si="859"/>
        <v>1</v>
      </c>
      <c r="R239" s="36">
        <f t="shared" si="859"/>
        <v>0</v>
      </c>
      <c r="S239" s="36">
        <f t="shared" si="859"/>
        <v>1</v>
      </c>
      <c r="T239" s="36">
        <f t="shared" si="859"/>
        <v>0</v>
      </c>
      <c r="U239" s="36">
        <f t="shared" si="859"/>
        <v>8</v>
      </c>
      <c r="V239" s="36">
        <f t="shared" si="859"/>
        <v>8</v>
      </c>
      <c r="W239" s="36">
        <f t="shared" si="859"/>
        <v>1</v>
      </c>
      <c r="X239" s="36">
        <f t="shared" si="859"/>
        <v>0</v>
      </c>
      <c r="Y239" s="36">
        <f t="shared" si="859"/>
        <v>0</v>
      </c>
      <c r="Z239" s="36">
        <f t="shared" si="859"/>
        <v>0</v>
      </c>
      <c r="AA239" s="36">
        <f t="shared" si="859"/>
        <v>0</v>
      </c>
      <c r="AB239" s="36">
        <f t="shared" si="859"/>
        <v>1</v>
      </c>
      <c r="AC239" s="36">
        <f t="shared" si="859"/>
        <v>0</v>
      </c>
      <c r="AD239" s="36">
        <f t="shared" si="859"/>
        <v>1</v>
      </c>
      <c r="AE239" s="36">
        <f t="shared" si="903"/>
        <v>0</v>
      </c>
      <c r="AF239" s="36">
        <f t="shared" si="903"/>
        <v>0</v>
      </c>
      <c r="AG239" s="36">
        <f t="shared" ref="AG239:AH239" si="913">AG238</f>
        <v>0</v>
      </c>
      <c r="AH239" s="36">
        <f t="shared" si="913"/>
        <v>0</v>
      </c>
      <c r="AI239" s="36">
        <f t="shared" ref="AI239" si="914">AI238</f>
        <v>0</v>
      </c>
      <c r="AJ239" s="36">
        <f t="shared" si="859"/>
        <v>0</v>
      </c>
      <c r="AK239" s="36">
        <f t="shared" si="908"/>
        <v>0</v>
      </c>
      <c r="AL239" s="36">
        <f t="shared" si="908"/>
        <v>0</v>
      </c>
      <c r="AM239" s="36">
        <f t="shared" si="908"/>
        <v>0</v>
      </c>
      <c r="AN239" s="36">
        <f t="shared" si="908"/>
        <v>0</v>
      </c>
      <c r="AO239" s="36">
        <f t="shared" si="908"/>
        <v>0</v>
      </c>
      <c r="AP239" s="36">
        <f t="shared" si="908"/>
        <v>0</v>
      </c>
      <c r="AQ239" s="36">
        <f t="shared" si="881"/>
        <v>0</v>
      </c>
      <c r="AR239" s="36">
        <f t="shared" si="813"/>
        <v>0</v>
      </c>
      <c r="AS239" s="31" t="str">
        <f t="shared" si="749"/>
        <v>SimulationStorage,1,</v>
      </c>
      <c r="AT239" s="31" t="str">
        <f t="shared" si="750"/>
        <v>AnalysisStorage,1,</v>
      </c>
      <c r="AU239" s="31" t="str">
        <f t="shared" si="751"/>
        <v>LogRuleEvaluation,0,</v>
      </c>
      <c r="AV239" s="31" t="str">
        <f t="shared" si="752"/>
        <v>ParallelSimulations,1,</v>
      </c>
      <c r="AW239" s="31" t="str">
        <f t="shared" si="753"/>
        <v>DurationStats,0,</v>
      </c>
      <c r="AX239" s="31" t="str">
        <f t="shared" si="754"/>
        <v>AnalysisThruStep,8,</v>
      </c>
      <c r="AY239" s="31" t="str">
        <f t="shared" si="755"/>
        <v>DontAbortOnErrorsThruStep,8,</v>
      </c>
      <c r="AZ239" s="31" t="str">
        <f t="shared" si="756"/>
        <v>BypassValidFileChecks,1,</v>
      </c>
      <c r="BA239" s="31" t="str">
        <f t="shared" si="757"/>
        <v>BypassInputChecks,0,</v>
      </c>
      <c r="BB239" s="31" t="str">
        <f t="shared" si="758"/>
        <v>BypassUMLHChecks,0,</v>
      </c>
      <c r="BC239" s="31" t="str">
        <f t="shared" si="759"/>
        <v>BypassCheckSimRules,0,</v>
      </c>
      <c r="BD239" s="31" t="str">
        <f t="shared" si="760"/>
        <v>BypassCheckCodeRules,0,</v>
      </c>
      <c r="BE239" s="31" t="str">
        <f t="shared" si="718"/>
        <v>StoreResultsToModelInput,1,</v>
      </c>
      <c r="BF239" s="31" t="str">
        <f t="shared" si="719"/>
        <v>StoreBEMDetails,0,</v>
      </c>
      <c r="BG239" s="31" t="str">
        <f t="shared" si="720"/>
        <v>ModelRpt_ALL,1,</v>
      </c>
      <c r="BH239" s="31" t="str">
        <f t="shared" si="721"/>
        <v>ExportHourlyResults_All,0,</v>
      </c>
      <c r="BI239" s="31" t="str">
        <f t="shared" si="722"/>
        <v>ComplianceReportPDF,0,</v>
      </c>
      <c r="BJ239" s="31" t="str">
        <f t="shared" si="723"/>
        <v>ComplianceReportXML,0,</v>
      </c>
      <c r="BK239" s="31" t="str">
        <f t="shared" si="724"/>
        <v>QuickAnalysis,0,</v>
      </c>
      <c r="BL239" s="31" t="str">
        <f t="shared" si="724"/>
        <v>PromptUserUMLHWarning,0,</v>
      </c>
      <c r="BM239" s="31" t="str">
        <f t="shared" si="725"/>
        <v>BypassOpenStudio_all,0,</v>
      </c>
      <c r="BN239" s="31" t="str">
        <f t="shared" si="726"/>
        <v>BypassOpenStudio_zp,0,</v>
      </c>
      <c r="BO239" s="31" t="str">
        <f t="shared" si="727"/>
        <v>BypassOpenStudio_zb,0,</v>
      </c>
      <c r="BP239" s="31" t="str">
        <f t="shared" si="728"/>
        <v>BypassOpenStudio_ap,0,</v>
      </c>
      <c r="BQ239" s="31" t="str">
        <f t="shared" si="729"/>
        <v>BypassOpenStudio_ab,0,</v>
      </c>
      <c r="BR239" s="31" t="str">
        <f t="shared" si="730"/>
        <v>BypassOpenStudio_zp,0,</v>
      </c>
      <c r="BS239" s="31" t="str">
        <f t="shared" si="731"/>
        <v>BypassOpenStudio_zb,0,</v>
      </c>
      <c r="BT239" s="31" t="str">
        <f t="shared" si="732"/>
        <v>BypassOpenStudio_ap,0,</v>
      </c>
      <c r="BU239" s="31" t="str">
        <f t="shared" si="733"/>
        <v>BypassOpenStudio_ab,0,</v>
      </c>
    </row>
    <row r="240" spans="1:73" hidden="1" outlineLevel="1" x14ac:dyDescent="0.25">
      <c r="A240" s="39">
        <f t="shared" si="734"/>
        <v>0</v>
      </c>
      <c r="B240" s="27" t="str">
        <f t="shared" si="735"/>
        <v>SoftwareSensitivity2016Tests\DetailedGeometry\x.cibd16</v>
      </c>
      <c r="C240" s="27" t="str">
        <f t="shared" si="736"/>
        <v>BatchOut_171026_r5178_FinalRel-v3-SSTSG_SSTDG\x.cibd16</v>
      </c>
      <c r="D240" s="27" t="str">
        <f t="shared" si="737"/>
        <v>BatchOut_171026_r5178_FinalRel-v3-SSTSG_SSTDG\XML\</v>
      </c>
      <c r="E240" s="9" t="str">
        <f t="shared" si="738"/>
        <v>x</v>
      </c>
      <c r="F240" s="22"/>
      <c r="G240" s="29"/>
      <c r="H240" s="23" t="str">
        <f t="shared" si="739"/>
        <v/>
      </c>
      <c r="I240" s="9" t="s">
        <v>11</v>
      </c>
      <c r="J240"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0" s="15" t="s">
        <v>1</v>
      </c>
      <c r="L240" s="36">
        <f t="shared" si="846"/>
        <v>0</v>
      </c>
      <c r="M240" s="91" t="str">
        <f t="shared" si="740"/>
        <v>x</v>
      </c>
      <c r="N240" s="90" t="s">
        <v>149</v>
      </c>
      <c r="O240" s="28" t="str">
        <f t="shared" si="745"/>
        <v>x</v>
      </c>
      <c r="P240" s="36">
        <f t="shared" si="859"/>
        <v>1</v>
      </c>
      <c r="Q240" s="36">
        <f t="shared" si="859"/>
        <v>1</v>
      </c>
      <c r="R240" s="36">
        <f t="shared" si="859"/>
        <v>0</v>
      </c>
      <c r="S240" s="36">
        <f t="shared" si="859"/>
        <v>1</v>
      </c>
      <c r="T240" s="36">
        <f t="shared" si="859"/>
        <v>0</v>
      </c>
      <c r="U240" s="36">
        <f t="shared" si="859"/>
        <v>8</v>
      </c>
      <c r="V240" s="36">
        <f t="shared" si="859"/>
        <v>8</v>
      </c>
      <c r="W240" s="36">
        <f t="shared" si="859"/>
        <v>1</v>
      </c>
      <c r="X240" s="36">
        <f t="shared" si="859"/>
        <v>0</v>
      </c>
      <c r="Y240" s="36">
        <f t="shared" si="859"/>
        <v>0</v>
      </c>
      <c r="Z240" s="36">
        <f t="shared" si="859"/>
        <v>0</v>
      </c>
      <c r="AA240" s="36">
        <f t="shared" si="859"/>
        <v>0</v>
      </c>
      <c r="AB240" s="36">
        <f t="shared" si="859"/>
        <v>1</v>
      </c>
      <c r="AC240" s="36">
        <f t="shared" si="859"/>
        <v>0</v>
      </c>
      <c r="AD240" s="36">
        <f t="shared" si="859"/>
        <v>1</v>
      </c>
      <c r="AE240" s="36">
        <f t="shared" si="903"/>
        <v>0</v>
      </c>
      <c r="AF240" s="36">
        <f t="shared" si="903"/>
        <v>0</v>
      </c>
      <c r="AG240" s="36">
        <f t="shared" ref="AG240:AH240" si="915">AG239</f>
        <v>0</v>
      </c>
      <c r="AH240" s="36">
        <f t="shared" si="915"/>
        <v>0</v>
      </c>
      <c r="AI240" s="36">
        <f t="shared" ref="AI240" si="916">AI239</f>
        <v>0</v>
      </c>
      <c r="AJ240" s="36">
        <f t="shared" si="859"/>
        <v>0</v>
      </c>
      <c r="AK240" s="36">
        <f t="shared" si="908"/>
        <v>0</v>
      </c>
      <c r="AL240" s="36">
        <f t="shared" si="908"/>
        <v>0</v>
      </c>
      <c r="AM240" s="36">
        <f t="shared" si="908"/>
        <v>0</v>
      </c>
      <c r="AN240" s="36">
        <f t="shared" si="908"/>
        <v>0</v>
      </c>
      <c r="AO240" s="36">
        <f t="shared" si="908"/>
        <v>0</v>
      </c>
      <c r="AP240" s="36">
        <f t="shared" si="908"/>
        <v>0</v>
      </c>
      <c r="AQ240" s="36">
        <f t="shared" si="881"/>
        <v>0</v>
      </c>
      <c r="AR240" s="36">
        <f t="shared" si="813"/>
        <v>0</v>
      </c>
      <c r="AS240" s="31" t="str">
        <f t="shared" si="749"/>
        <v>SimulationStorage,1,</v>
      </c>
      <c r="AT240" s="31" t="str">
        <f t="shared" si="750"/>
        <v>AnalysisStorage,1,</v>
      </c>
      <c r="AU240" s="31" t="str">
        <f t="shared" si="751"/>
        <v>LogRuleEvaluation,0,</v>
      </c>
      <c r="AV240" s="31" t="str">
        <f t="shared" si="752"/>
        <v>ParallelSimulations,1,</v>
      </c>
      <c r="AW240" s="31" t="str">
        <f t="shared" si="753"/>
        <v>DurationStats,0,</v>
      </c>
      <c r="AX240" s="31" t="str">
        <f t="shared" si="754"/>
        <v>AnalysisThruStep,8,</v>
      </c>
      <c r="AY240" s="31" t="str">
        <f t="shared" si="755"/>
        <v>DontAbortOnErrorsThruStep,8,</v>
      </c>
      <c r="AZ240" s="31" t="str">
        <f t="shared" si="756"/>
        <v>BypassValidFileChecks,1,</v>
      </c>
      <c r="BA240" s="31" t="str">
        <f t="shared" si="757"/>
        <v>BypassInputChecks,0,</v>
      </c>
      <c r="BB240" s="31" t="str">
        <f t="shared" si="758"/>
        <v>BypassUMLHChecks,0,</v>
      </c>
      <c r="BC240" s="31" t="str">
        <f t="shared" si="759"/>
        <v>BypassCheckSimRules,0,</v>
      </c>
      <c r="BD240" s="31" t="str">
        <f t="shared" si="760"/>
        <v>BypassCheckCodeRules,0,</v>
      </c>
      <c r="BE240" s="31" t="str">
        <f t="shared" si="718"/>
        <v>StoreResultsToModelInput,1,</v>
      </c>
      <c r="BF240" s="31" t="str">
        <f t="shared" si="719"/>
        <v>StoreBEMDetails,0,</v>
      </c>
      <c r="BG240" s="31" t="str">
        <f t="shared" si="720"/>
        <v>ModelRpt_ALL,1,</v>
      </c>
      <c r="BH240" s="31" t="str">
        <f t="shared" si="721"/>
        <v>ExportHourlyResults_All,0,</v>
      </c>
      <c r="BI240" s="31" t="str">
        <f t="shared" si="722"/>
        <v>ComplianceReportPDF,0,</v>
      </c>
      <c r="BJ240" s="31" t="str">
        <f t="shared" si="723"/>
        <v>ComplianceReportXML,0,</v>
      </c>
      <c r="BK240" s="31" t="str">
        <f t="shared" si="724"/>
        <v>QuickAnalysis,0,</v>
      </c>
      <c r="BL240" s="31" t="str">
        <f t="shared" si="724"/>
        <v>PromptUserUMLHWarning,0,</v>
      </c>
      <c r="BM240" s="31" t="str">
        <f t="shared" si="725"/>
        <v>BypassOpenStudio_all,0,</v>
      </c>
      <c r="BN240" s="31" t="str">
        <f t="shared" si="726"/>
        <v>BypassOpenStudio_zp,0,</v>
      </c>
      <c r="BO240" s="31" t="str">
        <f t="shared" si="727"/>
        <v>BypassOpenStudio_zb,0,</v>
      </c>
      <c r="BP240" s="31" t="str">
        <f t="shared" si="728"/>
        <v>BypassOpenStudio_ap,0,</v>
      </c>
      <c r="BQ240" s="31" t="str">
        <f t="shared" si="729"/>
        <v>BypassOpenStudio_ab,0,</v>
      </c>
      <c r="BR240" s="31" t="str">
        <f t="shared" si="730"/>
        <v>BypassOpenStudio_zp,0,</v>
      </c>
      <c r="BS240" s="31" t="str">
        <f t="shared" si="731"/>
        <v>BypassOpenStudio_zb,0,</v>
      </c>
      <c r="BT240" s="31" t="str">
        <f t="shared" si="732"/>
        <v>BypassOpenStudio_ap,0,</v>
      </c>
      <c r="BU240" s="31" t="str">
        <f t="shared" si="733"/>
        <v>BypassOpenStudio_ab,0,</v>
      </c>
    </row>
    <row r="241" spans="1:73" hidden="1" outlineLevel="1" x14ac:dyDescent="0.25">
      <c r="A241" s="39">
        <f t="shared" si="734"/>
        <v>0</v>
      </c>
      <c r="B241" s="27" t="str">
        <f t="shared" si="735"/>
        <v>SoftwareSensitivity2016Tests\DetailedGeometry\x.cibd16</v>
      </c>
      <c r="C241" s="27" t="str">
        <f t="shared" si="736"/>
        <v>BatchOut_171026_r5178_FinalRel-v3-SSTSG_SSTDG\x.cibd16</v>
      </c>
      <c r="D241" s="27" t="str">
        <f t="shared" si="737"/>
        <v>BatchOut_171026_r5178_FinalRel-v3-SSTSG_SSTDG\XML\</v>
      </c>
      <c r="E241" s="9" t="str">
        <f t="shared" si="738"/>
        <v>x</v>
      </c>
      <c r="F241" s="22"/>
      <c r="G241" s="29"/>
      <c r="H241" s="23" t="str">
        <f t="shared" si="739"/>
        <v/>
      </c>
      <c r="I241" s="9" t="s">
        <v>11</v>
      </c>
      <c r="J241"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1" s="15" t="s">
        <v>1</v>
      </c>
      <c r="L241" s="36">
        <f t="shared" si="846"/>
        <v>0</v>
      </c>
      <c r="M241" s="91" t="str">
        <f t="shared" si="740"/>
        <v>x</v>
      </c>
      <c r="N241" s="90" t="s">
        <v>149</v>
      </c>
      <c r="O241" s="28" t="str">
        <f t="shared" si="745"/>
        <v>x</v>
      </c>
      <c r="P241" s="36">
        <f t="shared" si="859"/>
        <v>1</v>
      </c>
      <c r="Q241" s="36">
        <f t="shared" si="859"/>
        <v>1</v>
      </c>
      <c r="R241" s="36">
        <f t="shared" si="859"/>
        <v>0</v>
      </c>
      <c r="S241" s="36">
        <f t="shared" si="859"/>
        <v>1</v>
      </c>
      <c r="T241" s="36">
        <f t="shared" si="859"/>
        <v>0</v>
      </c>
      <c r="U241" s="36">
        <f t="shared" si="859"/>
        <v>8</v>
      </c>
      <c r="V241" s="36">
        <f t="shared" si="859"/>
        <v>8</v>
      </c>
      <c r="W241" s="36">
        <f t="shared" si="859"/>
        <v>1</v>
      </c>
      <c r="X241" s="36">
        <f t="shared" si="859"/>
        <v>0</v>
      </c>
      <c r="Y241" s="36">
        <f t="shared" si="859"/>
        <v>0</v>
      </c>
      <c r="Z241" s="36">
        <f t="shared" si="859"/>
        <v>0</v>
      </c>
      <c r="AA241" s="36">
        <f t="shared" si="859"/>
        <v>0</v>
      </c>
      <c r="AB241" s="36">
        <f t="shared" si="859"/>
        <v>1</v>
      </c>
      <c r="AC241" s="36">
        <f t="shared" si="859"/>
        <v>0</v>
      </c>
      <c r="AD241" s="36">
        <f t="shared" si="859"/>
        <v>1</v>
      </c>
      <c r="AE241" s="36">
        <f t="shared" si="903"/>
        <v>0</v>
      </c>
      <c r="AF241" s="36">
        <f t="shared" si="903"/>
        <v>0</v>
      </c>
      <c r="AG241" s="36">
        <f t="shared" ref="AG241:AH241" si="917">AG240</f>
        <v>0</v>
      </c>
      <c r="AH241" s="36">
        <f t="shared" si="917"/>
        <v>0</v>
      </c>
      <c r="AI241" s="36">
        <f t="shared" ref="AI241" si="918">AI240</f>
        <v>0</v>
      </c>
      <c r="AJ241" s="36">
        <f t="shared" si="859"/>
        <v>0</v>
      </c>
      <c r="AK241" s="36">
        <f t="shared" si="908"/>
        <v>0</v>
      </c>
      <c r="AL241" s="36">
        <f t="shared" si="908"/>
        <v>0</v>
      </c>
      <c r="AM241" s="36">
        <f t="shared" si="908"/>
        <v>0</v>
      </c>
      <c r="AN241" s="36">
        <f t="shared" si="908"/>
        <v>0</v>
      </c>
      <c r="AO241" s="36">
        <f t="shared" si="908"/>
        <v>0</v>
      </c>
      <c r="AP241" s="36">
        <f t="shared" si="908"/>
        <v>0</v>
      </c>
      <c r="AQ241" s="36">
        <f t="shared" si="881"/>
        <v>0</v>
      </c>
      <c r="AR241" s="36">
        <f t="shared" si="813"/>
        <v>0</v>
      </c>
      <c r="AS241" s="31" t="str">
        <f t="shared" si="749"/>
        <v>SimulationStorage,1,</v>
      </c>
      <c r="AT241" s="31" t="str">
        <f t="shared" si="750"/>
        <v>AnalysisStorage,1,</v>
      </c>
      <c r="AU241" s="31" t="str">
        <f t="shared" si="751"/>
        <v>LogRuleEvaluation,0,</v>
      </c>
      <c r="AV241" s="31" t="str">
        <f t="shared" si="752"/>
        <v>ParallelSimulations,1,</v>
      </c>
      <c r="AW241" s="31" t="str">
        <f t="shared" si="753"/>
        <v>DurationStats,0,</v>
      </c>
      <c r="AX241" s="31" t="str">
        <f t="shared" si="754"/>
        <v>AnalysisThruStep,8,</v>
      </c>
      <c r="AY241" s="31" t="str">
        <f t="shared" si="755"/>
        <v>DontAbortOnErrorsThruStep,8,</v>
      </c>
      <c r="AZ241" s="31" t="str">
        <f t="shared" si="756"/>
        <v>BypassValidFileChecks,1,</v>
      </c>
      <c r="BA241" s="31" t="str">
        <f t="shared" si="757"/>
        <v>BypassInputChecks,0,</v>
      </c>
      <c r="BB241" s="31" t="str">
        <f t="shared" si="758"/>
        <v>BypassUMLHChecks,0,</v>
      </c>
      <c r="BC241" s="31" t="str">
        <f t="shared" si="759"/>
        <v>BypassCheckSimRules,0,</v>
      </c>
      <c r="BD241" s="31" t="str">
        <f t="shared" si="760"/>
        <v>BypassCheckCodeRules,0,</v>
      </c>
      <c r="BE241" s="31" t="str">
        <f t="shared" si="718"/>
        <v>StoreResultsToModelInput,1,</v>
      </c>
      <c r="BF241" s="31" t="str">
        <f t="shared" si="719"/>
        <v>StoreBEMDetails,0,</v>
      </c>
      <c r="BG241" s="31" t="str">
        <f t="shared" si="720"/>
        <v>ModelRpt_ALL,1,</v>
      </c>
      <c r="BH241" s="31" t="str">
        <f t="shared" si="721"/>
        <v>ExportHourlyResults_All,0,</v>
      </c>
      <c r="BI241" s="31" t="str">
        <f t="shared" si="722"/>
        <v>ComplianceReportPDF,0,</v>
      </c>
      <c r="BJ241" s="31" t="str">
        <f t="shared" si="723"/>
        <v>ComplianceReportXML,0,</v>
      </c>
      <c r="BK241" s="31" t="str">
        <f t="shared" si="724"/>
        <v>QuickAnalysis,0,</v>
      </c>
      <c r="BL241" s="31" t="str">
        <f t="shared" si="724"/>
        <v>PromptUserUMLHWarning,0,</v>
      </c>
      <c r="BM241" s="31" t="str">
        <f t="shared" si="725"/>
        <v>BypassOpenStudio_all,0,</v>
      </c>
      <c r="BN241" s="31" t="str">
        <f t="shared" si="726"/>
        <v>BypassOpenStudio_zp,0,</v>
      </c>
      <c r="BO241" s="31" t="str">
        <f t="shared" si="727"/>
        <v>BypassOpenStudio_zb,0,</v>
      </c>
      <c r="BP241" s="31" t="str">
        <f t="shared" si="728"/>
        <v>BypassOpenStudio_ap,0,</v>
      </c>
      <c r="BQ241" s="31" t="str">
        <f t="shared" si="729"/>
        <v>BypassOpenStudio_ab,0,</v>
      </c>
      <c r="BR241" s="31" t="str">
        <f t="shared" si="730"/>
        <v>BypassOpenStudio_zp,0,</v>
      </c>
      <c r="BS241" s="31" t="str">
        <f t="shared" si="731"/>
        <v>BypassOpenStudio_zb,0,</v>
      </c>
      <c r="BT241" s="31" t="str">
        <f t="shared" si="732"/>
        <v>BypassOpenStudio_ap,0,</v>
      </c>
      <c r="BU241" s="31" t="str">
        <f t="shared" si="733"/>
        <v>BypassOpenStudio_ab,0,</v>
      </c>
    </row>
    <row r="242" spans="1:73" hidden="1" outlineLevel="1" x14ac:dyDescent="0.25">
      <c r="A242" s="39">
        <f t="shared" si="734"/>
        <v>0</v>
      </c>
      <c r="B242" s="27" t="str">
        <f t="shared" si="735"/>
        <v>SoftwareSensitivity2016Tests\DetailedGeometry\x.cibd16</v>
      </c>
      <c r="C242" s="27" t="str">
        <f t="shared" si="736"/>
        <v>BatchOut_171026_r5178_FinalRel-v3-SSTSG_SSTDG\x.cibd16</v>
      </c>
      <c r="D242" s="27" t="str">
        <f t="shared" si="737"/>
        <v>BatchOut_171026_r5178_FinalRel-v3-SSTSG_SSTDG\XML\</v>
      </c>
      <c r="E242" s="9" t="str">
        <f t="shared" si="738"/>
        <v>x</v>
      </c>
      <c r="F242" s="22"/>
      <c r="G242" s="29"/>
      <c r="H242" s="23" t="str">
        <f t="shared" si="739"/>
        <v/>
      </c>
      <c r="I242" s="9" t="s">
        <v>11</v>
      </c>
      <c r="J242"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2" s="15" t="s">
        <v>1</v>
      </c>
      <c r="L242" s="36">
        <f t="shared" si="846"/>
        <v>0</v>
      </c>
      <c r="M242" s="91" t="str">
        <f t="shared" si="740"/>
        <v>x</v>
      </c>
      <c r="N242" s="90" t="s">
        <v>149</v>
      </c>
      <c r="O242" s="28" t="str">
        <f t="shared" si="745"/>
        <v>x</v>
      </c>
      <c r="P242" s="36">
        <f t="shared" si="859"/>
        <v>1</v>
      </c>
      <c r="Q242" s="36">
        <f t="shared" si="859"/>
        <v>1</v>
      </c>
      <c r="R242" s="36">
        <f t="shared" si="859"/>
        <v>0</v>
      </c>
      <c r="S242" s="36">
        <f t="shared" si="859"/>
        <v>1</v>
      </c>
      <c r="T242" s="36">
        <f t="shared" si="859"/>
        <v>0</v>
      </c>
      <c r="U242" s="36">
        <f t="shared" si="859"/>
        <v>8</v>
      </c>
      <c r="V242" s="36">
        <f t="shared" si="859"/>
        <v>8</v>
      </c>
      <c r="W242" s="36">
        <f t="shared" si="859"/>
        <v>1</v>
      </c>
      <c r="X242" s="36">
        <f t="shared" si="859"/>
        <v>0</v>
      </c>
      <c r="Y242" s="36">
        <f t="shared" si="859"/>
        <v>0</v>
      </c>
      <c r="Z242" s="36">
        <f t="shared" si="859"/>
        <v>0</v>
      </c>
      <c r="AA242" s="36">
        <f t="shared" si="859"/>
        <v>0</v>
      </c>
      <c r="AB242" s="36">
        <f t="shared" si="859"/>
        <v>1</v>
      </c>
      <c r="AC242" s="36">
        <f t="shared" si="859"/>
        <v>0</v>
      </c>
      <c r="AD242" s="36">
        <f t="shared" si="859"/>
        <v>1</v>
      </c>
      <c r="AE242" s="36">
        <f t="shared" si="903"/>
        <v>0</v>
      </c>
      <c r="AF242" s="36">
        <f t="shared" si="903"/>
        <v>0</v>
      </c>
      <c r="AG242" s="36">
        <f t="shared" ref="AG242:AH242" si="919">AG241</f>
        <v>0</v>
      </c>
      <c r="AH242" s="36">
        <f t="shared" si="919"/>
        <v>0</v>
      </c>
      <c r="AI242" s="36">
        <f t="shared" ref="AI242" si="920">AI241</f>
        <v>0</v>
      </c>
      <c r="AJ242" s="36">
        <f t="shared" si="859"/>
        <v>0</v>
      </c>
      <c r="AK242" s="36">
        <f t="shared" si="908"/>
        <v>0</v>
      </c>
      <c r="AL242" s="36">
        <f t="shared" si="908"/>
        <v>0</v>
      </c>
      <c r="AM242" s="36">
        <f t="shared" si="908"/>
        <v>0</v>
      </c>
      <c r="AN242" s="36">
        <f t="shared" si="908"/>
        <v>0</v>
      </c>
      <c r="AO242" s="36">
        <f t="shared" si="908"/>
        <v>0</v>
      </c>
      <c r="AP242" s="36">
        <f t="shared" si="908"/>
        <v>0</v>
      </c>
      <c r="AQ242" s="36">
        <f t="shared" si="881"/>
        <v>0</v>
      </c>
      <c r="AR242" s="36">
        <f t="shared" si="813"/>
        <v>0</v>
      </c>
      <c r="AS242" s="31" t="str">
        <f t="shared" si="749"/>
        <v>SimulationStorage,1,</v>
      </c>
      <c r="AT242" s="31" t="str">
        <f t="shared" si="750"/>
        <v>AnalysisStorage,1,</v>
      </c>
      <c r="AU242" s="31" t="str">
        <f t="shared" si="751"/>
        <v>LogRuleEvaluation,0,</v>
      </c>
      <c r="AV242" s="31" t="str">
        <f t="shared" si="752"/>
        <v>ParallelSimulations,1,</v>
      </c>
      <c r="AW242" s="31" t="str">
        <f t="shared" si="753"/>
        <v>DurationStats,0,</v>
      </c>
      <c r="AX242" s="31" t="str">
        <f t="shared" si="754"/>
        <v>AnalysisThruStep,8,</v>
      </c>
      <c r="AY242" s="31" t="str">
        <f t="shared" si="755"/>
        <v>DontAbortOnErrorsThruStep,8,</v>
      </c>
      <c r="AZ242" s="31" t="str">
        <f t="shared" si="756"/>
        <v>BypassValidFileChecks,1,</v>
      </c>
      <c r="BA242" s="31" t="str">
        <f t="shared" si="757"/>
        <v>BypassInputChecks,0,</v>
      </c>
      <c r="BB242" s="31" t="str">
        <f t="shared" si="758"/>
        <v>BypassUMLHChecks,0,</v>
      </c>
      <c r="BC242" s="31" t="str">
        <f t="shared" si="759"/>
        <v>BypassCheckSimRules,0,</v>
      </c>
      <c r="BD242" s="31" t="str">
        <f t="shared" si="760"/>
        <v>BypassCheckCodeRules,0,</v>
      </c>
      <c r="BE242" s="31" t="str">
        <f t="shared" si="718"/>
        <v>StoreResultsToModelInput,1,</v>
      </c>
      <c r="BF242" s="31" t="str">
        <f t="shared" si="719"/>
        <v>StoreBEMDetails,0,</v>
      </c>
      <c r="BG242" s="31" t="str">
        <f t="shared" si="720"/>
        <v>ModelRpt_ALL,1,</v>
      </c>
      <c r="BH242" s="31" t="str">
        <f t="shared" si="721"/>
        <v>ExportHourlyResults_All,0,</v>
      </c>
      <c r="BI242" s="31" t="str">
        <f t="shared" si="722"/>
        <v>ComplianceReportPDF,0,</v>
      </c>
      <c r="BJ242" s="31" t="str">
        <f t="shared" si="723"/>
        <v>ComplianceReportXML,0,</v>
      </c>
      <c r="BK242" s="31" t="str">
        <f t="shared" si="724"/>
        <v>QuickAnalysis,0,</v>
      </c>
      <c r="BL242" s="31" t="str">
        <f t="shared" si="724"/>
        <v>PromptUserUMLHWarning,0,</v>
      </c>
      <c r="BM242" s="31" t="str">
        <f t="shared" si="725"/>
        <v>BypassOpenStudio_all,0,</v>
      </c>
      <c r="BN242" s="31" t="str">
        <f t="shared" si="726"/>
        <v>BypassOpenStudio_zp,0,</v>
      </c>
      <c r="BO242" s="31" t="str">
        <f t="shared" si="727"/>
        <v>BypassOpenStudio_zb,0,</v>
      </c>
      <c r="BP242" s="31" t="str">
        <f t="shared" si="728"/>
        <v>BypassOpenStudio_ap,0,</v>
      </c>
      <c r="BQ242" s="31" t="str">
        <f t="shared" si="729"/>
        <v>BypassOpenStudio_ab,0,</v>
      </c>
      <c r="BR242" s="31" t="str">
        <f t="shared" si="730"/>
        <v>BypassOpenStudio_zp,0,</v>
      </c>
      <c r="BS242" s="31" t="str">
        <f t="shared" si="731"/>
        <v>BypassOpenStudio_zb,0,</v>
      </c>
      <c r="BT242" s="31" t="str">
        <f t="shared" si="732"/>
        <v>BypassOpenStudio_ap,0,</v>
      </c>
      <c r="BU242" s="31" t="str">
        <f t="shared" si="733"/>
        <v>BypassOpenStudio_ab,0,</v>
      </c>
    </row>
    <row r="243" spans="1:73" hidden="1" outlineLevel="1" x14ac:dyDescent="0.25">
      <c r="A243" s="39">
        <f t="shared" si="734"/>
        <v>0</v>
      </c>
      <c r="B243" s="27" t="str">
        <f t="shared" si="735"/>
        <v>SoftwareSensitivity2016Tests\DetailedGeometry\x.cibd16</v>
      </c>
      <c r="C243" s="27" t="str">
        <f t="shared" si="736"/>
        <v>BatchOut_171026_r5178_FinalRel-v3-SSTSG_SSTDG\x.cibd16</v>
      </c>
      <c r="D243" s="27" t="str">
        <f t="shared" si="737"/>
        <v>BatchOut_171026_r5178_FinalRel-v3-SSTSG_SSTDG\XML\</v>
      </c>
      <c r="E243" s="9" t="str">
        <f t="shared" si="738"/>
        <v>x</v>
      </c>
      <c r="F243" s="22"/>
      <c r="G243" s="29"/>
      <c r="H243" s="23" t="str">
        <f t="shared" si="739"/>
        <v/>
      </c>
      <c r="I243" s="9" t="s">
        <v>11</v>
      </c>
      <c r="J243"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3" s="15" t="s">
        <v>1</v>
      </c>
      <c r="L243" s="36">
        <f t="shared" si="846"/>
        <v>0</v>
      </c>
      <c r="M243" s="91" t="str">
        <f t="shared" si="740"/>
        <v>x</v>
      </c>
      <c r="N243" s="90" t="s">
        <v>149</v>
      </c>
      <c r="O243" s="28" t="str">
        <f t="shared" si="745"/>
        <v>x</v>
      </c>
      <c r="P243" s="36">
        <f t="shared" si="859"/>
        <v>1</v>
      </c>
      <c r="Q243" s="36">
        <f t="shared" si="859"/>
        <v>1</v>
      </c>
      <c r="R243" s="36">
        <f t="shared" si="859"/>
        <v>0</v>
      </c>
      <c r="S243" s="36">
        <f t="shared" si="859"/>
        <v>1</v>
      </c>
      <c r="T243" s="36">
        <f t="shared" si="859"/>
        <v>0</v>
      </c>
      <c r="U243" s="36">
        <f t="shared" si="859"/>
        <v>8</v>
      </c>
      <c r="V243" s="36">
        <f t="shared" si="859"/>
        <v>8</v>
      </c>
      <c r="W243" s="36">
        <f t="shared" si="859"/>
        <v>1</v>
      </c>
      <c r="X243" s="36">
        <f t="shared" si="859"/>
        <v>0</v>
      </c>
      <c r="Y243" s="36">
        <f t="shared" si="859"/>
        <v>0</v>
      </c>
      <c r="Z243" s="36">
        <f t="shared" si="859"/>
        <v>0</v>
      </c>
      <c r="AA243" s="36">
        <f t="shared" si="859"/>
        <v>0</v>
      </c>
      <c r="AB243" s="36">
        <f t="shared" si="859"/>
        <v>1</v>
      </c>
      <c r="AC243" s="36">
        <f t="shared" si="859"/>
        <v>0</v>
      </c>
      <c r="AD243" s="36">
        <f t="shared" si="859"/>
        <v>1</v>
      </c>
      <c r="AE243" s="36">
        <f t="shared" si="903"/>
        <v>0</v>
      </c>
      <c r="AF243" s="36">
        <f t="shared" si="903"/>
        <v>0</v>
      </c>
      <c r="AG243" s="36">
        <f t="shared" ref="AG243:AH243" si="921">AG242</f>
        <v>0</v>
      </c>
      <c r="AH243" s="36">
        <f t="shared" si="921"/>
        <v>0</v>
      </c>
      <c r="AI243" s="36">
        <f t="shared" ref="AI243" si="922">AI242</f>
        <v>0</v>
      </c>
      <c r="AJ243" s="36">
        <f t="shared" si="859"/>
        <v>0</v>
      </c>
      <c r="AK243" s="36">
        <f t="shared" si="908"/>
        <v>0</v>
      </c>
      <c r="AL243" s="36">
        <f t="shared" si="908"/>
        <v>0</v>
      </c>
      <c r="AM243" s="36">
        <f t="shared" si="908"/>
        <v>0</v>
      </c>
      <c r="AN243" s="36">
        <f t="shared" si="908"/>
        <v>0</v>
      </c>
      <c r="AO243" s="36">
        <f t="shared" si="908"/>
        <v>0</v>
      </c>
      <c r="AP243" s="36">
        <f t="shared" si="908"/>
        <v>0</v>
      </c>
      <c r="AQ243" s="36">
        <f t="shared" si="881"/>
        <v>0</v>
      </c>
      <c r="AR243" s="36">
        <f t="shared" si="813"/>
        <v>0</v>
      </c>
      <c r="AS243" s="31" t="str">
        <f t="shared" si="749"/>
        <v>SimulationStorage,1,</v>
      </c>
      <c r="AT243" s="31" t="str">
        <f t="shared" si="750"/>
        <v>AnalysisStorage,1,</v>
      </c>
      <c r="AU243" s="31" t="str">
        <f t="shared" si="751"/>
        <v>LogRuleEvaluation,0,</v>
      </c>
      <c r="AV243" s="31" t="str">
        <f t="shared" si="752"/>
        <v>ParallelSimulations,1,</v>
      </c>
      <c r="AW243" s="31" t="str">
        <f t="shared" si="753"/>
        <v>DurationStats,0,</v>
      </c>
      <c r="AX243" s="31" t="str">
        <f t="shared" si="754"/>
        <v>AnalysisThruStep,8,</v>
      </c>
      <c r="AY243" s="31" t="str">
        <f t="shared" si="755"/>
        <v>DontAbortOnErrorsThruStep,8,</v>
      </c>
      <c r="AZ243" s="31" t="str">
        <f t="shared" si="756"/>
        <v>BypassValidFileChecks,1,</v>
      </c>
      <c r="BA243" s="31" t="str">
        <f t="shared" si="757"/>
        <v>BypassInputChecks,0,</v>
      </c>
      <c r="BB243" s="31" t="str">
        <f t="shared" si="758"/>
        <v>BypassUMLHChecks,0,</v>
      </c>
      <c r="BC243" s="31" t="str">
        <f t="shared" si="759"/>
        <v>BypassCheckSimRules,0,</v>
      </c>
      <c r="BD243" s="31" t="str">
        <f t="shared" si="760"/>
        <v>BypassCheckCodeRules,0,</v>
      </c>
      <c r="BE243" s="31" t="str">
        <f t="shared" si="718"/>
        <v>StoreResultsToModelInput,1,</v>
      </c>
      <c r="BF243" s="31" t="str">
        <f t="shared" si="719"/>
        <v>StoreBEMDetails,0,</v>
      </c>
      <c r="BG243" s="31" t="str">
        <f t="shared" si="720"/>
        <v>ModelRpt_ALL,1,</v>
      </c>
      <c r="BH243" s="31" t="str">
        <f t="shared" si="721"/>
        <v>ExportHourlyResults_All,0,</v>
      </c>
      <c r="BI243" s="31" t="str">
        <f t="shared" si="722"/>
        <v>ComplianceReportPDF,0,</v>
      </c>
      <c r="BJ243" s="31" t="str">
        <f t="shared" si="723"/>
        <v>ComplianceReportXML,0,</v>
      </c>
      <c r="BK243" s="31" t="str">
        <f t="shared" si="724"/>
        <v>QuickAnalysis,0,</v>
      </c>
      <c r="BL243" s="31" t="str">
        <f t="shared" si="724"/>
        <v>PromptUserUMLHWarning,0,</v>
      </c>
      <c r="BM243" s="31" t="str">
        <f t="shared" si="725"/>
        <v>BypassOpenStudio_all,0,</v>
      </c>
      <c r="BN243" s="31" t="str">
        <f t="shared" si="726"/>
        <v>BypassOpenStudio_zp,0,</v>
      </c>
      <c r="BO243" s="31" t="str">
        <f t="shared" si="727"/>
        <v>BypassOpenStudio_zb,0,</v>
      </c>
      <c r="BP243" s="31" t="str">
        <f t="shared" si="728"/>
        <v>BypassOpenStudio_ap,0,</v>
      </c>
      <c r="BQ243" s="31" t="str">
        <f t="shared" si="729"/>
        <v>BypassOpenStudio_ab,0,</v>
      </c>
      <c r="BR243" s="31" t="str">
        <f t="shared" si="730"/>
        <v>BypassOpenStudio_zp,0,</v>
      </c>
      <c r="BS243" s="31" t="str">
        <f t="shared" si="731"/>
        <v>BypassOpenStudio_zb,0,</v>
      </c>
      <c r="BT243" s="31" t="str">
        <f t="shared" si="732"/>
        <v>BypassOpenStudio_ap,0,</v>
      </c>
      <c r="BU243" s="31" t="str">
        <f t="shared" si="733"/>
        <v>BypassOpenStudio_ab,0,</v>
      </c>
    </row>
    <row r="244" spans="1:73" hidden="1" outlineLevel="1" x14ac:dyDescent="0.25">
      <c r="A244" s="39">
        <f t="shared" si="734"/>
        <v>0</v>
      </c>
      <c r="B244" s="27" t="str">
        <f t="shared" si="735"/>
        <v>SoftwareSensitivity2016Tests\DetailedGeometry\x.cibd16</v>
      </c>
      <c r="C244" s="27" t="str">
        <f t="shared" si="736"/>
        <v>BatchOut_171026_r5178_FinalRel-v3-SSTSG_SSTDG\x.cibd16</v>
      </c>
      <c r="D244" s="27" t="str">
        <f t="shared" si="737"/>
        <v>BatchOut_171026_r5178_FinalRel-v3-SSTSG_SSTDG\XML\</v>
      </c>
      <c r="E244" s="9" t="str">
        <f t="shared" si="738"/>
        <v>x</v>
      </c>
      <c r="F244" s="22"/>
      <c r="G244" s="29"/>
      <c r="H244" s="23" t="str">
        <f t="shared" si="739"/>
        <v/>
      </c>
      <c r="I244" s="9" t="s">
        <v>11</v>
      </c>
      <c r="J244"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4" s="15" t="s">
        <v>1</v>
      </c>
      <c r="L244" s="36">
        <f t="shared" si="846"/>
        <v>0</v>
      </c>
      <c r="M244" s="91" t="str">
        <f t="shared" si="740"/>
        <v>x</v>
      </c>
      <c r="N244" s="90" t="s">
        <v>149</v>
      </c>
      <c r="O244" s="28" t="str">
        <f t="shared" si="745"/>
        <v>x</v>
      </c>
      <c r="P244" s="36">
        <f t="shared" si="859"/>
        <v>1</v>
      </c>
      <c r="Q244" s="36">
        <f t="shared" si="859"/>
        <v>1</v>
      </c>
      <c r="R244" s="36">
        <f t="shared" si="859"/>
        <v>0</v>
      </c>
      <c r="S244" s="36">
        <f t="shared" si="859"/>
        <v>1</v>
      </c>
      <c r="T244" s="36">
        <f t="shared" si="859"/>
        <v>0</v>
      </c>
      <c r="U244" s="36">
        <f t="shared" si="859"/>
        <v>8</v>
      </c>
      <c r="V244" s="36">
        <f t="shared" si="859"/>
        <v>8</v>
      </c>
      <c r="W244" s="36">
        <f t="shared" si="859"/>
        <v>1</v>
      </c>
      <c r="X244" s="36">
        <f t="shared" si="859"/>
        <v>0</v>
      </c>
      <c r="Y244" s="36">
        <f t="shared" si="859"/>
        <v>0</v>
      </c>
      <c r="Z244" s="36">
        <f t="shared" si="859"/>
        <v>0</v>
      </c>
      <c r="AA244" s="36">
        <f t="shared" si="859"/>
        <v>0</v>
      </c>
      <c r="AB244" s="36">
        <f t="shared" si="859"/>
        <v>1</v>
      </c>
      <c r="AC244" s="36">
        <f t="shared" si="859"/>
        <v>0</v>
      </c>
      <c r="AD244" s="36">
        <f t="shared" si="859"/>
        <v>1</v>
      </c>
      <c r="AE244" s="36">
        <f t="shared" si="903"/>
        <v>0</v>
      </c>
      <c r="AF244" s="36">
        <f t="shared" si="903"/>
        <v>0</v>
      </c>
      <c r="AG244" s="36">
        <f t="shared" ref="AG244:AH244" si="923">AG243</f>
        <v>0</v>
      </c>
      <c r="AH244" s="36">
        <f t="shared" si="923"/>
        <v>0</v>
      </c>
      <c r="AI244" s="36">
        <f t="shared" ref="AI244" si="924">AI243</f>
        <v>0</v>
      </c>
      <c r="AJ244" s="36">
        <f t="shared" si="859"/>
        <v>0</v>
      </c>
      <c r="AK244" s="36">
        <f t="shared" si="908"/>
        <v>0</v>
      </c>
      <c r="AL244" s="36">
        <f t="shared" si="908"/>
        <v>0</v>
      </c>
      <c r="AM244" s="36">
        <f t="shared" si="908"/>
        <v>0</v>
      </c>
      <c r="AN244" s="36">
        <f t="shared" si="908"/>
        <v>0</v>
      </c>
      <c r="AO244" s="36">
        <f t="shared" si="908"/>
        <v>0</v>
      </c>
      <c r="AP244" s="36">
        <f t="shared" si="908"/>
        <v>0</v>
      </c>
      <c r="AQ244" s="36">
        <f t="shared" si="881"/>
        <v>0</v>
      </c>
      <c r="AR244" s="36">
        <f t="shared" si="813"/>
        <v>0</v>
      </c>
      <c r="AS244" s="31" t="str">
        <f t="shared" si="749"/>
        <v>SimulationStorage,1,</v>
      </c>
      <c r="AT244" s="31" t="str">
        <f t="shared" si="750"/>
        <v>AnalysisStorage,1,</v>
      </c>
      <c r="AU244" s="31" t="str">
        <f t="shared" si="751"/>
        <v>LogRuleEvaluation,0,</v>
      </c>
      <c r="AV244" s="31" t="str">
        <f t="shared" si="752"/>
        <v>ParallelSimulations,1,</v>
      </c>
      <c r="AW244" s="31" t="str">
        <f t="shared" si="753"/>
        <v>DurationStats,0,</v>
      </c>
      <c r="AX244" s="31" t="str">
        <f t="shared" si="754"/>
        <v>AnalysisThruStep,8,</v>
      </c>
      <c r="AY244" s="31" t="str">
        <f t="shared" si="755"/>
        <v>DontAbortOnErrorsThruStep,8,</v>
      </c>
      <c r="AZ244" s="31" t="str">
        <f t="shared" si="756"/>
        <v>BypassValidFileChecks,1,</v>
      </c>
      <c r="BA244" s="31" t="str">
        <f t="shared" si="757"/>
        <v>BypassInputChecks,0,</v>
      </c>
      <c r="BB244" s="31" t="str">
        <f t="shared" si="758"/>
        <v>BypassUMLHChecks,0,</v>
      </c>
      <c r="BC244" s="31" t="str">
        <f t="shared" si="759"/>
        <v>BypassCheckSimRules,0,</v>
      </c>
      <c r="BD244" s="31" t="str">
        <f t="shared" si="760"/>
        <v>BypassCheckCodeRules,0,</v>
      </c>
      <c r="BE244" s="31" t="str">
        <f t="shared" si="718"/>
        <v>StoreResultsToModelInput,1,</v>
      </c>
      <c r="BF244" s="31" t="str">
        <f t="shared" si="719"/>
        <v>StoreBEMDetails,0,</v>
      </c>
      <c r="BG244" s="31" t="str">
        <f t="shared" si="720"/>
        <v>ModelRpt_ALL,1,</v>
      </c>
      <c r="BH244" s="31" t="str">
        <f t="shared" si="721"/>
        <v>ExportHourlyResults_All,0,</v>
      </c>
      <c r="BI244" s="31" t="str">
        <f t="shared" si="722"/>
        <v>ComplianceReportPDF,0,</v>
      </c>
      <c r="BJ244" s="31" t="str">
        <f t="shared" si="723"/>
        <v>ComplianceReportXML,0,</v>
      </c>
      <c r="BK244" s="31" t="str">
        <f t="shared" si="724"/>
        <v>QuickAnalysis,0,</v>
      </c>
      <c r="BL244" s="31" t="str">
        <f t="shared" si="724"/>
        <v>PromptUserUMLHWarning,0,</v>
      </c>
      <c r="BM244" s="31" t="str">
        <f t="shared" si="725"/>
        <v>BypassOpenStudio_all,0,</v>
      </c>
      <c r="BN244" s="31" t="str">
        <f t="shared" si="726"/>
        <v>BypassOpenStudio_zp,0,</v>
      </c>
      <c r="BO244" s="31" t="str">
        <f t="shared" si="727"/>
        <v>BypassOpenStudio_zb,0,</v>
      </c>
      <c r="BP244" s="31" t="str">
        <f t="shared" si="728"/>
        <v>BypassOpenStudio_ap,0,</v>
      </c>
      <c r="BQ244" s="31" t="str">
        <f t="shared" si="729"/>
        <v>BypassOpenStudio_ab,0,</v>
      </c>
      <c r="BR244" s="31" t="str">
        <f t="shared" si="730"/>
        <v>BypassOpenStudio_zp,0,</v>
      </c>
      <c r="BS244" s="31" t="str">
        <f t="shared" si="731"/>
        <v>BypassOpenStudio_zb,0,</v>
      </c>
      <c r="BT244" s="31" t="str">
        <f t="shared" si="732"/>
        <v>BypassOpenStudio_ap,0,</v>
      </c>
      <c r="BU244" s="31" t="str">
        <f t="shared" si="733"/>
        <v>BypassOpenStudio_ab,0,</v>
      </c>
    </row>
    <row r="245" spans="1:73" hidden="1" outlineLevel="1" x14ac:dyDescent="0.25">
      <c r="A245" s="39">
        <f t="shared" si="734"/>
        <v>0</v>
      </c>
      <c r="B245" s="27" t="str">
        <f t="shared" si="735"/>
        <v>SoftwareSensitivity2016Tests\DetailedGeometry\x.cibd16</v>
      </c>
      <c r="C245" s="27" t="str">
        <f t="shared" si="736"/>
        <v>BatchOut_171026_r5178_FinalRel-v3-SSTSG_SSTDG\x.cibd16</v>
      </c>
      <c r="D245" s="27" t="str">
        <f t="shared" si="737"/>
        <v>BatchOut_171026_r5178_FinalRel-v3-SSTSG_SSTDG\XML\</v>
      </c>
      <c r="E245" s="9" t="str">
        <f t="shared" si="738"/>
        <v>x</v>
      </c>
      <c r="F245" s="22"/>
      <c r="G245" s="29"/>
      <c r="H245" s="23" t="str">
        <f t="shared" si="739"/>
        <v/>
      </c>
      <c r="I245" s="9" t="s">
        <v>11</v>
      </c>
      <c r="J245" s="87" t="str">
        <f t="shared" si="71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5" s="15" t="s">
        <v>1</v>
      </c>
      <c r="L245" s="36">
        <f t="shared" si="846"/>
        <v>0</v>
      </c>
      <c r="M245" s="91" t="str">
        <f t="shared" si="740"/>
        <v>x</v>
      </c>
      <c r="N245" s="90" t="s">
        <v>149</v>
      </c>
      <c r="O245" s="28" t="str">
        <f t="shared" si="745"/>
        <v>x</v>
      </c>
      <c r="P245" s="36">
        <f t="shared" si="859"/>
        <v>1</v>
      </c>
      <c r="Q245" s="36">
        <f t="shared" si="859"/>
        <v>1</v>
      </c>
      <c r="R245" s="36">
        <f t="shared" si="859"/>
        <v>0</v>
      </c>
      <c r="S245" s="36">
        <f t="shared" si="859"/>
        <v>1</v>
      </c>
      <c r="T245" s="36">
        <f t="shared" si="859"/>
        <v>0</v>
      </c>
      <c r="U245" s="36">
        <f t="shared" si="859"/>
        <v>8</v>
      </c>
      <c r="V245" s="36">
        <f t="shared" si="859"/>
        <v>8</v>
      </c>
      <c r="W245" s="36">
        <f t="shared" si="859"/>
        <v>1</v>
      </c>
      <c r="X245" s="36">
        <f t="shared" si="859"/>
        <v>0</v>
      </c>
      <c r="Y245" s="36">
        <f t="shared" si="859"/>
        <v>0</v>
      </c>
      <c r="Z245" s="36">
        <f t="shared" si="859"/>
        <v>0</v>
      </c>
      <c r="AA245" s="36">
        <f t="shared" si="859"/>
        <v>0</v>
      </c>
      <c r="AB245" s="36">
        <f t="shared" si="859"/>
        <v>1</v>
      </c>
      <c r="AC245" s="36">
        <f t="shared" si="859"/>
        <v>0</v>
      </c>
      <c r="AD245" s="36">
        <f t="shared" si="859"/>
        <v>1</v>
      </c>
      <c r="AE245" s="36">
        <f t="shared" si="903"/>
        <v>0</v>
      </c>
      <c r="AF245" s="36">
        <f t="shared" si="903"/>
        <v>0</v>
      </c>
      <c r="AG245" s="36">
        <f t="shared" ref="AG245:AH245" si="925">AG244</f>
        <v>0</v>
      </c>
      <c r="AH245" s="36">
        <f t="shared" si="925"/>
        <v>0</v>
      </c>
      <c r="AI245" s="36">
        <f t="shared" ref="AI245" si="926">AI244</f>
        <v>0</v>
      </c>
      <c r="AJ245" s="36">
        <f t="shared" si="859"/>
        <v>0</v>
      </c>
      <c r="AK245" s="36">
        <f t="shared" si="908"/>
        <v>0</v>
      </c>
      <c r="AL245" s="36">
        <f t="shared" si="908"/>
        <v>0</v>
      </c>
      <c r="AM245" s="36">
        <f t="shared" si="908"/>
        <v>0</v>
      </c>
      <c r="AN245" s="36">
        <f t="shared" si="908"/>
        <v>0</v>
      </c>
      <c r="AO245" s="36">
        <f t="shared" si="908"/>
        <v>0</v>
      </c>
      <c r="AP245" s="36">
        <f t="shared" si="908"/>
        <v>0</v>
      </c>
      <c r="AQ245" s="36">
        <f t="shared" si="881"/>
        <v>0</v>
      </c>
      <c r="AR245" s="36">
        <f t="shared" si="813"/>
        <v>0</v>
      </c>
      <c r="AS245" s="31" t="str">
        <f t="shared" si="749"/>
        <v>SimulationStorage,1,</v>
      </c>
      <c r="AT245" s="31" t="str">
        <f t="shared" si="750"/>
        <v>AnalysisStorage,1,</v>
      </c>
      <c r="AU245" s="31" t="str">
        <f t="shared" si="751"/>
        <v>LogRuleEvaluation,0,</v>
      </c>
      <c r="AV245" s="31" t="str">
        <f t="shared" si="752"/>
        <v>ParallelSimulations,1,</v>
      </c>
      <c r="AW245" s="31" t="str">
        <f t="shared" si="753"/>
        <v>DurationStats,0,</v>
      </c>
      <c r="AX245" s="31" t="str">
        <f t="shared" si="754"/>
        <v>AnalysisThruStep,8,</v>
      </c>
      <c r="AY245" s="31" t="str">
        <f t="shared" si="755"/>
        <v>DontAbortOnErrorsThruStep,8,</v>
      </c>
      <c r="AZ245" s="31" t="str">
        <f t="shared" si="756"/>
        <v>BypassValidFileChecks,1,</v>
      </c>
      <c r="BA245" s="31" t="str">
        <f t="shared" si="757"/>
        <v>BypassInputChecks,0,</v>
      </c>
      <c r="BB245" s="31" t="str">
        <f t="shared" si="758"/>
        <v>BypassUMLHChecks,0,</v>
      </c>
      <c r="BC245" s="31" t="str">
        <f t="shared" si="759"/>
        <v>BypassCheckSimRules,0,</v>
      </c>
      <c r="BD245" s="31" t="str">
        <f t="shared" si="760"/>
        <v>BypassCheckCodeRules,0,</v>
      </c>
      <c r="BE245" s="31" t="str">
        <f t="shared" si="718"/>
        <v>StoreResultsToModelInput,1,</v>
      </c>
      <c r="BF245" s="31" t="str">
        <f t="shared" si="719"/>
        <v>StoreBEMDetails,0,</v>
      </c>
      <c r="BG245" s="31" t="str">
        <f t="shared" si="720"/>
        <v>ModelRpt_ALL,1,</v>
      </c>
      <c r="BH245" s="31" t="str">
        <f t="shared" si="721"/>
        <v>ExportHourlyResults_All,0,</v>
      </c>
      <c r="BI245" s="31" t="str">
        <f t="shared" si="722"/>
        <v>ComplianceReportPDF,0,</v>
      </c>
      <c r="BJ245" s="31" t="str">
        <f t="shared" si="723"/>
        <v>ComplianceReportXML,0,</v>
      </c>
      <c r="BK245" s="31" t="str">
        <f t="shared" si="724"/>
        <v>QuickAnalysis,0,</v>
      </c>
      <c r="BL245" s="31" t="str">
        <f t="shared" si="724"/>
        <v>PromptUserUMLHWarning,0,</v>
      </c>
      <c r="BM245" s="31" t="str">
        <f t="shared" si="725"/>
        <v>BypassOpenStudio_all,0,</v>
      </c>
      <c r="BN245" s="31" t="str">
        <f t="shared" si="726"/>
        <v>BypassOpenStudio_zp,0,</v>
      </c>
      <c r="BO245" s="31" t="str">
        <f t="shared" si="727"/>
        <v>BypassOpenStudio_zb,0,</v>
      </c>
      <c r="BP245" s="31" t="str">
        <f t="shared" si="728"/>
        <v>BypassOpenStudio_ap,0,</v>
      </c>
      <c r="BQ245" s="31" t="str">
        <f t="shared" si="729"/>
        <v>BypassOpenStudio_ab,0,</v>
      </c>
      <c r="BR245" s="31" t="str">
        <f t="shared" si="730"/>
        <v>BypassOpenStudio_zp,0,</v>
      </c>
      <c r="BS245" s="31" t="str">
        <f t="shared" si="731"/>
        <v>BypassOpenStudio_zb,0,</v>
      </c>
      <c r="BT245" s="31" t="str">
        <f t="shared" si="732"/>
        <v>BypassOpenStudio_ap,0,</v>
      </c>
      <c r="BU245" s="31" t="str">
        <f t="shared" si="733"/>
        <v>BypassOpenStudio_ab,0,</v>
      </c>
    </row>
    <row r="246" spans="1:73" hidden="1" outlineLevel="1" x14ac:dyDescent="0.25">
      <c r="A246" s="39">
        <f t="shared" si="734"/>
        <v>0</v>
      </c>
      <c r="B246" s="27" t="str">
        <f t="shared" si="735"/>
        <v>SoftwareSensitivity2016Tests\DetailedGeometry\x.cibd16</v>
      </c>
      <c r="C246" s="27" t="str">
        <f t="shared" si="736"/>
        <v>BatchOut_171026_r5178_FinalRel-v3-SSTSG_SSTDG\x.cibd16</v>
      </c>
      <c r="D246" s="27" t="str">
        <f t="shared" si="737"/>
        <v>BatchOut_171026_r5178_FinalRel-v3-SSTSG_SSTDG\XML\</v>
      </c>
      <c r="E246" s="9" t="str">
        <f t="shared" si="738"/>
        <v>x</v>
      </c>
      <c r="F246" s="22"/>
      <c r="G246" s="29"/>
      <c r="H246" s="23" t="str">
        <f t="shared" si="739"/>
        <v/>
      </c>
      <c r="I246" s="9" t="s">
        <v>11</v>
      </c>
      <c r="J246" s="87" t="str">
        <f t="shared" ref="J246:J255" si="927">CONCATENATE(AS246,AT246,AU246,AV246,AW246,AX246,AY246,AZ246,BA246,BB246,BC246,BD246,BE246,BF246,BG246,BH246,BI246,BJ246,BK246,BL246,BM246,BN246,BO246,BP246,BQ246,BR246,BS246,BT246,BU246)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6" s="15" t="s">
        <v>1</v>
      </c>
      <c r="L246" s="36">
        <f t="shared" si="846"/>
        <v>0</v>
      </c>
      <c r="M246" s="91" t="str">
        <f t="shared" si="740"/>
        <v>x</v>
      </c>
      <c r="N246" s="90" t="s">
        <v>149</v>
      </c>
      <c r="O246" s="28" t="str">
        <f t="shared" si="745"/>
        <v>x</v>
      </c>
      <c r="P246" s="36">
        <f t="shared" si="859"/>
        <v>1</v>
      </c>
      <c r="Q246" s="36">
        <f t="shared" si="859"/>
        <v>1</v>
      </c>
      <c r="R246" s="36">
        <f t="shared" si="859"/>
        <v>0</v>
      </c>
      <c r="S246" s="36">
        <f t="shared" si="859"/>
        <v>1</v>
      </c>
      <c r="T246" s="36">
        <f t="shared" si="859"/>
        <v>0</v>
      </c>
      <c r="U246" s="36">
        <f t="shared" ref="U246:AO255" si="928">U245</f>
        <v>8</v>
      </c>
      <c r="V246" s="36">
        <f t="shared" si="928"/>
        <v>8</v>
      </c>
      <c r="W246" s="36">
        <f t="shared" si="928"/>
        <v>1</v>
      </c>
      <c r="X246" s="36">
        <f t="shared" si="928"/>
        <v>0</v>
      </c>
      <c r="Y246" s="36">
        <f t="shared" si="928"/>
        <v>0</v>
      </c>
      <c r="Z246" s="36">
        <f t="shared" si="928"/>
        <v>0</v>
      </c>
      <c r="AA246" s="36">
        <f t="shared" si="928"/>
        <v>0</v>
      </c>
      <c r="AB246" s="36">
        <f t="shared" si="928"/>
        <v>1</v>
      </c>
      <c r="AC246" s="36">
        <f t="shared" si="928"/>
        <v>0</v>
      </c>
      <c r="AD246" s="36">
        <f t="shared" si="928"/>
        <v>1</v>
      </c>
      <c r="AE246" s="36">
        <f t="shared" ref="AE246:AF246" si="929">AE245</f>
        <v>0</v>
      </c>
      <c r="AF246" s="36">
        <f t="shared" si="929"/>
        <v>0</v>
      </c>
      <c r="AG246" s="36">
        <f t="shared" ref="AG246:AH246" si="930">AG245</f>
        <v>0</v>
      </c>
      <c r="AH246" s="36">
        <f t="shared" si="930"/>
        <v>0</v>
      </c>
      <c r="AI246" s="36">
        <f t="shared" ref="AI246" si="931">AI245</f>
        <v>0</v>
      </c>
      <c r="AJ246" s="36">
        <f t="shared" si="928"/>
        <v>0</v>
      </c>
      <c r="AK246" s="36">
        <f t="shared" si="908"/>
        <v>0</v>
      </c>
      <c r="AL246" s="36">
        <f t="shared" si="908"/>
        <v>0</v>
      </c>
      <c r="AM246" s="36">
        <f t="shared" si="908"/>
        <v>0</v>
      </c>
      <c r="AN246" s="36">
        <f t="shared" si="908"/>
        <v>0</v>
      </c>
      <c r="AO246" s="36">
        <f t="shared" si="908"/>
        <v>0</v>
      </c>
      <c r="AP246" s="36">
        <f t="shared" si="908"/>
        <v>0</v>
      </c>
      <c r="AQ246" s="36">
        <f t="shared" si="881"/>
        <v>0</v>
      </c>
      <c r="AR246" s="36">
        <f t="shared" si="813"/>
        <v>0</v>
      </c>
      <c r="AS246" s="31" t="str">
        <f t="shared" si="749"/>
        <v>SimulationStorage,1,</v>
      </c>
      <c r="AT246" s="31" t="str">
        <f t="shared" si="750"/>
        <v>AnalysisStorage,1,</v>
      </c>
      <c r="AU246" s="31" t="str">
        <f t="shared" si="751"/>
        <v>LogRuleEvaluation,0,</v>
      </c>
      <c r="AV246" s="31" t="str">
        <f t="shared" si="752"/>
        <v>ParallelSimulations,1,</v>
      </c>
      <c r="AW246" s="31" t="str">
        <f t="shared" si="753"/>
        <v>DurationStats,0,</v>
      </c>
      <c r="AX246" s="31" t="str">
        <f t="shared" si="754"/>
        <v>AnalysisThruStep,8,</v>
      </c>
      <c r="AY246" s="31" t="str">
        <f t="shared" si="755"/>
        <v>DontAbortOnErrorsThruStep,8,</v>
      </c>
      <c r="AZ246" s="31" t="str">
        <f t="shared" si="756"/>
        <v>BypassValidFileChecks,1,</v>
      </c>
      <c r="BA246" s="31" t="str">
        <f t="shared" si="757"/>
        <v>BypassInputChecks,0,</v>
      </c>
      <c r="BB246" s="31" t="str">
        <f t="shared" si="758"/>
        <v>BypassUMLHChecks,0,</v>
      </c>
      <c r="BC246" s="31" t="str">
        <f t="shared" si="759"/>
        <v>BypassCheckSimRules,0,</v>
      </c>
      <c r="BD246" s="31" t="str">
        <f t="shared" si="760"/>
        <v>BypassCheckCodeRules,0,</v>
      </c>
      <c r="BE246" s="31" t="str">
        <f t="shared" ref="BE246:BE248" si="932">AB$13&amp;AB246&amp;","</f>
        <v>StoreResultsToModelInput,1,</v>
      </c>
      <c r="BF246" s="31" t="str">
        <f t="shared" ref="BF246:BF248" si="933">AC$13&amp;AC246&amp;","</f>
        <v>StoreBEMDetails,0,</v>
      </c>
      <c r="BG246" s="31" t="str">
        <f t="shared" ref="BG246:BG248" si="934">AD$13&amp;AD246&amp;","</f>
        <v>ModelRpt_ALL,1,</v>
      </c>
      <c r="BH246" s="31" t="str">
        <f t="shared" ref="BH246:BH248" si="935">AE$13&amp;AE246&amp;","</f>
        <v>ExportHourlyResults_All,0,</v>
      </c>
      <c r="BI246" s="31" t="str">
        <f t="shared" ref="BI246:BI248" si="936">AF$13&amp;AF246&amp;","</f>
        <v>ComplianceReportPDF,0,</v>
      </c>
      <c r="BJ246" s="31" t="str">
        <f t="shared" ref="BJ246:BJ248" si="937">AG$13&amp;AG246&amp;","</f>
        <v>ComplianceReportXML,0,</v>
      </c>
      <c r="BK246" s="31" t="str">
        <f t="shared" ref="BK246:BL248" si="938">AH$13&amp;AH246&amp;","</f>
        <v>QuickAnalysis,0,</v>
      </c>
      <c r="BL246" s="31" t="str">
        <f t="shared" si="938"/>
        <v>PromptUserUMLHWarning,0,</v>
      </c>
      <c r="BM246" s="31" t="str">
        <f t="shared" ref="BM246:BM248" si="939">AJ$13&amp;AJ246&amp;","</f>
        <v>BypassOpenStudio_all,0,</v>
      </c>
      <c r="BN246" s="31" t="str">
        <f t="shared" ref="BN246:BN248" si="940">AK$13&amp;AK246&amp;","</f>
        <v>BypassOpenStudio_zp,0,</v>
      </c>
      <c r="BO246" s="31" t="str">
        <f t="shared" ref="BO246:BO248" si="941">AL$13&amp;AL246&amp;","</f>
        <v>BypassOpenStudio_zb,0,</v>
      </c>
      <c r="BP246" s="31" t="str">
        <f t="shared" ref="BP246:BP248" si="942">AM$13&amp;AM246&amp;","</f>
        <v>BypassOpenStudio_ap,0,</v>
      </c>
      <c r="BQ246" s="31" t="str">
        <f t="shared" ref="BQ246:BQ248" si="943">AN$13&amp;AN246&amp;","</f>
        <v>BypassOpenStudio_ab,0,</v>
      </c>
      <c r="BR246" s="31" t="str">
        <f t="shared" ref="BR246:BR248" si="944">AO$13&amp;AO246&amp;","</f>
        <v>BypassOpenStudio_zp,0,</v>
      </c>
      <c r="BS246" s="31" t="str">
        <f t="shared" ref="BS246:BS248" si="945">AP$13&amp;AP246&amp;","</f>
        <v>BypassOpenStudio_zb,0,</v>
      </c>
      <c r="BT246" s="31" t="str">
        <f t="shared" ref="BT246:BT248" si="946">AQ$13&amp;AQ246&amp;","</f>
        <v>BypassOpenStudio_ap,0,</v>
      </c>
      <c r="BU246" s="31" t="str">
        <f t="shared" ref="BU246:BU248" si="947">AR$13&amp;AR246&amp;","</f>
        <v>BypassOpenStudio_ab,0,</v>
      </c>
    </row>
    <row r="247" spans="1:73" hidden="1" outlineLevel="1" x14ac:dyDescent="0.25">
      <c r="A247" s="39">
        <f t="shared" ref="A247:A255" si="948">L247</f>
        <v>0</v>
      </c>
      <c r="B247" s="27" t="str">
        <f t="shared" ref="B247:B255" si="949">M$114&amp;N247&amp;".cibd16"</f>
        <v>SoftwareSensitivity2016Tests\DetailedGeometry\x.cibd16</v>
      </c>
      <c r="C247" s="27" t="str">
        <f t="shared" ref="C247:C255" si="950" xml:space="preserve"> M$115 &amp; O247 &amp; ".cibd16"</f>
        <v>BatchOut_171026_r5178_FinalRel-v3-SSTSG_SSTDG\x.cibd16</v>
      </c>
      <c r="D247" s="27" t="str">
        <f t="shared" ref="D247:D255" si="951">$M$116</f>
        <v>BatchOut_171026_r5178_FinalRel-v3-SSTSG_SSTDG\XML\</v>
      </c>
      <c r="E247" s="9" t="str">
        <f t="shared" ref="E247:E255" si="952">M247</f>
        <v>x</v>
      </c>
      <c r="F247" s="22"/>
      <c r="G247" s="29"/>
      <c r="H247" s="23" t="str">
        <f t="shared" ref="H247:H255" si="953">IF(F247&gt;1,1,"")</f>
        <v/>
      </c>
      <c r="I247" s="9" t="s">
        <v>11</v>
      </c>
      <c r="J247"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7" s="15" t="s">
        <v>1</v>
      </c>
      <c r="L247" s="36">
        <f t="shared" si="846"/>
        <v>0</v>
      </c>
      <c r="M247" s="91" t="str">
        <f t="shared" ref="M247:M255" si="954">N247</f>
        <v>x</v>
      </c>
      <c r="N247" s="90" t="s">
        <v>149</v>
      </c>
      <c r="O247" s="28" t="str">
        <f t="shared" si="745"/>
        <v>x</v>
      </c>
      <c r="P247" s="36">
        <f t="shared" ref="P247:T255" si="955">P246</f>
        <v>1</v>
      </c>
      <c r="Q247" s="36">
        <f t="shared" si="955"/>
        <v>1</v>
      </c>
      <c r="R247" s="36">
        <f t="shared" si="955"/>
        <v>0</v>
      </c>
      <c r="S247" s="36">
        <f t="shared" si="955"/>
        <v>1</v>
      </c>
      <c r="T247" s="36">
        <f t="shared" si="955"/>
        <v>0</v>
      </c>
      <c r="U247" s="36">
        <f t="shared" si="928"/>
        <v>8</v>
      </c>
      <c r="V247" s="36">
        <f t="shared" si="928"/>
        <v>8</v>
      </c>
      <c r="W247" s="36">
        <f t="shared" si="928"/>
        <v>1</v>
      </c>
      <c r="X247" s="36">
        <f t="shared" si="928"/>
        <v>0</v>
      </c>
      <c r="Y247" s="36">
        <f t="shared" si="928"/>
        <v>0</v>
      </c>
      <c r="Z247" s="36">
        <f t="shared" si="928"/>
        <v>0</v>
      </c>
      <c r="AA247" s="36">
        <f t="shared" si="928"/>
        <v>0</v>
      </c>
      <c r="AB247" s="36">
        <f t="shared" si="928"/>
        <v>1</v>
      </c>
      <c r="AC247" s="36">
        <f t="shared" si="928"/>
        <v>0</v>
      </c>
      <c r="AD247" s="36">
        <f t="shared" si="928"/>
        <v>1</v>
      </c>
      <c r="AE247" s="36">
        <f t="shared" ref="AE247:AF247" si="956">AE246</f>
        <v>0</v>
      </c>
      <c r="AF247" s="36">
        <f t="shared" si="956"/>
        <v>0</v>
      </c>
      <c r="AG247" s="36">
        <f t="shared" ref="AG247:AH247" si="957">AG246</f>
        <v>0</v>
      </c>
      <c r="AH247" s="36">
        <f t="shared" si="957"/>
        <v>0</v>
      </c>
      <c r="AI247" s="36">
        <f t="shared" ref="AI247" si="958">AI246</f>
        <v>0</v>
      </c>
      <c r="AJ247" s="36">
        <f t="shared" si="928"/>
        <v>0</v>
      </c>
      <c r="AK247" s="36">
        <f t="shared" si="908"/>
        <v>0</v>
      </c>
      <c r="AL247" s="36">
        <f t="shared" si="908"/>
        <v>0</v>
      </c>
      <c r="AM247" s="36">
        <f t="shared" si="908"/>
        <v>0</v>
      </c>
      <c r="AN247" s="36">
        <f t="shared" si="908"/>
        <v>0</v>
      </c>
      <c r="AO247" s="36">
        <f t="shared" si="908"/>
        <v>0</v>
      </c>
      <c r="AP247" s="36">
        <f t="shared" si="908"/>
        <v>0</v>
      </c>
      <c r="AQ247" s="36">
        <f t="shared" si="881"/>
        <v>0</v>
      </c>
      <c r="AR247" s="36">
        <f t="shared" si="813"/>
        <v>0</v>
      </c>
      <c r="AS247" s="31" t="str">
        <f t="shared" si="749"/>
        <v>SimulationStorage,1,</v>
      </c>
      <c r="AT247" s="31" t="str">
        <f t="shared" si="750"/>
        <v>AnalysisStorage,1,</v>
      </c>
      <c r="AU247" s="31" t="str">
        <f t="shared" si="751"/>
        <v>LogRuleEvaluation,0,</v>
      </c>
      <c r="AV247" s="31" t="str">
        <f t="shared" si="752"/>
        <v>ParallelSimulations,1,</v>
      </c>
      <c r="AW247" s="31" t="str">
        <f t="shared" si="753"/>
        <v>DurationStats,0,</v>
      </c>
      <c r="AX247" s="31" t="str">
        <f t="shared" si="754"/>
        <v>AnalysisThruStep,8,</v>
      </c>
      <c r="AY247" s="31" t="str">
        <f t="shared" si="755"/>
        <v>DontAbortOnErrorsThruStep,8,</v>
      </c>
      <c r="AZ247" s="31" t="str">
        <f t="shared" si="756"/>
        <v>BypassValidFileChecks,1,</v>
      </c>
      <c r="BA247" s="31" t="str">
        <f t="shared" si="757"/>
        <v>BypassInputChecks,0,</v>
      </c>
      <c r="BB247" s="31" t="str">
        <f t="shared" si="758"/>
        <v>BypassUMLHChecks,0,</v>
      </c>
      <c r="BC247" s="31" t="str">
        <f t="shared" si="759"/>
        <v>BypassCheckSimRules,0,</v>
      </c>
      <c r="BD247" s="31" t="str">
        <f t="shared" si="760"/>
        <v>BypassCheckCodeRules,0,</v>
      </c>
      <c r="BE247" s="31" t="str">
        <f t="shared" si="932"/>
        <v>StoreResultsToModelInput,1,</v>
      </c>
      <c r="BF247" s="31" t="str">
        <f t="shared" si="933"/>
        <v>StoreBEMDetails,0,</v>
      </c>
      <c r="BG247" s="31" t="str">
        <f t="shared" si="934"/>
        <v>ModelRpt_ALL,1,</v>
      </c>
      <c r="BH247" s="31" t="str">
        <f t="shared" si="935"/>
        <v>ExportHourlyResults_All,0,</v>
      </c>
      <c r="BI247" s="31" t="str">
        <f t="shared" si="936"/>
        <v>ComplianceReportPDF,0,</v>
      </c>
      <c r="BJ247" s="31" t="str">
        <f t="shared" si="937"/>
        <v>ComplianceReportXML,0,</v>
      </c>
      <c r="BK247" s="31" t="str">
        <f t="shared" si="938"/>
        <v>QuickAnalysis,0,</v>
      </c>
      <c r="BL247" s="31" t="str">
        <f t="shared" si="938"/>
        <v>PromptUserUMLHWarning,0,</v>
      </c>
      <c r="BM247" s="31" t="str">
        <f t="shared" si="939"/>
        <v>BypassOpenStudio_all,0,</v>
      </c>
      <c r="BN247" s="31" t="str">
        <f t="shared" si="940"/>
        <v>BypassOpenStudio_zp,0,</v>
      </c>
      <c r="BO247" s="31" t="str">
        <f t="shared" si="941"/>
        <v>BypassOpenStudio_zb,0,</v>
      </c>
      <c r="BP247" s="31" t="str">
        <f t="shared" si="942"/>
        <v>BypassOpenStudio_ap,0,</v>
      </c>
      <c r="BQ247" s="31" t="str">
        <f t="shared" si="943"/>
        <v>BypassOpenStudio_ab,0,</v>
      </c>
      <c r="BR247" s="31" t="str">
        <f t="shared" si="944"/>
        <v>BypassOpenStudio_zp,0,</v>
      </c>
      <c r="BS247" s="31" t="str">
        <f t="shared" si="945"/>
        <v>BypassOpenStudio_zb,0,</v>
      </c>
      <c r="BT247" s="31" t="str">
        <f t="shared" si="946"/>
        <v>BypassOpenStudio_ap,0,</v>
      </c>
      <c r="BU247" s="31" t="str">
        <f t="shared" si="947"/>
        <v>BypassOpenStudio_ab,0,</v>
      </c>
    </row>
    <row r="248" spans="1:73" hidden="1" outlineLevel="1" x14ac:dyDescent="0.25">
      <c r="A248" s="39">
        <f t="shared" si="948"/>
        <v>0</v>
      </c>
      <c r="B248" s="27" t="str">
        <f t="shared" si="949"/>
        <v>SoftwareSensitivity2016Tests\DetailedGeometry\x.cibd16</v>
      </c>
      <c r="C248" s="27" t="str">
        <f t="shared" si="950"/>
        <v>BatchOut_171026_r5178_FinalRel-v3-SSTSG_SSTDG\x.cibd16</v>
      </c>
      <c r="D248" s="27" t="str">
        <f t="shared" si="951"/>
        <v>BatchOut_171026_r5178_FinalRel-v3-SSTSG_SSTDG\XML\</v>
      </c>
      <c r="E248" s="9" t="str">
        <f t="shared" si="952"/>
        <v>x</v>
      </c>
      <c r="F248" s="22"/>
      <c r="G248" s="29"/>
      <c r="H248" s="23" t="str">
        <f t="shared" si="953"/>
        <v/>
      </c>
      <c r="I248" s="9" t="s">
        <v>11</v>
      </c>
      <c r="J248"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8" s="15" t="s">
        <v>1</v>
      </c>
      <c r="L248" s="36">
        <f t="shared" ref="L248:L255" si="959">L247</f>
        <v>0</v>
      </c>
      <c r="M248" s="91" t="str">
        <f t="shared" si="954"/>
        <v>x</v>
      </c>
      <c r="N248" s="90" t="s">
        <v>149</v>
      </c>
      <c r="O248" s="28" t="str">
        <f t="shared" ref="O248:O255" si="960">N248</f>
        <v>x</v>
      </c>
      <c r="P248" s="36">
        <f t="shared" si="955"/>
        <v>1</v>
      </c>
      <c r="Q248" s="36">
        <f t="shared" si="955"/>
        <v>1</v>
      </c>
      <c r="R248" s="36">
        <f t="shared" si="955"/>
        <v>0</v>
      </c>
      <c r="S248" s="36">
        <f t="shared" si="955"/>
        <v>1</v>
      </c>
      <c r="T248" s="36">
        <f t="shared" si="955"/>
        <v>0</v>
      </c>
      <c r="U248" s="36">
        <f t="shared" si="928"/>
        <v>8</v>
      </c>
      <c r="V248" s="36">
        <f t="shared" si="928"/>
        <v>8</v>
      </c>
      <c r="W248" s="36">
        <f t="shared" si="928"/>
        <v>1</v>
      </c>
      <c r="X248" s="36">
        <f t="shared" si="928"/>
        <v>0</v>
      </c>
      <c r="Y248" s="36">
        <f t="shared" si="928"/>
        <v>0</v>
      </c>
      <c r="Z248" s="36">
        <f t="shared" si="928"/>
        <v>0</v>
      </c>
      <c r="AA248" s="36">
        <f t="shared" si="928"/>
        <v>0</v>
      </c>
      <c r="AB248" s="36">
        <f t="shared" si="928"/>
        <v>1</v>
      </c>
      <c r="AC248" s="36">
        <f t="shared" si="928"/>
        <v>0</v>
      </c>
      <c r="AD248" s="36">
        <f t="shared" si="928"/>
        <v>1</v>
      </c>
      <c r="AE248" s="36">
        <f t="shared" ref="AE248:AF248" si="961">AE247</f>
        <v>0</v>
      </c>
      <c r="AF248" s="36">
        <f t="shared" si="961"/>
        <v>0</v>
      </c>
      <c r="AG248" s="36">
        <f t="shared" ref="AG248:AH248" si="962">AG247</f>
        <v>0</v>
      </c>
      <c r="AH248" s="36">
        <f t="shared" si="962"/>
        <v>0</v>
      </c>
      <c r="AI248" s="36">
        <f t="shared" ref="AI248" si="963">AI247</f>
        <v>0</v>
      </c>
      <c r="AJ248" s="36">
        <f t="shared" si="928"/>
        <v>0</v>
      </c>
      <c r="AK248" s="36">
        <f t="shared" si="908"/>
        <v>0</v>
      </c>
      <c r="AL248" s="36">
        <f t="shared" si="908"/>
        <v>0</v>
      </c>
      <c r="AM248" s="36">
        <f t="shared" si="908"/>
        <v>0</v>
      </c>
      <c r="AN248" s="36">
        <f t="shared" si="908"/>
        <v>0</v>
      </c>
      <c r="AO248" s="36">
        <f t="shared" si="908"/>
        <v>0</v>
      </c>
      <c r="AP248" s="36">
        <f t="shared" si="908"/>
        <v>0</v>
      </c>
      <c r="AQ248" s="36">
        <f t="shared" si="881"/>
        <v>0</v>
      </c>
      <c r="AR248" s="36">
        <f t="shared" si="813"/>
        <v>0</v>
      </c>
      <c r="AS248" s="31" t="str">
        <f t="shared" ref="AS248:AS255" si="964">P$13&amp;P248&amp;","</f>
        <v>SimulationStorage,1,</v>
      </c>
      <c r="AT248" s="31" t="str">
        <f t="shared" ref="AT248:AT255" si="965">Q$13&amp;Q248&amp;","</f>
        <v>AnalysisStorage,1,</v>
      </c>
      <c r="AU248" s="31" t="str">
        <f t="shared" ref="AU248:AU255" si="966">R$13&amp;R248&amp;","</f>
        <v>LogRuleEvaluation,0,</v>
      </c>
      <c r="AV248" s="31" t="str">
        <f t="shared" ref="AV248:AV255" si="967">S$13&amp;S248&amp;","</f>
        <v>ParallelSimulations,1,</v>
      </c>
      <c r="AW248" s="31" t="str">
        <f t="shared" ref="AW248:AW255" si="968">T$13&amp;T248&amp;","</f>
        <v>DurationStats,0,</v>
      </c>
      <c r="AX248" s="31" t="str">
        <f t="shared" ref="AX248:AX255" si="969">U$13&amp;U248&amp;","</f>
        <v>AnalysisThruStep,8,</v>
      </c>
      <c r="AY248" s="31" t="str">
        <f t="shared" ref="AY248:AY255" si="970">V$13&amp;V248&amp;","</f>
        <v>DontAbortOnErrorsThruStep,8,</v>
      </c>
      <c r="AZ248" s="31" t="str">
        <f t="shared" ref="AZ248:AZ255" si="971">W$13&amp;W248&amp;","</f>
        <v>BypassValidFileChecks,1,</v>
      </c>
      <c r="BA248" s="31" t="str">
        <f t="shared" ref="BA248:BA255" si="972">X$13&amp;X248&amp;","</f>
        <v>BypassInputChecks,0,</v>
      </c>
      <c r="BB248" s="31" t="str">
        <f t="shared" ref="BB248:BB255" si="973">Y$13&amp;Y248&amp;","</f>
        <v>BypassUMLHChecks,0,</v>
      </c>
      <c r="BC248" s="31" t="str">
        <f t="shared" ref="BC248:BC255" si="974">Z$13&amp;Z248&amp;","</f>
        <v>BypassCheckSimRules,0,</v>
      </c>
      <c r="BD248" s="31" t="str">
        <f t="shared" ref="BD248" si="975">AA$13&amp;AA248&amp;","</f>
        <v>BypassCheckCodeRules,0,</v>
      </c>
      <c r="BE248" s="31" t="str">
        <f t="shared" si="932"/>
        <v>StoreResultsToModelInput,1,</v>
      </c>
      <c r="BF248" s="31" t="str">
        <f t="shared" si="933"/>
        <v>StoreBEMDetails,0,</v>
      </c>
      <c r="BG248" s="31" t="str">
        <f t="shared" si="934"/>
        <v>ModelRpt_ALL,1,</v>
      </c>
      <c r="BH248" s="31" t="str">
        <f t="shared" si="935"/>
        <v>ExportHourlyResults_All,0,</v>
      </c>
      <c r="BI248" s="31" t="str">
        <f t="shared" si="936"/>
        <v>ComplianceReportPDF,0,</v>
      </c>
      <c r="BJ248" s="31" t="str">
        <f t="shared" si="937"/>
        <v>ComplianceReportXML,0,</v>
      </c>
      <c r="BK248" s="31" t="str">
        <f t="shared" si="938"/>
        <v>QuickAnalysis,0,</v>
      </c>
      <c r="BL248" s="31" t="str">
        <f t="shared" si="938"/>
        <v>PromptUserUMLHWarning,0,</v>
      </c>
      <c r="BM248" s="31" t="str">
        <f t="shared" si="939"/>
        <v>BypassOpenStudio_all,0,</v>
      </c>
      <c r="BN248" s="31" t="str">
        <f t="shared" si="940"/>
        <v>BypassOpenStudio_zp,0,</v>
      </c>
      <c r="BO248" s="31" t="str">
        <f t="shared" si="941"/>
        <v>BypassOpenStudio_zb,0,</v>
      </c>
      <c r="BP248" s="31" t="str">
        <f t="shared" si="942"/>
        <v>BypassOpenStudio_ap,0,</v>
      </c>
      <c r="BQ248" s="31" t="str">
        <f t="shared" si="943"/>
        <v>BypassOpenStudio_ab,0,</v>
      </c>
      <c r="BR248" s="31" t="str">
        <f t="shared" si="944"/>
        <v>BypassOpenStudio_zp,0,</v>
      </c>
      <c r="BS248" s="31" t="str">
        <f t="shared" si="945"/>
        <v>BypassOpenStudio_zb,0,</v>
      </c>
      <c r="BT248" s="31" t="str">
        <f t="shared" si="946"/>
        <v>BypassOpenStudio_ap,0,</v>
      </c>
      <c r="BU248" s="31" t="str">
        <f t="shared" si="947"/>
        <v>BypassOpenStudio_ab,0,</v>
      </c>
    </row>
    <row r="249" spans="1:73" hidden="1" outlineLevel="1" x14ac:dyDescent="0.25">
      <c r="A249" s="39">
        <f t="shared" si="948"/>
        <v>0</v>
      </c>
      <c r="B249" s="27" t="str">
        <f t="shared" si="949"/>
        <v>SoftwareSensitivity2016Tests\DetailedGeometry\x.cibd16</v>
      </c>
      <c r="C249" s="27" t="str">
        <f t="shared" si="950"/>
        <v>BatchOut_171026_r5178_FinalRel-v3-SSTSG_SSTDG\x.cibd16</v>
      </c>
      <c r="D249" s="27" t="str">
        <f t="shared" si="951"/>
        <v>BatchOut_171026_r5178_FinalRel-v3-SSTSG_SSTDG\XML\</v>
      </c>
      <c r="E249" s="9" t="str">
        <f t="shared" si="952"/>
        <v>x</v>
      </c>
      <c r="F249" s="22"/>
      <c r="G249" s="29"/>
      <c r="H249" s="23" t="str">
        <f t="shared" si="953"/>
        <v/>
      </c>
      <c r="I249" s="9" t="s">
        <v>11</v>
      </c>
      <c r="J249"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9" s="15" t="s">
        <v>1</v>
      </c>
      <c r="L249" s="36">
        <f t="shared" si="959"/>
        <v>0</v>
      </c>
      <c r="M249" s="91" t="str">
        <f t="shared" si="954"/>
        <v>x</v>
      </c>
      <c r="N249" s="90" t="s">
        <v>149</v>
      </c>
      <c r="O249" s="28" t="str">
        <f t="shared" si="960"/>
        <v>x</v>
      </c>
      <c r="P249" s="36">
        <f t="shared" si="955"/>
        <v>1</v>
      </c>
      <c r="Q249" s="36">
        <f t="shared" si="955"/>
        <v>1</v>
      </c>
      <c r="R249" s="36">
        <f t="shared" si="955"/>
        <v>0</v>
      </c>
      <c r="S249" s="36">
        <f t="shared" si="955"/>
        <v>1</v>
      </c>
      <c r="T249" s="36">
        <f t="shared" si="955"/>
        <v>0</v>
      </c>
      <c r="U249" s="36">
        <f t="shared" si="928"/>
        <v>8</v>
      </c>
      <c r="V249" s="36">
        <f t="shared" si="928"/>
        <v>8</v>
      </c>
      <c r="W249" s="36">
        <f t="shared" si="928"/>
        <v>1</v>
      </c>
      <c r="X249" s="36">
        <f t="shared" si="928"/>
        <v>0</v>
      </c>
      <c r="Y249" s="36">
        <f t="shared" si="928"/>
        <v>0</v>
      </c>
      <c r="Z249" s="36">
        <f t="shared" si="928"/>
        <v>0</v>
      </c>
      <c r="AA249" s="36">
        <f t="shared" si="928"/>
        <v>0</v>
      </c>
      <c r="AB249" s="36">
        <f t="shared" si="928"/>
        <v>1</v>
      </c>
      <c r="AC249" s="36">
        <f t="shared" si="928"/>
        <v>0</v>
      </c>
      <c r="AD249" s="36">
        <f t="shared" si="928"/>
        <v>1</v>
      </c>
      <c r="AE249" s="36">
        <f t="shared" ref="AE249:AF249" si="976">AE248</f>
        <v>0</v>
      </c>
      <c r="AF249" s="36">
        <f t="shared" si="976"/>
        <v>0</v>
      </c>
      <c r="AG249" s="36">
        <f t="shared" ref="AG249:AH249" si="977">AG248</f>
        <v>0</v>
      </c>
      <c r="AH249" s="36">
        <f t="shared" si="977"/>
        <v>0</v>
      </c>
      <c r="AI249" s="36">
        <f t="shared" ref="AI249" si="978">AI248</f>
        <v>0</v>
      </c>
      <c r="AJ249" s="36">
        <f t="shared" si="928"/>
        <v>0</v>
      </c>
      <c r="AK249" s="36">
        <f t="shared" si="908"/>
        <v>0</v>
      </c>
      <c r="AL249" s="36">
        <f t="shared" si="908"/>
        <v>0</v>
      </c>
      <c r="AM249" s="36">
        <f t="shared" si="908"/>
        <v>0</v>
      </c>
      <c r="AN249" s="36">
        <f t="shared" si="908"/>
        <v>0</v>
      </c>
      <c r="AO249" s="36">
        <f t="shared" si="908"/>
        <v>0</v>
      </c>
      <c r="AP249" s="36">
        <f t="shared" si="908"/>
        <v>0</v>
      </c>
      <c r="AQ249" s="36">
        <f t="shared" si="881"/>
        <v>0</v>
      </c>
      <c r="AR249" s="36">
        <f t="shared" si="813"/>
        <v>0</v>
      </c>
      <c r="AS249" s="31" t="str">
        <f t="shared" si="964"/>
        <v>SimulationStorage,1,</v>
      </c>
      <c r="AT249" s="31" t="str">
        <f t="shared" si="965"/>
        <v>AnalysisStorage,1,</v>
      </c>
      <c r="AU249" s="31" t="str">
        <f t="shared" si="966"/>
        <v>LogRuleEvaluation,0,</v>
      </c>
      <c r="AV249" s="31" t="str">
        <f t="shared" si="967"/>
        <v>ParallelSimulations,1,</v>
      </c>
      <c r="AW249" s="31" t="str">
        <f t="shared" si="968"/>
        <v>DurationStats,0,</v>
      </c>
      <c r="AX249" s="31" t="str">
        <f t="shared" si="969"/>
        <v>AnalysisThruStep,8,</v>
      </c>
      <c r="AY249" s="31" t="str">
        <f t="shared" si="970"/>
        <v>DontAbortOnErrorsThruStep,8,</v>
      </c>
      <c r="AZ249" s="31" t="str">
        <f t="shared" si="971"/>
        <v>BypassValidFileChecks,1,</v>
      </c>
      <c r="BA249" s="31" t="str">
        <f t="shared" si="972"/>
        <v>BypassInputChecks,0,</v>
      </c>
      <c r="BB249" s="31" t="str">
        <f t="shared" si="973"/>
        <v>BypassUMLHChecks,0,</v>
      </c>
      <c r="BC249" s="31" t="str">
        <f t="shared" si="974"/>
        <v>BypassCheckSimRules,0,</v>
      </c>
      <c r="BD249" s="31" t="str">
        <f t="shared" ref="BD249:BD255" si="979">AA$13&amp;AA249&amp;","</f>
        <v>BypassCheckCodeRules,0,</v>
      </c>
      <c r="BE249" s="31" t="str">
        <f t="shared" ref="BE249:BE255" si="980">AB$13&amp;AB249&amp;","</f>
        <v>StoreResultsToModelInput,1,</v>
      </c>
      <c r="BF249" s="31" t="str">
        <f t="shared" ref="BF249:BF255" si="981">AC$13&amp;AC249&amp;","</f>
        <v>StoreBEMDetails,0,</v>
      </c>
      <c r="BG249" s="31" t="str">
        <f t="shared" ref="BG249:BG255" si="982">AD$13&amp;AD249&amp;","</f>
        <v>ModelRpt_ALL,1,</v>
      </c>
      <c r="BH249" s="31" t="str">
        <f t="shared" ref="BH249:BH255" si="983">AE$13&amp;AE249&amp;","</f>
        <v>ExportHourlyResults_All,0,</v>
      </c>
      <c r="BI249" s="31" t="str">
        <f t="shared" ref="BI249:BI255" si="984">AF$13&amp;AF249&amp;","</f>
        <v>ComplianceReportPDF,0,</v>
      </c>
      <c r="BJ249" s="31" t="str">
        <f t="shared" ref="BJ249:BJ255" si="985">AG$13&amp;AG249&amp;","</f>
        <v>ComplianceReportXML,0,</v>
      </c>
      <c r="BK249" s="31" t="str">
        <f t="shared" ref="BK249:BL255" si="986">AH$13&amp;AH249&amp;","</f>
        <v>QuickAnalysis,0,</v>
      </c>
      <c r="BL249" s="31" t="str">
        <f t="shared" si="986"/>
        <v>PromptUserUMLHWarning,0,</v>
      </c>
      <c r="BM249" s="31" t="str">
        <f t="shared" ref="BM249:BM255" si="987">AJ$13&amp;AJ249&amp;","</f>
        <v>BypassOpenStudio_all,0,</v>
      </c>
      <c r="BN249" s="31" t="str">
        <f t="shared" ref="BN249:BN255" si="988">AK$13&amp;AK249&amp;","</f>
        <v>BypassOpenStudio_zp,0,</v>
      </c>
      <c r="BO249" s="31" t="str">
        <f t="shared" ref="BO249:BO255" si="989">AL$13&amp;AL249&amp;","</f>
        <v>BypassOpenStudio_zb,0,</v>
      </c>
      <c r="BP249" s="31" t="str">
        <f t="shared" ref="BP249:BP255" si="990">AM$13&amp;AM249&amp;","</f>
        <v>BypassOpenStudio_ap,0,</v>
      </c>
      <c r="BQ249" s="31" t="str">
        <f t="shared" ref="BQ249:BQ255" si="991">AN$13&amp;AN249&amp;","</f>
        <v>BypassOpenStudio_ab,0,</v>
      </c>
      <c r="BR249" s="31" t="str">
        <f t="shared" ref="BR249:BR255" si="992">AO$13&amp;AO249&amp;","</f>
        <v>BypassOpenStudio_zp,0,</v>
      </c>
      <c r="BS249" s="31" t="str">
        <f t="shared" ref="BS249:BS255" si="993">AP$13&amp;AP249&amp;","</f>
        <v>BypassOpenStudio_zb,0,</v>
      </c>
      <c r="BT249" s="31" t="str">
        <f t="shared" ref="BT249:BT255" si="994">AQ$13&amp;AQ249&amp;","</f>
        <v>BypassOpenStudio_ap,0,</v>
      </c>
      <c r="BU249" s="31" t="str">
        <f t="shared" ref="BU249:BU255" si="995">AR$13&amp;AR249&amp;","</f>
        <v>BypassOpenStudio_ab,0,</v>
      </c>
    </row>
    <row r="250" spans="1:73" hidden="1" outlineLevel="1" x14ac:dyDescent="0.25">
      <c r="A250" s="39">
        <f t="shared" si="948"/>
        <v>0</v>
      </c>
      <c r="B250" s="27" t="str">
        <f t="shared" si="949"/>
        <v>SoftwareSensitivity2016Tests\DetailedGeometry\x.cibd16</v>
      </c>
      <c r="C250" s="27" t="str">
        <f t="shared" si="950"/>
        <v>BatchOut_171026_r5178_FinalRel-v3-SSTSG_SSTDG\x.cibd16</v>
      </c>
      <c r="D250" s="27" t="str">
        <f t="shared" si="951"/>
        <v>BatchOut_171026_r5178_FinalRel-v3-SSTSG_SSTDG\XML\</v>
      </c>
      <c r="E250" s="9" t="str">
        <f t="shared" si="952"/>
        <v>x</v>
      </c>
      <c r="F250" s="22"/>
      <c r="G250" s="29"/>
      <c r="H250" s="23" t="str">
        <f t="shared" si="953"/>
        <v/>
      </c>
      <c r="I250" s="9" t="s">
        <v>11</v>
      </c>
      <c r="J250"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0" s="15" t="s">
        <v>1</v>
      </c>
      <c r="L250" s="36">
        <f t="shared" si="959"/>
        <v>0</v>
      </c>
      <c r="M250" s="91" t="str">
        <f t="shared" si="954"/>
        <v>x</v>
      </c>
      <c r="N250" s="90" t="s">
        <v>149</v>
      </c>
      <c r="O250" s="28" t="str">
        <f t="shared" si="960"/>
        <v>x</v>
      </c>
      <c r="P250" s="36">
        <f t="shared" si="955"/>
        <v>1</v>
      </c>
      <c r="Q250" s="36">
        <f t="shared" si="955"/>
        <v>1</v>
      </c>
      <c r="R250" s="36">
        <f t="shared" si="955"/>
        <v>0</v>
      </c>
      <c r="S250" s="36">
        <f t="shared" si="955"/>
        <v>1</v>
      </c>
      <c r="T250" s="36">
        <f t="shared" si="955"/>
        <v>0</v>
      </c>
      <c r="U250" s="36">
        <f t="shared" si="928"/>
        <v>8</v>
      </c>
      <c r="V250" s="36">
        <f t="shared" si="928"/>
        <v>8</v>
      </c>
      <c r="W250" s="36">
        <f t="shared" si="928"/>
        <v>1</v>
      </c>
      <c r="X250" s="36">
        <f t="shared" si="928"/>
        <v>0</v>
      </c>
      <c r="Y250" s="36">
        <f t="shared" si="928"/>
        <v>0</v>
      </c>
      <c r="Z250" s="36">
        <f t="shared" si="928"/>
        <v>0</v>
      </c>
      <c r="AA250" s="36">
        <f t="shared" si="928"/>
        <v>0</v>
      </c>
      <c r="AB250" s="36">
        <f t="shared" si="928"/>
        <v>1</v>
      </c>
      <c r="AC250" s="36">
        <f t="shared" si="928"/>
        <v>0</v>
      </c>
      <c r="AD250" s="36">
        <f t="shared" si="928"/>
        <v>1</v>
      </c>
      <c r="AE250" s="36">
        <f t="shared" ref="AE250:AF250" si="996">AE249</f>
        <v>0</v>
      </c>
      <c r="AF250" s="36">
        <f t="shared" si="996"/>
        <v>0</v>
      </c>
      <c r="AG250" s="36">
        <f t="shared" ref="AG250:AH250" si="997">AG249</f>
        <v>0</v>
      </c>
      <c r="AH250" s="36">
        <f t="shared" si="997"/>
        <v>0</v>
      </c>
      <c r="AI250" s="36">
        <f t="shared" ref="AI250" si="998">AI249</f>
        <v>0</v>
      </c>
      <c r="AJ250" s="36">
        <f t="shared" si="928"/>
        <v>0</v>
      </c>
      <c r="AK250" s="36">
        <f t="shared" si="908"/>
        <v>0</v>
      </c>
      <c r="AL250" s="36">
        <f t="shared" si="908"/>
        <v>0</v>
      </c>
      <c r="AM250" s="36">
        <f t="shared" si="908"/>
        <v>0</v>
      </c>
      <c r="AN250" s="36">
        <f t="shared" si="908"/>
        <v>0</v>
      </c>
      <c r="AO250" s="36">
        <f t="shared" si="908"/>
        <v>0</v>
      </c>
      <c r="AP250" s="36">
        <f t="shared" si="908"/>
        <v>0</v>
      </c>
      <c r="AQ250" s="36">
        <f t="shared" si="881"/>
        <v>0</v>
      </c>
      <c r="AR250" s="36">
        <f t="shared" si="813"/>
        <v>0</v>
      </c>
      <c r="AS250" s="31" t="str">
        <f t="shared" si="964"/>
        <v>SimulationStorage,1,</v>
      </c>
      <c r="AT250" s="31" t="str">
        <f t="shared" si="965"/>
        <v>AnalysisStorage,1,</v>
      </c>
      <c r="AU250" s="31" t="str">
        <f t="shared" si="966"/>
        <v>LogRuleEvaluation,0,</v>
      </c>
      <c r="AV250" s="31" t="str">
        <f t="shared" si="967"/>
        <v>ParallelSimulations,1,</v>
      </c>
      <c r="AW250" s="31" t="str">
        <f t="shared" si="968"/>
        <v>DurationStats,0,</v>
      </c>
      <c r="AX250" s="31" t="str">
        <f t="shared" si="969"/>
        <v>AnalysisThruStep,8,</v>
      </c>
      <c r="AY250" s="31" t="str">
        <f t="shared" si="970"/>
        <v>DontAbortOnErrorsThruStep,8,</v>
      </c>
      <c r="AZ250" s="31" t="str">
        <f t="shared" si="971"/>
        <v>BypassValidFileChecks,1,</v>
      </c>
      <c r="BA250" s="31" t="str">
        <f t="shared" si="972"/>
        <v>BypassInputChecks,0,</v>
      </c>
      <c r="BB250" s="31" t="str">
        <f t="shared" si="973"/>
        <v>BypassUMLHChecks,0,</v>
      </c>
      <c r="BC250" s="31" t="str">
        <f t="shared" si="974"/>
        <v>BypassCheckSimRules,0,</v>
      </c>
      <c r="BD250" s="31" t="str">
        <f t="shared" si="979"/>
        <v>BypassCheckCodeRules,0,</v>
      </c>
      <c r="BE250" s="31" t="str">
        <f t="shared" si="980"/>
        <v>StoreResultsToModelInput,1,</v>
      </c>
      <c r="BF250" s="31" t="str">
        <f t="shared" si="981"/>
        <v>StoreBEMDetails,0,</v>
      </c>
      <c r="BG250" s="31" t="str">
        <f t="shared" si="982"/>
        <v>ModelRpt_ALL,1,</v>
      </c>
      <c r="BH250" s="31" t="str">
        <f t="shared" si="983"/>
        <v>ExportHourlyResults_All,0,</v>
      </c>
      <c r="BI250" s="31" t="str">
        <f t="shared" si="984"/>
        <v>ComplianceReportPDF,0,</v>
      </c>
      <c r="BJ250" s="31" t="str">
        <f t="shared" si="985"/>
        <v>ComplianceReportXML,0,</v>
      </c>
      <c r="BK250" s="31" t="str">
        <f t="shared" si="986"/>
        <v>QuickAnalysis,0,</v>
      </c>
      <c r="BL250" s="31" t="str">
        <f t="shared" si="986"/>
        <v>PromptUserUMLHWarning,0,</v>
      </c>
      <c r="BM250" s="31" t="str">
        <f t="shared" si="987"/>
        <v>BypassOpenStudio_all,0,</v>
      </c>
      <c r="BN250" s="31" t="str">
        <f t="shared" si="988"/>
        <v>BypassOpenStudio_zp,0,</v>
      </c>
      <c r="BO250" s="31" t="str">
        <f t="shared" si="989"/>
        <v>BypassOpenStudio_zb,0,</v>
      </c>
      <c r="BP250" s="31" t="str">
        <f t="shared" si="990"/>
        <v>BypassOpenStudio_ap,0,</v>
      </c>
      <c r="BQ250" s="31" t="str">
        <f t="shared" si="991"/>
        <v>BypassOpenStudio_ab,0,</v>
      </c>
      <c r="BR250" s="31" t="str">
        <f t="shared" si="992"/>
        <v>BypassOpenStudio_zp,0,</v>
      </c>
      <c r="BS250" s="31" t="str">
        <f t="shared" si="993"/>
        <v>BypassOpenStudio_zb,0,</v>
      </c>
      <c r="BT250" s="31" t="str">
        <f t="shared" si="994"/>
        <v>BypassOpenStudio_ap,0,</v>
      </c>
      <c r="BU250" s="31" t="str">
        <f t="shared" si="995"/>
        <v>BypassOpenStudio_ab,0,</v>
      </c>
    </row>
    <row r="251" spans="1:73" hidden="1" outlineLevel="1" x14ac:dyDescent="0.25">
      <c r="A251" s="39">
        <f t="shared" si="948"/>
        <v>0</v>
      </c>
      <c r="B251" s="27" t="str">
        <f t="shared" si="949"/>
        <v>SoftwareSensitivity2016Tests\DetailedGeometry\x.cibd16</v>
      </c>
      <c r="C251" s="27" t="str">
        <f t="shared" si="950"/>
        <v>BatchOut_171026_r5178_FinalRel-v3-SSTSG_SSTDG\x.cibd16</v>
      </c>
      <c r="D251" s="27" t="str">
        <f t="shared" si="951"/>
        <v>BatchOut_171026_r5178_FinalRel-v3-SSTSG_SSTDG\XML\</v>
      </c>
      <c r="E251" s="9" t="str">
        <f t="shared" si="952"/>
        <v>x</v>
      </c>
      <c r="F251" s="22"/>
      <c r="G251" s="29"/>
      <c r="H251" s="23" t="str">
        <f t="shared" si="953"/>
        <v/>
      </c>
      <c r="I251" s="9" t="s">
        <v>11</v>
      </c>
      <c r="J251"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1" s="15" t="s">
        <v>1</v>
      </c>
      <c r="L251" s="36">
        <f t="shared" si="959"/>
        <v>0</v>
      </c>
      <c r="M251" s="91" t="str">
        <f t="shared" si="954"/>
        <v>x</v>
      </c>
      <c r="N251" s="90" t="s">
        <v>149</v>
      </c>
      <c r="O251" s="28" t="str">
        <f t="shared" si="960"/>
        <v>x</v>
      </c>
      <c r="P251" s="36">
        <f t="shared" si="955"/>
        <v>1</v>
      </c>
      <c r="Q251" s="36">
        <f t="shared" si="955"/>
        <v>1</v>
      </c>
      <c r="R251" s="36">
        <f t="shared" si="955"/>
        <v>0</v>
      </c>
      <c r="S251" s="36">
        <f t="shared" si="955"/>
        <v>1</v>
      </c>
      <c r="T251" s="36">
        <f t="shared" si="955"/>
        <v>0</v>
      </c>
      <c r="U251" s="36">
        <f t="shared" si="928"/>
        <v>8</v>
      </c>
      <c r="V251" s="36">
        <f t="shared" si="928"/>
        <v>8</v>
      </c>
      <c r="W251" s="36">
        <f t="shared" si="928"/>
        <v>1</v>
      </c>
      <c r="X251" s="36">
        <f t="shared" si="928"/>
        <v>0</v>
      </c>
      <c r="Y251" s="36">
        <f t="shared" si="928"/>
        <v>0</v>
      </c>
      <c r="Z251" s="36">
        <f t="shared" si="928"/>
        <v>0</v>
      </c>
      <c r="AA251" s="36">
        <f t="shared" si="928"/>
        <v>0</v>
      </c>
      <c r="AB251" s="36">
        <f t="shared" si="928"/>
        <v>1</v>
      </c>
      <c r="AC251" s="36">
        <f t="shared" si="928"/>
        <v>0</v>
      </c>
      <c r="AD251" s="36">
        <f t="shared" si="928"/>
        <v>1</v>
      </c>
      <c r="AE251" s="36">
        <f t="shared" ref="AE251:AF251" si="999">AE250</f>
        <v>0</v>
      </c>
      <c r="AF251" s="36">
        <f t="shared" si="999"/>
        <v>0</v>
      </c>
      <c r="AG251" s="36">
        <f t="shared" ref="AG251:AH251" si="1000">AG250</f>
        <v>0</v>
      </c>
      <c r="AH251" s="36">
        <f t="shared" si="1000"/>
        <v>0</v>
      </c>
      <c r="AI251" s="36">
        <f t="shared" ref="AI251" si="1001">AI250</f>
        <v>0</v>
      </c>
      <c r="AJ251" s="36">
        <f t="shared" si="928"/>
        <v>0</v>
      </c>
      <c r="AK251" s="36">
        <f t="shared" si="908"/>
        <v>0</v>
      </c>
      <c r="AL251" s="36">
        <f t="shared" si="908"/>
        <v>0</v>
      </c>
      <c r="AM251" s="36">
        <f t="shared" si="908"/>
        <v>0</v>
      </c>
      <c r="AN251" s="36">
        <f t="shared" si="908"/>
        <v>0</v>
      </c>
      <c r="AO251" s="36">
        <f t="shared" si="908"/>
        <v>0</v>
      </c>
      <c r="AP251" s="36">
        <f t="shared" si="908"/>
        <v>0</v>
      </c>
      <c r="AQ251" s="36">
        <f t="shared" si="881"/>
        <v>0</v>
      </c>
      <c r="AR251" s="36">
        <f t="shared" si="813"/>
        <v>0</v>
      </c>
      <c r="AS251" s="31" t="str">
        <f t="shared" si="964"/>
        <v>SimulationStorage,1,</v>
      </c>
      <c r="AT251" s="31" t="str">
        <f t="shared" si="965"/>
        <v>AnalysisStorage,1,</v>
      </c>
      <c r="AU251" s="31" t="str">
        <f t="shared" si="966"/>
        <v>LogRuleEvaluation,0,</v>
      </c>
      <c r="AV251" s="31" t="str">
        <f t="shared" si="967"/>
        <v>ParallelSimulations,1,</v>
      </c>
      <c r="AW251" s="31" t="str">
        <f t="shared" si="968"/>
        <v>DurationStats,0,</v>
      </c>
      <c r="AX251" s="31" t="str">
        <f t="shared" si="969"/>
        <v>AnalysisThruStep,8,</v>
      </c>
      <c r="AY251" s="31" t="str">
        <f t="shared" si="970"/>
        <v>DontAbortOnErrorsThruStep,8,</v>
      </c>
      <c r="AZ251" s="31" t="str">
        <f t="shared" si="971"/>
        <v>BypassValidFileChecks,1,</v>
      </c>
      <c r="BA251" s="31" t="str">
        <f t="shared" si="972"/>
        <v>BypassInputChecks,0,</v>
      </c>
      <c r="BB251" s="31" t="str">
        <f t="shared" si="973"/>
        <v>BypassUMLHChecks,0,</v>
      </c>
      <c r="BC251" s="31" t="str">
        <f t="shared" si="974"/>
        <v>BypassCheckSimRules,0,</v>
      </c>
      <c r="BD251" s="31" t="str">
        <f t="shared" si="979"/>
        <v>BypassCheckCodeRules,0,</v>
      </c>
      <c r="BE251" s="31" t="str">
        <f t="shared" si="980"/>
        <v>StoreResultsToModelInput,1,</v>
      </c>
      <c r="BF251" s="31" t="str">
        <f t="shared" si="981"/>
        <v>StoreBEMDetails,0,</v>
      </c>
      <c r="BG251" s="31" t="str">
        <f t="shared" si="982"/>
        <v>ModelRpt_ALL,1,</v>
      </c>
      <c r="BH251" s="31" t="str">
        <f t="shared" si="983"/>
        <v>ExportHourlyResults_All,0,</v>
      </c>
      <c r="BI251" s="31" t="str">
        <f t="shared" si="984"/>
        <v>ComplianceReportPDF,0,</v>
      </c>
      <c r="BJ251" s="31" t="str">
        <f t="shared" si="985"/>
        <v>ComplianceReportXML,0,</v>
      </c>
      <c r="BK251" s="31" t="str">
        <f t="shared" si="986"/>
        <v>QuickAnalysis,0,</v>
      </c>
      <c r="BL251" s="31" t="str">
        <f t="shared" si="986"/>
        <v>PromptUserUMLHWarning,0,</v>
      </c>
      <c r="BM251" s="31" t="str">
        <f t="shared" si="987"/>
        <v>BypassOpenStudio_all,0,</v>
      </c>
      <c r="BN251" s="31" t="str">
        <f t="shared" si="988"/>
        <v>BypassOpenStudio_zp,0,</v>
      </c>
      <c r="BO251" s="31" t="str">
        <f t="shared" si="989"/>
        <v>BypassOpenStudio_zb,0,</v>
      </c>
      <c r="BP251" s="31" t="str">
        <f t="shared" si="990"/>
        <v>BypassOpenStudio_ap,0,</v>
      </c>
      <c r="BQ251" s="31" t="str">
        <f t="shared" si="991"/>
        <v>BypassOpenStudio_ab,0,</v>
      </c>
      <c r="BR251" s="31" t="str">
        <f t="shared" si="992"/>
        <v>BypassOpenStudio_zp,0,</v>
      </c>
      <c r="BS251" s="31" t="str">
        <f t="shared" si="993"/>
        <v>BypassOpenStudio_zb,0,</v>
      </c>
      <c r="BT251" s="31" t="str">
        <f t="shared" si="994"/>
        <v>BypassOpenStudio_ap,0,</v>
      </c>
      <c r="BU251" s="31" t="str">
        <f t="shared" si="995"/>
        <v>BypassOpenStudio_ab,0,</v>
      </c>
    </row>
    <row r="252" spans="1:73" hidden="1" outlineLevel="1" x14ac:dyDescent="0.25">
      <c r="A252" s="39">
        <f t="shared" si="948"/>
        <v>0</v>
      </c>
      <c r="B252" s="27" t="str">
        <f t="shared" si="949"/>
        <v>SoftwareSensitivity2016Tests\DetailedGeometry\x.cibd16</v>
      </c>
      <c r="C252" s="27" t="str">
        <f t="shared" si="950"/>
        <v>BatchOut_171026_r5178_FinalRel-v3-SSTSG_SSTDG\x.cibd16</v>
      </c>
      <c r="D252" s="27" t="str">
        <f t="shared" si="951"/>
        <v>BatchOut_171026_r5178_FinalRel-v3-SSTSG_SSTDG\XML\</v>
      </c>
      <c r="E252" s="9" t="str">
        <f t="shared" si="952"/>
        <v>x</v>
      </c>
      <c r="F252" s="22"/>
      <c r="G252" s="29"/>
      <c r="H252" s="23" t="str">
        <f t="shared" si="953"/>
        <v/>
      </c>
      <c r="I252" s="9" t="s">
        <v>11</v>
      </c>
      <c r="J252"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2" s="15" t="s">
        <v>1</v>
      </c>
      <c r="L252" s="36">
        <f t="shared" si="959"/>
        <v>0</v>
      </c>
      <c r="M252" s="91" t="str">
        <f t="shared" si="954"/>
        <v>x</v>
      </c>
      <c r="N252" s="90" t="s">
        <v>149</v>
      </c>
      <c r="O252" s="28" t="str">
        <f t="shared" si="960"/>
        <v>x</v>
      </c>
      <c r="P252" s="36">
        <f t="shared" si="955"/>
        <v>1</v>
      </c>
      <c r="Q252" s="36">
        <f t="shared" si="955"/>
        <v>1</v>
      </c>
      <c r="R252" s="36">
        <f t="shared" si="955"/>
        <v>0</v>
      </c>
      <c r="S252" s="36">
        <f t="shared" si="955"/>
        <v>1</v>
      </c>
      <c r="T252" s="36">
        <f t="shared" si="955"/>
        <v>0</v>
      </c>
      <c r="U252" s="36">
        <f t="shared" si="928"/>
        <v>8</v>
      </c>
      <c r="V252" s="36">
        <f t="shared" si="928"/>
        <v>8</v>
      </c>
      <c r="W252" s="36">
        <f t="shared" si="928"/>
        <v>1</v>
      </c>
      <c r="X252" s="36">
        <f t="shared" si="928"/>
        <v>0</v>
      </c>
      <c r="Y252" s="36">
        <f t="shared" si="928"/>
        <v>0</v>
      </c>
      <c r="Z252" s="36">
        <f t="shared" si="928"/>
        <v>0</v>
      </c>
      <c r="AA252" s="36">
        <f t="shared" si="928"/>
        <v>0</v>
      </c>
      <c r="AB252" s="36">
        <f t="shared" si="928"/>
        <v>1</v>
      </c>
      <c r="AC252" s="36">
        <f t="shared" si="928"/>
        <v>0</v>
      </c>
      <c r="AD252" s="36">
        <f t="shared" si="928"/>
        <v>1</v>
      </c>
      <c r="AE252" s="36">
        <f t="shared" ref="AE252:AF252" si="1002">AE251</f>
        <v>0</v>
      </c>
      <c r="AF252" s="36">
        <f t="shared" si="1002"/>
        <v>0</v>
      </c>
      <c r="AG252" s="36">
        <f t="shared" ref="AG252:AH252" si="1003">AG251</f>
        <v>0</v>
      </c>
      <c r="AH252" s="36">
        <f t="shared" si="1003"/>
        <v>0</v>
      </c>
      <c r="AI252" s="36">
        <f t="shared" ref="AI252" si="1004">AI251</f>
        <v>0</v>
      </c>
      <c r="AJ252" s="36">
        <f t="shared" si="928"/>
        <v>0</v>
      </c>
      <c r="AK252" s="36">
        <f t="shared" si="928"/>
        <v>0</v>
      </c>
      <c r="AL252" s="36">
        <f t="shared" si="928"/>
        <v>0</v>
      </c>
      <c r="AM252" s="36">
        <f t="shared" si="928"/>
        <v>0</v>
      </c>
      <c r="AN252" s="36">
        <f t="shared" si="928"/>
        <v>0</v>
      </c>
      <c r="AO252" s="36">
        <f t="shared" si="928"/>
        <v>0</v>
      </c>
      <c r="AP252" s="36">
        <f t="shared" ref="AP252:AP255" si="1005">AP251</f>
        <v>0</v>
      </c>
      <c r="AQ252" s="36">
        <f t="shared" si="881"/>
        <v>0</v>
      </c>
      <c r="AR252" s="36">
        <f t="shared" si="813"/>
        <v>0</v>
      </c>
      <c r="AS252" s="31" t="str">
        <f t="shared" si="964"/>
        <v>SimulationStorage,1,</v>
      </c>
      <c r="AT252" s="31" t="str">
        <f t="shared" si="965"/>
        <v>AnalysisStorage,1,</v>
      </c>
      <c r="AU252" s="31" t="str">
        <f t="shared" si="966"/>
        <v>LogRuleEvaluation,0,</v>
      </c>
      <c r="AV252" s="31" t="str">
        <f t="shared" si="967"/>
        <v>ParallelSimulations,1,</v>
      </c>
      <c r="AW252" s="31" t="str">
        <f t="shared" si="968"/>
        <v>DurationStats,0,</v>
      </c>
      <c r="AX252" s="31" t="str">
        <f t="shared" si="969"/>
        <v>AnalysisThruStep,8,</v>
      </c>
      <c r="AY252" s="31" t="str">
        <f t="shared" si="970"/>
        <v>DontAbortOnErrorsThruStep,8,</v>
      </c>
      <c r="AZ252" s="31" t="str">
        <f t="shared" si="971"/>
        <v>BypassValidFileChecks,1,</v>
      </c>
      <c r="BA252" s="31" t="str">
        <f t="shared" si="972"/>
        <v>BypassInputChecks,0,</v>
      </c>
      <c r="BB252" s="31" t="str">
        <f t="shared" si="973"/>
        <v>BypassUMLHChecks,0,</v>
      </c>
      <c r="BC252" s="31" t="str">
        <f t="shared" si="974"/>
        <v>BypassCheckSimRules,0,</v>
      </c>
      <c r="BD252" s="31" t="str">
        <f t="shared" si="979"/>
        <v>BypassCheckCodeRules,0,</v>
      </c>
      <c r="BE252" s="31" t="str">
        <f t="shared" si="980"/>
        <v>StoreResultsToModelInput,1,</v>
      </c>
      <c r="BF252" s="31" t="str">
        <f t="shared" si="981"/>
        <v>StoreBEMDetails,0,</v>
      </c>
      <c r="BG252" s="31" t="str">
        <f t="shared" si="982"/>
        <v>ModelRpt_ALL,1,</v>
      </c>
      <c r="BH252" s="31" t="str">
        <f t="shared" si="983"/>
        <v>ExportHourlyResults_All,0,</v>
      </c>
      <c r="BI252" s="31" t="str">
        <f t="shared" si="984"/>
        <v>ComplianceReportPDF,0,</v>
      </c>
      <c r="BJ252" s="31" t="str">
        <f t="shared" si="985"/>
        <v>ComplianceReportXML,0,</v>
      </c>
      <c r="BK252" s="31" t="str">
        <f t="shared" si="986"/>
        <v>QuickAnalysis,0,</v>
      </c>
      <c r="BL252" s="31" t="str">
        <f t="shared" si="986"/>
        <v>PromptUserUMLHWarning,0,</v>
      </c>
      <c r="BM252" s="31" t="str">
        <f t="shared" si="987"/>
        <v>BypassOpenStudio_all,0,</v>
      </c>
      <c r="BN252" s="31" t="str">
        <f t="shared" si="988"/>
        <v>BypassOpenStudio_zp,0,</v>
      </c>
      <c r="BO252" s="31" t="str">
        <f t="shared" si="989"/>
        <v>BypassOpenStudio_zb,0,</v>
      </c>
      <c r="BP252" s="31" t="str">
        <f t="shared" si="990"/>
        <v>BypassOpenStudio_ap,0,</v>
      </c>
      <c r="BQ252" s="31" t="str">
        <f t="shared" si="991"/>
        <v>BypassOpenStudio_ab,0,</v>
      </c>
      <c r="BR252" s="31" t="str">
        <f t="shared" si="992"/>
        <v>BypassOpenStudio_zp,0,</v>
      </c>
      <c r="BS252" s="31" t="str">
        <f t="shared" si="993"/>
        <v>BypassOpenStudio_zb,0,</v>
      </c>
      <c r="BT252" s="31" t="str">
        <f t="shared" si="994"/>
        <v>BypassOpenStudio_ap,0,</v>
      </c>
      <c r="BU252" s="31" t="str">
        <f t="shared" si="995"/>
        <v>BypassOpenStudio_ab,0,</v>
      </c>
    </row>
    <row r="253" spans="1:73" hidden="1" outlineLevel="1" x14ac:dyDescent="0.25">
      <c r="A253" s="39">
        <f t="shared" si="948"/>
        <v>0</v>
      </c>
      <c r="B253" s="27" t="str">
        <f t="shared" si="949"/>
        <v>SoftwareSensitivity2016Tests\DetailedGeometry\x.cibd16</v>
      </c>
      <c r="C253" s="27" t="str">
        <f t="shared" si="950"/>
        <v>BatchOut_171026_r5178_FinalRel-v3-SSTSG_SSTDG\x.cibd16</v>
      </c>
      <c r="D253" s="27" t="str">
        <f t="shared" si="951"/>
        <v>BatchOut_171026_r5178_FinalRel-v3-SSTSG_SSTDG\XML\</v>
      </c>
      <c r="E253" s="9" t="str">
        <f t="shared" si="952"/>
        <v>x</v>
      </c>
      <c r="F253" s="22"/>
      <c r="G253" s="29"/>
      <c r="H253" s="23" t="str">
        <f t="shared" si="953"/>
        <v/>
      </c>
      <c r="I253" s="9" t="s">
        <v>11</v>
      </c>
      <c r="J253"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3" s="15" t="s">
        <v>1</v>
      </c>
      <c r="L253" s="36">
        <v>0</v>
      </c>
      <c r="M253" s="91" t="str">
        <f t="shared" si="954"/>
        <v>x</v>
      </c>
      <c r="N253" s="90" t="s">
        <v>149</v>
      </c>
      <c r="O253" s="28" t="str">
        <f t="shared" si="960"/>
        <v>x</v>
      </c>
      <c r="P253" s="36">
        <f t="shared" si="955"/>
        <v>1</v>
      </c>
      <c r="Q253" s="36">
        <f t="shared" si="955"/>
        <v>1</v>
      </c>
      <c r="R253" s="36">
        <f t="shared" si="955"/>
        <v>0</v>
      </c>
      <c r="S253" s="36">
        <f t="shared" si="955"/>
        <v>1</v>
      </c>
      <c r="T253" s="36">
        <f t="shared" si="955"/>
        <v>0</v>
      </c>
      <c r="U253" s="36">
        <f t="shared" si="928"/>
        <v>8</v>
      </c>
      <c r="V253" s="36">
        <f t="shared" si="928"/>
        <v>8</v>
      </c>
      <c r="W253" s="36">
        <f t="shared" si="928"/>
        <v>1</v>
      </c>
      <c r="X253" s="36">
        <f t="shared" si="928"/>
        <v>0</v>
      </c>
      <c r="Y253" s="36">
        <f t="shared" si="928"/>
        <v>0</v>
      </c>
      <c r="Z253" s="36">
        <f t="shared" si="928"/>
        <v>0</v>
      </c>
      <c r="AA253" s="36">
        <f t="shared" si="928"/>
        <v>0</v>
      </c>
      <c r="AB253" s="36">
        <f t="shared" si="928"/>
        <v>1</v>
      </c>
      <c r="AC253" s="36">
        <f t="shared" si="928"/>
        <v>0</v>
      </c>
      <c r="AD253" s="36">
        <f t="shared" si="928"/>
        <v>1</v>
      </c>
      <c r="AE253" s="36">
        <f t="shared" ref="AE253:AF253" si="1006">AE252</f>
        <v>0</v>
      </c>
      <c r="AF253" s="36">
        <f t="shared" si="1006"/>
        <v>0</v>
      </c>
      <c r="AG253" s="36">
        <f t="shared" ref="AG253:AH253" si="1007">AG252</f>
        <v>0</v>
      </c>
      <c r="AH253" s="36">
        <f t="shared" si="1007"/>
        <v>0</v>
      </c>
      <c r="AI253" s="36">
        <f t="shared" ref="AI253" si="1008">AI252</f>
        <v>0</v>
      </c>
      <c r="AJ253" s="36">
        <f t="shared" si="928"/>
        <v>0</v>
      </c>
      <c r="AK253" s="36">
        <f t="shared" si="928"/>
        <v>0</v>
      </c>
      <c r="AL253" s="36">
        <f t="shared" si="928"/>
        <v>0</v>
      </c>
      <c r="AM253" s="36">
        <f t="shared" si="928"/>
        <v>0</v>
      </c>
      <c r="AN253" s="36">
        <f t="shared" si="928"/>
        <v>0</v>
      </c>
      <c r="AO253" s="36">
        <f t="shared" si="928"/>
        <v>0</v>
      </c>
      <c r="AP253" s="36">
        <f t="shared" si="1005"/>
        <v>0</v>
      </c>
      <c r="AQ253" s="36">
        <f t="shared" si="881"/>
        <v>0</v>
      </c>
      <c r="AR253" s="36">
        <f t="shared" si="813"/>
        <v>0</v>
      </c>
      <c r="AS253" s="31" t="str">
        <f t="shared" si="964"/>
        <v>SimulationStorage,1,</v>
      </c>
      <c r="AT253" s="31" t="str">
        <f t="shared" si="965"/>
        <v>AnalysisStorage,1,</v>
      </c>
      <c r="AU253" s="31" t="str">
        <f t="shared" si="966"/>
        <v>LogRuleEvaluation,0,</v>
      </c>
      <c r="AV253" s="31" t="str">
        <f t="shared" si="967"/>
        <v>ParallelSimulations,1,</v>
      </c>
      <c r="AW253" s="31" t="str">
        <f t="shared" si="968"/>
        <v>DurationStats,0,</v>
      </c>
      <c r="AX253" s="31" t="str">
        <f t="shared" si="969"/>
        <v>AnalysisThruStep,8,</v>
      </c>
      <c r="AY253" s="31" t="str">
        <f t="shared" si="970"/>
        <v>DontAbortOnErrorsThruStep,8,</v>
      </c>
      <c r="AZ253" s="31" t="str">
        <f t="shared" si="971"/>
        <v>BypassValidFileChecks,1,</v>
      </c>
      <c r="BA253" s="31" t="str">
        <f t="shared" si="972"/>
        <v>BypassInputChecks,0,</v>
      </c>
      <c r="BB253" s="31" t="str">
        <f t="shared" si="973"/>
        <v>BypassUMLHChecks,0,</v>
      </c>
      <c r="BC253" s="31" t="str">
        <f t="shared" si="974"/>
        <v>BypassCheckSimRules,0,</v>
      </c>
      <c r="BD253" s="31" t="str">
        <f t="shared" si="979"/>
        <v>BypassCheckCodeRules,0,</v>
      </c>
      <c r="BE253" s="31" t="str">
        <f t="shared" si="980"/>
        <v>StoreResultsToModelInput,1,</v>
      </c>
      <c r="BF253" s="31" t="str">
        <f t="shared" si="981"/>
        <v>StoreBEMDetails,0,</v>
      </c>
      <c r="BG253" s="31" t="str">
        <f t="shared" si="982"/>
        <v>ModelRpt_ALL,1,</v>
      </c>
      <c r="BH253" s="31" t="str">
        <f t="shared" si="983"/>
        <v>ExportHourlyResults_All,0,</v>
      </c>
      <c r="BI253" s="31" t="str">
        <f t="shared" si="984"/>
        <v>ComplianceReportPDF,0,</v>
      </c>
      <c r="BJ253" s="31" t="str">
        <f t="shared" si="985"/>
        <v>ComplianceReportXML,0,</v>
      </c>
      <c r="BK253" s="31" t="str">
        <f t="shared" si="986"/>
        <v>QuickAnalysis,0,</v>
      </c>
      <c r="BL253" s="31" t="str">
        <f t="shared" si="986"/>
        <v>PromptUserUMLHWarning,0,</v>
      </c>
      <c r="BM253" s="31" t="str">
        <f t="shared" si="987"/>
        <v>BypassOpenStudio_all,0,</v>
      </c>
      <c r="BN253" s="31" t="str">
        <f t="shared" si="988"/>
        <v>BypassOpenStudio_zp,0,</v>
      </c>
      <c r="BO253" s="31" t="str">
        <f t="shared" si="989"/>
        <v>BypassOpenStudio_zb,0,</v>
      </c>
      <c r="BP253" s="31" t="str">
        <f t="shared" si="990"/>
        <v>BypassOpenStudio_ap,0,</v>
      </c>
      <c r="BQ253" s="31" t="str">
        <f t="shared" si="991"/>
        <v>BypassOpenStudio_ab,0,</v>
      </c>
      <c r="BR253" s="31" t="str">
        <f t="shared" si="992"/>
        <v>BypassOpenStudio_zp,0,</v>
      </c>
      <c r="BS253" s="31" t="str">
        <f t="shared" si="993"/>
        <v>BypassOpenStudio_zb,0,</v>
      </c>
      <c r="BT253" s="31" t="str">
        <f t="shared" si="994"/>
        <v>BypassOpenStudio_ap,0,</v>
      </c>
      <c r="BU253" s="31" t="str">
        <f t="shared" si="995"/>
        <v>BypassOpenStudio_ab,0,</v>
      </c>
    </row>
    <row r="254" spans="1:73" hidden="1" outlineLevel="1" x14ac:dyDescent="0.25">
      <c r="A254" s="39">
        <f t="shared" si="948"/>
        <v>0</v>
      </c>
      <c r="B254" s="27" t="str">
        <f t="shared" si="949"/>
        <v>SoftwareSensitivity2016Tests\DetailedGeometry\x.cibd16</v>
      </c>
      <c r="C254" s="27" t="str">
        <f t="shared" si="950"/>
        <v>BatchOut_171026_r5178_FinalRel-v3-SSTSG_SSTDG\x.cibd16</v>
      </c>
      <c r="D254" s="27" t="str">
        <f t="shared" si="951"/>
        <v>BatchOut_171026_r5178_FinalRel-v3-SSTSG_SSTDG\XML\</v>
      </c>
      <c r="E254" s="9" t="str">
        <f t="shared" si="952"/>
        <v>x</v>
      </c>
      <c r="F254" s="22"/>
      <c r="G254" s="29"/>
      <c r="H254" s="23" t="str">
        <f t="shared" si="953"/>
        <v/>
      </c>
      <c r="I254" s="9" t="s">
        <v>11</v>
      </c>
      <c r="J254"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4" s="15" t="s">
        <v>1</v>
      </c>
      <c r="L254" s="36">
        <f t="shared" si="959"/>
        <v>0</v>
      </c>
      <c r="M254" s="91" t="str">
        <f t="shared" si="954"/>
        <v>x</v>
      </c>
      <c r="N254" s="90" t="s">
        <v>149</v>
      </c>
      <c r="O254" s="28" t="str">
        <f t="shared" si="960"/>
        <v>x</v>
      </c>
      <c r="P254" s="36">
        <f t="shared" si="955"/>
        <v>1</v>
      </c>
      <c r="Q254" s="36">
        <f t="shared" si="955"/>
        <v>1</v>
      </c>
      <c r="R254" s="36">
        <f t="shared" si="955"/>
        <v>0</v>
      </c>
      <c r="S254" s="36">
        <f t="shared" si="955"/>
        <v>1</v>
      </c>
      <c r="T254" s="36">
        <f t="shared" si="955"/>
        <v>0</v>
      </c>
      <c r="U254" s="36">
        <f t="shared" si="928"/>
        <v>8</v>
      </c>
      <c r="V254" s="36">
        <f t="shared" si="928"/>
        <v>8</v>
      </c>
      <c r="W254" s="36">
        <f t="shared" si="928"/>
        <v>1</v>
      </c>
      <c r="X254" s="36">
        <f t="shared" si="928"/>
        <v>0</v>
      </c>
      <c r="Y254" s="36">
        <f t="shared" si="928"/>
        <v>0</v>
      </c>
      <c r="Z254" s="36">
        <f t="shared" si="928"/>
        <v>0</v>
      </c>
      <c r="AA254" s="36">
        <f t="shared" si="928"/>
        <v>0</v>
      </c>
      <c r="AB254" s="36">
        <f t="shared" si="928"/>
        <v>1</v>
      </c>
      <c r="AC254" s="36">
        <f t="shared" si="928"/>
        <v>0</v>
      </c>
      <c r="AD254" s="36">
        <f t="shared" si="928"/>
        <v>1</v>
      </c>
      <c r="AE254" s="36">
        <f t="shared" ref="AE254:AF254" si="1009">AE253</f>
        <v>0</v>
      </c>
      <c r="AF254" s="36">
        <f t="shared" si="1009"/>
        <v>0</v>
      </c>
      <c r="AG254" s="36">
        <f t="shared" ref="AG254:AH254" si="1010">AG253</f>
        <v>0</v>
      </c>
      <c r="AH254" s="36">
        <f t="shared" si="1010"/>
        <v>0</v>
      </c>
      <c r="AI254" s="36">
        <f t="shared" ref="AI254" si="1011">AI253</f>
        <v>0</v>
      </c>
      <c r="AJ254" s="36">
        <f t="shared" si="928"/>
        <v>0</v>
      </c>
      <c r="AK254" s="36">
        <f t="shared" si="928"/>
        <v>0</v>
      </c>
      <c r="AL254" s="36">
        <f t="shared" si="928"/>
        <v>0</v>
      </c>
      <c r="AM254" s="36">
        <f t="shared" si="928"/>
        <v>0</v>
      </c>
      <c r="AN254" s="36">
        <f t="shared" si="928"/>
        <v>0</v>
      </c>
      <c r="AO254" s="36">
        <f t="shared" si="928"/>
        <v>0</v>
      </c>
      <c r="AP254" s="36">
        <f t="shared" si="1005"/>
        <v>0</v>
      </c>
      <c r="AQ254" s="36">
        <f t="shared" si="881"/>
        <v>0</v>
      </c>
      <c r="AR254" s="36">
        <f t="shared" si="813"/>
        <v>0</v>
      </c>
      <c r="AS254" s="31" t="str">
        <f t="shared" si="964"/>
        <v>SimulationStorage,1,</v>
      </c>
      <c r="AT254" s="31" t="str">
        <f t="shared" si="965"/>
        <v>AnalysisStorage,1,</v>
      </c>
      <c r="AU254" s="31" t="str">
        <f t="shared" si="966"/>
        <v>LogRuleEvaluation,0,</v>
      </c>
      <c r="AV254" s="31" t="str">
        <f t="shared" si="967"/>
        <v>ParallelSimulations,1,</v>
      </c>
      <c r="AW254" s="31" t="str">
        <f t="shared" si="968"/>
        <v>DurationStats,0,</v>
      </c>
      <c r="AX254" s="31" t="str">
        <f t="shared" si="969"/>
        <v>AnalysisThruStep,8,</v>
      </c>
      <c r="AY254" s="31" t="str">
        <f t="shared" si="970"/>
        <v>DontAbortOnErrorsThruStep,8,</v>
      </c>
      <c r="AZ254" s="31" t="str">
        <f t="shared" si="971"/>
        <v>BypassValidFileChecks,1,</v>
      </c>
      <c r="BA254" s="31" t="str">
        <f t="shared" si="972"/>
        <v>BypassInputChecks,0,</v>
      </c>
      <c r="BB254" s="31" t="str">
        <f t="shared" si="973"/>
        <v>BypassUMLHChecks,0,</v>
      </c>
      <c r="BC254" s="31" t="str">
        <f t="shared" si="974"/>
        <v>BypassCheckSimRules,0,</v>
      </c>
      <c r="BD254" s="31" t="str">
        <f t="shared" si="979"/>
        <v>BypassCheckCodeRules,0,</v>
      </c>
      <c r="BE254" s="31" t="str">
        <f t="shared" si="980"/>
        <v>StoreResultsToModelInput,1,</v>
      </c>
      <c r="BF254" s="31" t="str">
        <f t="shared" si="981"/>
        <v>StoreBEMDetails,0,</v>
      </c>
      <c r="BG254" s="31" t="str">
        <f t="shared" si="982"/>
        <v>ModelRpt_ALL,1,</v>
      </c>
      <c r="BH254" s="31" t="str">
        <f t="shared" si="983"/>
        <v>ExportHourlyResults_All,0,</v>
      </c>
      <c r="BI254" s="31" t="str">
        <f t="shared" si="984"/>
        <v>ComplianceReportPDF,0,</v>
      </c>
      <c r="BJ254" s="31" t="str">
        <f t="shared" si="985"/>
        <v>ComplianceReportXML,0,</v>
      </c>
      <c r="BK254" s="31" t="str">
        <f t="shared" si="986"/>
        <v>QuickAnalysis,0,</v>
      </c>
      <c r="BL254" s="31" t="str">
        <f t="shared" si="986"/>
        <v>PromptUserUMLHWarning,0,</v>
      </c>
      <c r="BM254" s="31" t="str">
        <f t="shared" si="987"/>
        <v>BypassOpenStudio_all,0,</v>
      </c>
      <c r="BN254" s="31" t="str">
        <f t="shared" si="988"/>
        <v>BypassOpenStudio_zp,0,</v>
      </c>
      <c r="BO254" s="31" t="str">
        <f t="shared" si="989"/>
        <v>BypassOpenStudio_zb,0,</v>
      </c>
      <c r="BP254" s="31" t="str">
        <f t="shared" si="990"/>
        <v>BypassOpenStudio_ap,0,</v>
      </c>
      <c r="BQ254" s="31" t="str">
        <f t="shared" si="991"/>
        <v>BypassOpenStudio_ab,0,</v>
      </c>
      <c r="BR254" s="31" t="str">
        <f t="shared" si="992"/>
        <v>BypassOpenStudio_zp,0,</v>
      </c>
      <c r="BS254" s="31" t="str">
        <f t="shared" si="993"/>
        <v>BypassOpenStudio_zb,0,</v>
      </c>
      <c r="BT254" s="31" t="str">
        <f t="shared" si="994"/>
        <v>BypassOpenStudio_ap,0,</v>
      </c>
      <c r="BU254" s="31" t="str">
        <f t="shared" si="995"/>
        <v>BypassOpenStudio_ab,0,</v>
      </c>
    </row>
    <row r="255" spans="1:73" hidden="1" outlineLevel="1" x14ac:dyDescent="0.25">
      <c r="A255" s="39">
        <f t="shared" si="948"/>
        <v>0</v>
      </c>
      <c r="B255" s="27" t="str">
        <f t="shared" si="949"/>
        <v>SoftwareSensitivity2016Tests\DetailedGeometry\x.cibd16</v>
      </c>
      <c r="C255" s="27" t="str">
        <f t="shared" si="950"/>
        <v>BatchOut_171026_r5178_FinalRel-v3-SSTSG_SSTDG\x.cibd16</v>
      </c>
      <c r="D255" s="27" t="str">
        <f t="shared" si="951"/>
        <v>BatchOut_171026_r5178_FinalRel-v3-SSTSG_SSTDG\XML\</v>
      </c>
      <c r="E255" s="9" t="str">
        <f t="shared" si="952"/>
        <v>x</v>
      </c>
      <c r="F255" s="22"/>
      <c r="G255" s="29"/>
      <c r="H255" s="23" t="str">
        <f t="shared" si="953"/>
        <v/>
      </c>
      <c r="I255" s="9" t="s">
        <v>11</v>
      </c>
      <c r="J255" s="87" t="str">
        <f t="shared" si="92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5" s="15" t="s">
        <v>1</v>
      </c>
      <c r="L255" s="36">
        <f t="shared" si="959"/>
        <v>0</v>
      </c>
      <c r="M255" s="91" t="str">
        <f t="shared" si="954"/>
        <v>x</v>
      </c>
      <c r="N255" s="90" t="s">
        <v>149</v>
      </c>
      <c r="O255" s="28" t="str">
        <f t="shared" si="960"/>
        <v>x</v>
      </c>
      <c r="P255" s="36">
        <f t="shared" si="955"/>
        <v>1</v>
      </c>
      <c r="Q255" s="36">
        <f t="shared" si="955"/>
        <v>1</v>
      </c>
      <c r="R255" s="36">
        <f t="shared" si="955"/>
        <v>0</v>
      </c>
      <c r="S255" s="36">
        <f t="shared" si="955"/>
        <v>1</v>
      </c>
      <c r="T255" s="36">
        <f t="shared" si="955"/>
        <v>0</v>
      </c>
      <c r="U255" s="36">
        <f t="shared" si="928"/>
        <v>8</v>
      </c>
      <c r="V255" s="36">
        <f t="shared" si="928"/>
        <v>8</v>
      </c>
      <c r="W255" s="36">
        <f t="shared" si="928"/>
        <v>1</v>
      </c>
      <c r="X255" s="36">
        <f t="shared" si="928"/>
        <v>0</v>
      </c>
      <c r="Y255" s="36">
        <f t="shared" si="928"/>
        <v>0</v>
      </c>
      <c r="Z255" s="36">
        <f t="shared" si="928"/>
        <v>0</v>
      </c>
      <c r="AA255" s="36">
        <f t="shared" si="928"/>
        <v>0</v>
      </c>
      <c r="AB255" s="36">
        <f t="shared" si="928"/>
        <v>1</v>
      </c>
      <c r="AC255" s="36">
        <f t="shared" si="928"/>
        <v>0</v>
      </c>
      <c r="AD255" s="36">
        <f t="shared" si="928"/>
        <v>1</v>
      </c>
      <c r="AE255" s="36">
        <f t="shared" ref="AE255:AF255" si="1012">AE254</f>
        <v>0</v>
      </c>
      <c r="AF255" s="36">
        <f t="shared" si="1012"/>
        <v>0</v>
      </c>
      <c r="AG255" s="36">
        <f t="shared" ref="AG255:AH255" si="1013">AG254</f>
        <v>0</v>
      </c>
      <c r="AH255" s="36">
        <f t="shared" si="1013"/>
        <v>0</v>
      </c>
      <c r="AI255" s="36">
        <f t="shared" ref="AI255" si="1014">AI254</f>
        <v>0</v>
      </c>
      <c r="AJ255" s="36">
        <f t="shared" si="928"/>
        <v>0</v>
      </c>
      <c r="AK255" s="36">
        <f t="shared" si="928"/>
        <v>0</v>
      </c>
      <c r="AL255" s="36">
        <f t="shared" si="928"/>
        <v>0</v>
      </c>
      <c r="AM255" s="36">
        <f t="shared" si="928"/>
        <v>0</v>
      </c>
      <c r="AN255" s="36">
        <f t="shared" si="928"/>
        <v>0</v>
      </c>
      <c r="AO255" s="36">
        <f t="shared" si="928"/>
        <v>0</v>
      </c>
      <c r="AP255" s="36">
        <f t="shared" si="1005"/>
        <v>0</v>
      </c>
      <c r="AQ255" s="36">
        <f t="shared" si="881"/>
        <v>0</v>
      </c>
      <c r="AR255" s="36">
        <f t="shared" si="813"/>
        <v>0</v>
      </c>
      <c r="AS255" s="31" t="str">
        <f t="shared" si="964"/>
        <v>SimulationStorage,1,</v>
      </c>
      <c r="AT255" s="31" t="str">
        <f t="shared" si="965"/>
        <v>AnalysisStorage,1,</v>
      </c>
      <c r="AU255" s="31" t="str">
        <f t="shared" si="966"/>
        <v>LogRuleEvaluation,0,</v>
      </c>
      <c r="AV255" s="31" t="str">
        <f t="shared" si="967"/>
        <v>ParallelSimulations,1,</v>
      </c>
      <c r="AW255" s="31" t="str">
        <f t="shared" si="968"/>
        <v>DurationStats,0,</v>
      </c>
      <c r="AX255" s="31" t="str">
        <f t="shared" si="969"/>
        <v>AnalysisThruStep,8,</v>
      </c>
      <c r="AY255" s="31" t="str">
        <f t="shared" si="970"/>
        <v>DontAbortOnErrorsThruStep,8,</v>
      </c>
      <c r="AZ255" s="31" t="str">
        <f t="shared" si="971"/>
        <v>BypassValidFileChecks,1,</v>
      </c>
      <c r="BA255" s="31" t="str">
        <f t="shared" si="972"/>
        <v>BypassInputChecks,0,</v>
      </c>
      <c r="BB255" s="31" t="str">
        <f t="shared" si="973"/>
        <v>BypassUMLHChecks,0,</v>
      </c>
      <c r="BC255" s="31" t="str">
        <f t="shared" si="974"/>
        <v>BypassCheckSimRules,0,</v>
      </c>
      <c r="BD255" s="31" t="str">
        <f t="shared" si="979"/>
        <v>BypassCheckCodeRules,0,</v>
      </c>
      <c r="BE255" s="31" t="str">
        <f t="shared" si="980"/>
        <v>StoreResultsToModelInput,1,</v>
      </c>
      <c r="BF255" s="31" t="str">
        <f t="shared" si="981"/>
        <v>StoreBEMDetails,0,</v>
      </c>
      <c r="BG255" s="31" t="str">
        <f t="shared" si="982"/>
        <v>ModelRpt_ALL,1,</v>
      </c>
      <c r="BH255" s="31" t="str">
        <f t="shared" si="983"/>
        <v>ExportHourlyResults_All,0,</v>
      </c>
      <c r="BI255" s="31" t="str">
        <f t="shared" si="984"/>
        <v>ComplianceReportPDF,0,</v>
      </c>
      <c r="BJ255" s="31" t="str">
        <f t="shared" si="985"/>
        <v>ComplianceReportXML,0,</v>
      </c>
      <c r="BK255" s="31" t="str">
        <f t="shared" si="986"/>
        <v>QuickAnalysis,0,</v>
      </c>
      <c r="BL255" s="31" t="str">
        <f t="shared" si="986"/>
        <v>PromptUserUMLHWarning,0,</v>
      </c>
      <c r="BM255" s="31" t="str">
        <f t="shared" si="987"/>
        <v>BypassOpenStudio_all,0,</v>
      </c>
      <c r="BN255" s="31" t="str">
        <f t="shared" si="988"/>
        <v>BypassOpenStudio_zp,0,</v>
      </c>
      <c r="BO255" s="31" t="str">
        <f t="shared" si="989"/>
        <v>BypassOpenStudio_zb,0,</v>
      </c>
      <c r="BP255" s="31" t="str">
        <f t="shared" si="990"/>
        <v>BypassOpenStudio_ap,0,</v>
      </c>
      <c r="BQ255" s="31" t="str">
        <f t="shared" si="991"/>
        <v>BypassOpenStudio_ab,0,</v>
      </c>
      <c r="BR255" s="31" t="str">
        <f t="shared" si="992"/>
        <v>BypassOpenStudio_zp,0,</v>
      </c>
      <c r="BS255" s="31" t="str">
        <f t="shared" si="993"/>
        <v>BypassOpenStudio_zb,0,</v>
      </c>
      <c r="BT255" s="31" t="str">
        <f t="shared" si="994"/>
        <v>BypassOpenStudio_ap,0,</v>
      </c>
      <c r="BU255" s="31" t="str">
        <f t="shared" si="995"/>
        <v>BypassOpenStudio_ab,0,</v>
      </c>
    </row>
    <row r="256" spans="1:73" collapsed="1" x14ac:dyDescent="0.25">
      <c r="A256" s="1" t="s">
        <v>1</v>
      </c>
      <c r="K256" s="15" t="s">
        <v>1</v>
      </c>
      <c r="L256" s="94"/>
      <c r="M256" s="94"/>
    </row>
    <row r="257" spans="1:73" x14ac:dyDescent="0.25">
      <c r="A257" s="1" t="s">
        <v>1</v>
      </c>
      <c r="B257"/>
      <c r="C257"/>
      <c r="D257" s="30"/>
      <c r="E257" s="16"/>
      <c r="F257" s="16"/>
      <c r="G257" s="16"/>
      <c r="H257" s="16"/>
      <c r="K257" s="15" t="s">
        <v>1</v>
      </c>
      <c r="L257" s="92" t="s">
        <v>160</v>
      </c>
      <c r="M257" t="s">
        <v>150</v>
      </c>
    </row>
    <row r="258" spans="1:73" x14ac:dyDescent="0.25">
      <c r="A258" s="1" t="s">
        <v>1</v>
      </c>
      <c r="B258"/>
      <c r="C258"/>
      <c r="D258" s="30"/>
      <c r="K258" s="15" t="s">
        <v>1</v>
      </c>
      <c r="L258" s="37" t="s">
        <v>45</v>
      </c>
      <c r="M258" s="53">
        <f>$M$7</f>
        <v>171026</v>
      </c>
      <c r="N258" s="1">
        <f>SUM(L265:L402)</f>
        <v>96</v>
      </c>
    </row>
    <row r="259" spans="1:73" x14ac:dyDescent="0.25">
      <c r="A259" s="1" t="s">
        <v>1</v>
      </c>
      <c r="B259"/>
      <c r="C259"/>
      <c r="D259" s="30"/>
      <c r="K259" s="15" t="s">
        <v>1</v>
      </c>
      <c r="L259" s="14" t="s">
        <v>46</v>
      </c>
      <c r="M259" s="53" t="str">
        <f>$M$8</f>
        <v>r5178_FinalRel-v3-SSTSG</v>
      </c>
      <c r="N259" s="52"/>
    </row>
    <row r="260" spans="1:73" x14ac:dyDescent="0.25">
      <c r="A260" s="1" t="s">
        <v>1</v>
      </c>
      <c r="B260"/>
      <c r="C260"/>
      <c r="D260" s="30"/>
      <c r="E260" s="30"/>
      <c r="F260" s="30"/>
      <c r="G260" s="30"/>
      <c r="H260" s="30"/>
      <c r="I260" s="26"/>
      <c r="K260" s="15" t="s">
        <v>1</v>
      </c>
      <c r="L260" s="35" t="s">
        <v>39</v>
      </c>
      <c r="M260" s="53" t="str">
        <f>$M$10</f>
        <v>BatchResults_171026_r5178_FinalRel-v3-SSTSG.csv</v>
      </c>
      <c r="N260" s="1" t="s">
        <v>48</v>
      </c>
    </row>
    <row r="261" spans="1:73" x14ac:dyDescent="0.25">
      <c r="A261" s="1" t="s">
        <v>1</v>
      </c>
      <c r="B261"/>
      <c r="C261"/>
      <c r="K261" s="15" t="s">
        <v>1</v>
      </c>
      <c r="L261" s="14" t="s">
        <v>16</v>
      </c>
      <c r="M261" s="90" t="s">
        <v>233</v>
      </c>
      <c r="N261" s="1" t="s">
        <v>47</v>
      </c>
      <c r="AJ261" s="95"/>
      <c r="AK261" s="95"/>
      <c r="AL261" s="95"/>
      <c r="AM261" s="95"/>
      <c r="AN261" s="95"/>
      <c r="AO261" s="95"/>
      <c r="AP261" s="95"/>
      <c r="AQ261" s="95"/>
      <c r="AR261" s="95"/>
    </row>
    <row r="262" spans="1:73" x14ac:dyDescent="0.25">
      <c r="A262" s="1" t="s">
        <v>1</v>
      </c>
      <c r="K262" s="15" t="s">
        <v>1</v>
      </c>
      <c r="L262" s="14" t="s">
        <v>17</v>
      </c>
      <c r="M262" s="54" t="str">
        <f>"BatchOut"&amp;"_"&amp;M258&amp;"_"&amp;M259&amp;"_"&amp;L257&amp;"\"</f>
        <v>BatchOut_171026_r5178_FinalRel-v3-SSTSG_SSTSG\</v>
      </c>
      <c r="N262" s="1" t="s">
        <v>47</v>
      </c>
    </row>
    <row r="263" spans="1:73" x14ac:dyDescent="0.25">
      <c r="A263" s="1" t="s">
        <v>1</v>
      </c>
      <c r="K263" s="15" t="s">
        <v>1</v>
      </c>
      <c r="L263" s="14" t="s">
        <v>42</v>
      </c>
      <c r="M263" s="54" t="str">
        <f>M262&amp;"XML\"</f>
        <v>BatchOut_171026_r5178_FinalRel-v3-SSTSG_SSTSG\XML\</v>
      </c>
      <c r="N263" s="1" t="s">
        <v>47</v>
      </c>
      <c r="R263" s="31"/>
      <c r="S263" s="31"/>
      <c r="T263" s="31"/>
      <c r="U263" s="31"/>
      <c r="V263" s="31"/>
      <c r="W263" s="31"/>
      <c r="X263" s="31"/>
      <c r="Y263" s="31"/>
      <c r="Z263" s="31"/>
      <c r="AA263" s="31"/>
      <c r="AB263" s="31"/>
      <c r="AC263" s="31"/>
      <c r="AD263" s="31"/>
      <c r="AE263" s="31"/>
      <c r="AF263" s="31"/>
      <c r="AG263" s="31"/>
      <c r="AH263" s="31"/>
      <c r="AI263" s="31"/>
      <c r="AJ263" s="31"/>
      <c r="AK263" s="31"/>
      <c r="AL263" s="31"/>
      <c r="AM263" s="31"/>
      <c r="AN263" s="31"/>
      <c r="AO263" s="31"/>
      <c r="AP263" s="31"/>
      <c r="AQ263" s="31"/>
      <c r="AR263" s="31"/>
    </row>
    <row r="264" spans="1:73" x14ac:dyDescent="0.25">
      <c r="A264" s="11" t="s">
        <v>14</v>
      </c>
      <c r="B264" s="7" t="s">
        <v>6</v>
      </c>
      <c r="C264" s="7" t="s">
        <v>7</v>
      </c>
      <c r="D264" s="7" t="s">
        <v>40</v>
      </c>
      <c r="E264" s="7"/>
      <c r="F264" s="17" t="s">
        <v>21</v>
      </c>
      <c r="G264" s="7"/>
      <c r="H264" s="18"/>
      <c r="I264" s="7" t="s">
        <v>9</v>
      </c>
      <c r="J264" s="85" t="s">
        <v>12</v>
      </c>
      <c r="K264" s="15" t="s">
        <v>1</v>
      </c>
      <c r="L264" s="14"/>
      <c r="M264" s="94"/>
      <c r="N264" s="94"/>
      <c r="O264" s="94"/>
      <c r="P264" s="94"/>
      <c r="Q264"/>
      <c r="R264"/>
      <c r="S264"/>
      <c r="T264"/>
      <c r="U264"/>
      <c r="V264"/>
      <c r="W264"/>
      <c r="X264"/>
      <c r="Y264"/>
      <c r="Z264"/>
      <c r="AA264"/>
      <c r="AB264"/>
      <c r="AC264"/>
      <c r="AD264"/>
      <c r="AE264"/>
      <c r="AF264"/>
      <c r="AG264"/>
      <c r="AH264"/>
      <c r="AI264"/>
      <c r="AJ264"/>
      <c r="AK264"/>
      <c r="AL264"/>
      <c r="AM264"/>
      <c r="AN264"/>
      <c r="AO264"/>
      <c r="AP264"/>
      <c r="AQ264"/>
      <c r="AR264"/>
      <c r="AS264"/>
    </row>
    <row r="265" spans="1:73" x14ac:dyDescent="0.25">
      <c r="A265" s="39">
        <f t="shared" ref="A265:A328" si="1015">L265</f>
        <v>1</v>
      </c>
      <c r="B265" s="27" t="str">
        <f>M$261&amp;N265&amp;".cibd16"</f>
        <v>SoftwareSensitivity2016Tests\SimplifiedGeometry\0300006-OffMed-Baseline_NDL.cibd16</v>
      </c>
      <c r="C265" s="27" t="str">
        <f xml:space="preserve"> M$262 &amp; O265 &amp; ".cibd16"</f>
        <v>BatchOut_171026_r5178_FinalRel-v3-SSTSG_SSTSG\0300006-OffMed-Baseline_NDL.cibd16</v>
      </c>
      <c r="D265" s="27" t="str">
        <f>$M$263</f>
        <v>BatchOut_171026_r5178_FinalRel-v3-SSTSG_SSTSG\XML\</v>
      </c>
      <c r="E265" s="9" t="str">
        <f>M265</f>
        <v>0300006-OffMed-Baseline_NDL</v>
      </c>
      <c r="F265" s="22"/>
      <c r="G265" s="29"/>
      <c r="H265" s="23" t="str">
        <f>IF(F265&gt;1,1,"")</f>
        <v/>
      </c>
      <c r="I265" s="9" t="s">
        <v>11</v>
      </c>
      <c r="J265" s="87" t="str">
        <f t="shared" ref="J265:J328" si="1016">CONCATENATE(AS265,AT265,AU265,AV265,AW265,AX265,AY265,AZ265,BA265,BB265,BC265,BD265,BE265,BF265,BG265,BH265,BI265,BJ265,BK265,BL265,BM265,BN265,BO265,BP265,BQ265,BR265,BS265,BT265,BU265)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5" s="15" t="s">
        <v>1</v>
      </c>
      <c r="L265" s="92">
        <v>1</v>
      </c>
      <c r="M265" s="91" t="str">
        <f>N265</f>
        <v>0300006-OffMed-Baseline_NDL</v>
      </c>
      <c r="N265" s="90" t="s">
        <v>162</v>
      </c>
      <c r="O265" s="90" t="str">
        <f t="shared" ref="O265:O328" si="1017">N265</f>
        <v>0300006-OffMed-Baseline_NDL</v>
      </c>
      <c r="P265" s="92">
        <f>P$17</f>
        <v>1</v>
      </c>
      <c r="Q265" s="92">
        <f t="shared" ref="Q265:AR265" si="1018">Q$17</f>
        <v>1</v>
      </c>
      <c r="R265" s="92">
        <f t="shared" si="1018"/>
        <v>0</v>
      </c>
      <c r="S265" s="92">
        <f t="shared" si="1018"/>
        <v>1</v>
      </c>
      <c r="T265" s="92">
        <f t="shared" si="1018"/>
        <v>0</v>
      </c>
      <c r="U265" s="92">
        <f t="shared" si="1018"/>
        <v>8</v>
      </c>
      <c r="V265" s="92">
        <f t="shared" si="1018"/>
        <v>8</v>
      </c>
      <c r="W265" s="92">
        <f t="shared" si="1018"/>
        <v>1</v>
      </c>
      <c r="X265" s="92">
        <f t="shared" si="1018"/>
        <v>0</v>
      </c>
      <c r="Y265" s="92">
        <f t="shared" si="1018"/>
        <v>0</v>
      </c>
      <c r="Z265" s="92">
        <f t="shared" si="1018"/>
        <v>0</v>
      </c>
      <c r="AA265" s="92">
        <f t="shared" si="1018"/>
        <v>0</v>
      </c>
      <c r="AB265" s="92">
        <f t="shared" si="1018"/>
        <v>1</v>
      </c>
      <c r="AC265" s="92">
        <f t="shared" si="1018"/>
        <v>0</v>
      </c>
      <c r="AD265" s="92">
        <f t="shared" si="1018"/>
        <v>1</v>
      </c>
      <c r="AE265" s="92">
        <f t="shared" si="1018"/>
        <v>0</v>
      </c>
      <c r="AF265" s="92">
        <f t="shared" si="1018"/>
        <v>0</v>
      </c>
      <c r="AG265" s="92">
        <f t="shared" si="1018"/>
        <v>0</v>
      </c>
      <c r="AH265" s="92">
        <f t="shared" si="1018"/>
        <v>0</v>
      </c>
      <c r="AI265" s="92">
        <f t="shared" si="1018"/>
        <v>0</v>
      </c>
      <c r="AJ265" s="92">
        <f t="shared" si="1018"/>
        <v>0</v>
      </c>
      <c r="AK265" s="92">
        <f t="shared" si="1018"/>
        <v>0</v>
      </c>
      <c r="AL265" s="92">
        <f t="shared" si="1018"/>
        <v>0</v>
      </c>
      <c r="AM265" s="92">
        <f t="shared" si="1018"/>
        <v>0</v>
      </c>
      <c r="AN265" s="92">
        <f t="shared" si="1018"/>
        <v>0</v>
      </c>
      <c r="AO265" s="92">
        <f t="shared" si="1018"/>
        <v>0</v>
      </c>
      <c r="AP265" s="92">
        <f t="shared" si="1018"/>
        <v>0</v>
      </c>
      <c r="AQ265" s="92">
        <f t="shared" si="1018"/>
        <v>0</v>
      </c>
      <c r="AR265" s="92">
        <f t="shared" si="1018"/>
        <v>0</v>
      </c>
      <c r="AS265" s="31" t="str">
        <f t="shared" ref="AS265:AS328" si="1019">P$13&amp;P265&amp;","</f>
        <v>SimulationStorage,1,</v>
      </c>
      <c r="AT265" s="31" t="str">
        <f t="shared" ref="AT265:AT328" si="1020">Q$13&amp;Q265&amp;","</f>
        <v>AnalysisStorage,1,</v>
      </c>
      <c r="AU265" s="31" t="str">
        <f t="shared" ref="AU265:AU328" si="1021">R$13&amp;R265&amp;","</f>
        <v>LogRuleEvaluation,0,</v>
      </c>
      <c r="AV265" s="31" t="str">
        <f t="shared" ref="AV265:AV328" si="1022">S$13&amp;S265&amp;","</f>
        <v>ParallelSimulations,1,</v>
      </c>
      <c r="AW265" s="31" t="str">
        <f t="shared" ref="AW265:AW328" si="1023">T$13&amp;T265&amp;","</f>
        <v>DurationStats,0,</v>
      </c>
      <c r="AX265" s="31" t="str">
        <f t="shared" ref="AX265:AX328" si="1024">U$13&amp;U265&amp;","</f>
        <v>AnalysisThruStep,8,</v>
      </c>
      <c r="AY265" s="31" t="str">
        <f t="shared" ref="AY265:AY328" si="1025">V$13&amp;V265&amp;","</f>
        <v>DontAbortOnErrorsThruStep,8,</v>
      </c>
      <c r="AZ265" s="31" t="str">
        <f t="shared" ref="AZ265:AZ328" si="1026">W$13&amp;W265&amp;","</f>
        <v>BypassValidFileChecks,1,</v>
      </c>
      <c r="BA265" s="31" t="str">
        <f t="shared" ref="BA265:BA328" si="1027">X$13&amp;X265&amp;","</f>
        <v>BypassInputChecks,0,</v>
      </c>
      <c r="BB265" s="31" t="str">
        <f t="shared" ref="BB265:BB328" si="1028">Y$13&amp;Y265&amp;","</f>
        <v>BypassUMLHChecks,0,</v>
      </c>
      <c r="BC265" s="31" t="str">
        <f t="shared" ref="BC265:BC328" si="1029">Z$13&amp;Z265&amp;","</f>
        <v>BypassCheckSimRules,0,</v>
      </c>
      <c r="BD265" s="31" t="str">
        <f t="shared" ref="BD265:BD328" si="1030">AA$13&amp;AA265&amp;","</f>
        <v>BypassCheckCodeRules,0,</v>
      </c>
      <c r="BE265" s="31" t="str">
        <f t="shared" ref="BE265:BE328" si="1031">AB$13&amp;AB265&amp;","</f>
        <v>StoreResultsToModelInput,1,</v>
      </c>
      <c r="BF265" s="31" t="str">
        <f t="shared" ref="BF265:BF328" si="1032">AC$13&amp;AC265&amp;","</f>
        <v>StoreBEMDetails,0,</v>
      </c>
      <c r="BG265" s="31" t="str">
        <f t="shared" ref="BG265:BG328" si="1033">AD$13&amp;AD265&amp;","</f>
        <v>ModelRpt_ALL,1,</v>
      </c>
      <c r="BH265" s="31" t="str">
        <f t="shared" ref="BH265:BH328" si="1034">AE$13&amp;AE265&amp;","</f>
        <v>ExportHourlyResults_All,0,</v>
      </c>
      <c r="BI265" s="31" t="str">
        <f t="shared" ref="BI265:BI328" si="1035">AF$13&amp;AF265&amp;","</f>
        <v>ComplianceReportPDF,0,</v>
      </c>
      <c r="BJ265" s="31" t="str">
        <f t="shared" ref="BJ265:BJ328" si="1036">AG$13&amp;AG265&amp;","</f>
        <v>ComplianceReportXML,0,</v>
      </c>
      <c r="BK265" s="31" t="str">
        <f t="shared" ref="BK265:BK328" si="1037">AH$13&amp;AH265&amp;","</f>
        <v>QuickAnalysis,0,</v>
      </c>
      <c r="BL265" s="31" t="str">
        <f t="shared" ref="BL265:BL328" si="1038">AI$13&amp;AI265&amp;","</f>
        <v>PromptUserUMLHWarning,0,</v>
      </c>
      <c r="BM265" s="31" t="str">
        <f t="shared" ref="BM265:BM328" si="1039">AJ$13&amp;AJ265&amp;","</f>
        <v>BypassOpenStudio_all,0,</v>
      </c>
      <c r="BN265" s="31" t="str">
        <f t="shared" ref="BN265:BN328" si="1040">AK$13&amp;AK265&amp;","</f>
        <v>BypassOpenStudio_zp,0,</v>
      </c>
      <c r="BO265" s="31" t="str">
        <f t="shared" ref="BO265:BO328" si="1041">AL$13&amp;AL265&amp;","</f>
        <v>BypassOpenStudio_zb,0,</v>
      </c>
      <c r="BP265" s="31" t="str">
        <f t="shared" ref="BP265:BP328" si="1042">AM$13&amp;AM265&amp;","</f>
        <v>BypassOpenStudio_ap,0,</v>
      </c>
      <c r="BQ265" s="31" t="str">
        <f t="shared" ref="BQ265:BQ328" si="1043">AN$13&amp;AN265&amp;","</f>
        <v>BypassOpenStudio_ab,0,</v>
      </c>
      <c r="BR265" s="31" t="str">
        <f t="shared" ref="BR265:BR328" si="1044">AO$13&amp;AO265&amp;","</f>
        <v>BypassOpenStudio_zp,0,</v>
      </c>
      <c r="BS265" s="31" t="str">
        <f t="shared" ref="BS265:BS328" si="1045">AP$13&amp;AP265&amp;","</f>
        <v>BypassOpenStudio_zb,0,</v>
      </c>
      <c r="BT265" s="31" t="str">
        <f t="shared" ref="BT265:BT328" si="1046">AQ$13&amp;AQ265&amp;","</f>
        <v>BypassOpenStudio_ap,0,</v>
      </c>
      <c r="BU265" s="31" t="str">
        <f t="shared" ref="BU265:BU328" si="1047">AR$13&amp;AR265&amp;","</f>
        <v>BypassOpenStudio_ab,0,</v>
      </c>
    </row>
    <row r="266" spans="1:73" outlineLevel="1" x14ac:dyDescent="0.25">
      <c r="A266" s="39">
        <f t="shared" si="1015"/>
        <v>1</v>
      </c>
      <c r="B266" s="27" t="str">
        <f t="shared" ref="B266:B329" si="1048">M$261&amp;N266&amp;".cibd16"</f>
        <v>SoftwareSensitivity2016Tests\SimplifiedGeometry\0300016-OffMed-Baseline_NDL.cibd16</v>
      </c>
      <c r="C266" s="27" t="str">
        <f t="shared" ref="C266:C329" si="1049" xml:space="preserve"> M$262 &amp; O266 &amp; ".cibd16"</f>
        <v>BatchOut_171026_r5178_FinalRel-v3-SSTSG_SSTSG\0300016-OffMed-Baseline_NDL.cibd16</v>
      </c>
      <c r="D266" s="27" t="str">
        <f t="shared" ref="D266:D329" si="1050">$M$263</f>
        <v>BatchOut_171026_r5178_FinalRel-v3-SSTSG_SSTSG\XML\</v>
      </c>
      <c r="E266" s="9" t="str">
        <f t="shared" ref="E266:E329" si="1051">M266</f>
        <v>0300016-OffMed-Baseline_NDL</v>
      </c>
      <c r="F266" s="22"/>
      <c r="G266" s="29"/>
      <c r="H266" s="23" t="str">
        <f t="shared" ref="H266:H329" si="1052">IF(F266&gt;1,1,"")</f>
        <v/>
      </c>
      <c r="I266" s="9" t="s">
        <v>11</v>
      </c>
      <c r="J26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6" s="15" t="s">
        <v>1</v>
      </c>
      <c r="L266" s="92">
        <f>L265</f>
        <v>1</v>
      </c>
      <c r="M266" s="91" t="str">
        <f t="shared" ref="M266:M329" si="1053">N266</f>
        <v>0300016-OffMed-Baseline_NDL</v>
      </c>
      <c r="N266" s="90" t="s">
        <v>164</v>
      </c>
      <c r="O266" s="90" t="str">
        <f t="shared" si="1017"/>
        <v>0300016-OffMed-Baseline_NDL</v>
      </c>
      <c r="P266" s="92">
        <f>P265</f>
        <v>1</v>
      </c>
      <c r="Q266" s="92">
        <f t="shared" ref="Q266:AR281" si="1054">Q265</f>
        <v>1</v>
      </c>
      <c r="R266" s="92">
        <f t="shared" si="1054"/>
        <v>0</v>
      </c>
      <c r="S266" s="92">
        <f t="shared" si="1054"/>
        <v>1</v>
      </c>
      <c r="T266" s="92">
        <f t="shared" si="1054"/>
        <v>0</v>
      </c>
      <c r="U266" s="92">
        <f t="shared" si="1054"/>
        <v>8</v>
      </c>
      <c r="V266" s="92">
        <f t="shared" si="1054"/>
        <v>8</v>
      </c>
      <c r="W266" s="92">
        <f t="shared" si="1054"/>
        <v>1</v>
      </c>
      <c r="X266" s="92">
        <f t="shared" si="1054"/>
        <v>0</v>
      </c>
      <c r="Y266" s="92">
        <f t="shared" si="1054"/>
        <v>0</v>
      </c>
      <c r="Z266" s="92">
        <f t="shared" si="1054"/>
        <v>0</v>
      </c>
      <c r="AA266" s="92">
        <f t="shared" si="1054"/>
        <v>0</v>
      </c>
      <c r="AB266" s="92">
        <f t="shared" si="1054"/>
        <v>1</v>
      </c>
      <c r="AC266" s="92">
        <f t="shared" si="1054"/>
        <v>0</v>
      </c>
      <c r="AD266" s="92">
        <f t="shared" si="1054"/>
        <v>1</v>
      </c>
      <c r="AE266" s="92">
        <f t="shared" si="1054"/>
        <v>0</v>
      </c>
      <c r="AF266" s="92">
        <f t="shared" si="1054"/>
        <v>0</v>
      </c>
      <c r="AG266" s="92">
        <f t="shared" si="1054"/>
        <v>0</v>
      </c>
      <c r="AH266" s="92">
        <f t="shared" si="1054"/>
        <v>0</v>
      </c>
      <c r="AI266" s="92">
        <f t="shared" si="1054"/>
        <v>0</v>
      </c>
      <c r="AJ266" s="92">
        <f t="shared" si="1054"/>
        <v>0</v>
      </c>
      <c r="AK266" s="92">
        <f t="shared" si="1054"/>
        <v>0</v>
      </c>
      <c r="AL266" s="92">
        <f t="shared" si="1054"/>
        <v>0</v>
      </c>
      <c r="AM266" s="92">
        <f t="shared" si="1054"/>
        <v>0</v>
      </c>
      <c r="AN266" s="92">
        <f t="shared" si="1054"/>
        <v>0</v>
      </c>
      <c r="AO266" s="92">
        <f t="shared" si="1054"/>
        <v>0</v>
      </c>
      <c r="AP266" s="92">
        <f t="shared" si="1054"/>
        <v>0</v>
      </c>
      <c r="AQ266" s="92">
        <f t="shared" si="1054"/>
        <v>0</v>
      </c>
      <c r="AR266" s="92">
        <f t="shared" si="1054"/>
        <v>0</v>
      </c>
      <c r="AS266" s="31" t="str">
        <f t="shared" si="1019"/>
        <v>SimulationStorage,1,</v>
      </c>
      <c r="AT266" s="31" t="str">
        <f t="shared" si="1020"/>
        <v>AnalysisStorage,1,</v>
      </c>
      <c r="AU266" s="31" t="str">
        <f t="shared" si="1021"/>
        <v>LogRuleEvaluation,0,</v>
      </c>
      <c r="AV266" s="31" t="str">
        <f t="shared" si="1022"/>
        <v>ParallelSimulations,1,</v>
      </c>
      <c r="AW266" s="31" t="str">
        <f t="shared" si="1023"/>
        <v>DurationStats,0,</v>
      </c>
      <c r="AX266" s="31" t="str">
        <f t="shared" si="1024"/>
        <v>AnalysisThruStep,8,</v>
      </c>
      <c r="AY266" s="31" t="str">
        <f t="shared" si="1025"/>
        <v>DontAbortOnErrorsThruStep,8,</v>
      </c>
      <c r="AZ266" s="31" t="str">
        <f t="shared" si="1026"/>
        <v>BypassValidFileChecks,1,</v>
      </c>
      <c r="BA266" s="31" t="str">
        <f t="shared" si="1027"/>
        <v>BypassInputChecks,0,</v>
      </c>
      <c r="BB266" s="31" t="str">
        <f t="shared" si="1028"/>
        <v>BypassUMLHChecks,0,</v>
      </c>
      <c r="BC266" s="31" t="str">
        <f t="shared" si="1029"/>
        <v>BypassCheckSimRules,0,</v>
      </c>
      <c r="BD266" s="31" t="str">
        <f t="shared" si="1030"/>
        <v>BypassCheckCodeRules,0,</v>
      </c>
      <c r="BE266" s="31" t="str">
        <f t="shared" si="1031"/>
        <v>StoreResultsToModelInput,1,</v>
      </c>
      <c r="BF266" s="31" t="str">
        <f t="shared" si="1032"/>
        <v>StoreBEMDetails,0,</v>
      </c>
      <c r="BG266" s="31" t="str">
        <f t="shared" si="1033"/>
        <v>ModelRpt_ALL,1,</v>
      </c>
      <c r="BH266" s="31" t="str">
        <f t="shared" si="1034"/>
        <v>ExportHourlyResults_All,0,</v>
      </c>
      <c r="BI266" s="31" t="str">
        <f t="shared" si="1035"/>
        <v>ComplianceReportPDF,0,</v>
      </c>
      <c r="BJ266" s="31" t="str">
        <f t="shared" si="1036"/>
        <v>ComplianceReportXML,0,</v>
      </c>
      <c r="BK266" s="31" t="str">
        <f t="shared" si="1037"/>
        <v>QuickAnalysis,0,</v>
      </c>
      <c r="BL266" s="31" t="str">
        <f t="shared" si="1038"/>
        <v>PromptUserUMLHWarning,0,</v>
      </c>
      <c r="BM266" s="31" t="str">
        <f t="shared" si="1039"/>
        <v>BypassOpenStudio_all,0,</v>
      </c>
      <c r="BN266" s="31" t="str">
        <f t="shared" si="1040"/>
        <v>BypassOpenStudio_zp,0,</v>
      </c>
      <c r="BO266" s="31" t="str">
        <f t="shared" si="1041"/>
        <v>BypassOpenStudio_zb,0,</v>
      </c>
      <c r="BP266" s="31" t="str">
        <f t="shared" si="1042"/>
        <v>BypassOpenStudio_ap,0,</v>
      </c>
      <c r="BQ266" s="31" t="str">
        <f t="shared" si="1043"/>
        <v>BypassOpenStudio_ab,0,</v>
      </c>
      <c r="BR266" s="31" t="str">
        <f t="shared" si="1044"/>
        <v>BypassOpenStudio_zp,0,</v>
      </c>
      <c r="BS266" s="31" t="str">
        <f t="shared" si="1045"/>
        <v>BypassOpenStudio_zb,0,</v>
      </c>
      <c r="BT266" s="31" t="str">
        <f t="shared" si="1046"/>
        <v>BypassOpenStudio_ap,0,</v>
      </c>
      <c r="BU266" s="31" t="str">
        <f t="shared" si="1047"/>
        <v>BypassOpenStudio_ab,0,</v>
      </c>
    </row>
    <row r="267" spans="1:73" outlineLevel="1" x14ac:dyDescent="0.25">
      <c r="A267" s="39">
        <f t="shared" si="1015"/>
        <v>1</v>
      </c>
      <c r="B267" s="27" t="str">
        <f t="shared" si="1048"/>
        <v>SoftwareSensitivity2016Tests\SimplifiedGeometry\0300016-OffMed-SG-Baseline.cibd16</v>
      </c>
      <c r="C267" s="27" t="str">
        <f t="shared" si="1049"/>
        <v>BatchOut_171026_r5178_FinalRel-v3-SSTSG_SSTSG\0300016-OffMed-SG-Baseline.cibd16</v>
      </c>
      <c r="D267" s="27" t="str">
        <f t="shared" si="1050"/>
        <v>BatchOut_171026_r5178_FinalRel-v3-SSTSG_SSTSG\XML\</v>
      </c>
      <c r="E267" s="9" t="str">
        <f t="shared" si="1051"/>
        <v>0300016-OffMed-SG-Baseline</v>
      </c>
      <c r="F267" s="22"/>
      <c r="G267" s="29"/>
      <c r="H267" s="23" t="str">
        <f t="shared" si="1052"/>
        <v/>
      </c>
      <c r="I267" s="9" t="s">
        <v>11</v>
      </c>
      <c r="J26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7" s="15" t="s">
        <v>1</v>
      </c>
      <c r="L267" s="92">
        <f t="shared" ref="L267:L330" si="1055">L266</f>
        <v>1</v>
      </c>
      <c r="M267" s="91" t="str">
        <f t="shared" si="1053"/>
        <v>0300016-OffMed-SG-Baseline</v>
      </c>
      <c r="N267" s="90" t="s">
        <v>165</v>
      </c>
      <c r="O267" s="90" t="str">
        <f t="shared" si="1017"/>
        <v>0300016-OffMed-SG-Baseline</v>
      </c>
      <c r="P267" s="92">
        <f t="shared" ref="P267:AB267" si="1056">P266</f>
        <v>1</v>
      </c>
      <c r="Q267" s="92">
        <f t="shared" si="1056"/>
        <v>1</v>
      </c>
      <c r="R267" s="92">
        <f t="shared" si="1056"/>
        <v>0</v>
      </c>
      <c r="S267" s="92">
        <f t="shared" si="1056"/>
        <v>1</v>
      </c>
      <c r="T267" s="92">
        <f t="shared" si="1056"/>
        <v>0</v>
      </c>
      <c r="U267" s="92">
        <f t="shared" si="1056"/>
        <v>8</v>
      </c>
      <c r="V267" s="92">
        <f t="shared" si="1056"/>
        <v>8</v>
      </c>
      <c r="W267" s="92">
        <f t="shared" si="1056"/>
        <v>1</v>
      </c>
      <c r="X267" s="92">
        <f t="shared" si="1056"/>
        <v>0</v>
      </c>
      <c r="Y267" s="92">
        <f t="shared" si="1056"/>
        <v>0</v>
      </c>
      <c r="Z267" s="92">
        <f t="shared" si="1056"/>
        <v>0</v>
      </c>
      <c r="AA267" s="92">
        <f t="shared" si="1056"/>
        <v>0</v>
      </c>
      <c r="AB267" s="92">
        <f t="shared" si="1056"/>
        <v>1</v>
      </c>
      <c r="AC267" s="92">
        <f t="shared" si="1054"/>
        <v>0</v>
      </c>
      <c r="AD267" s="92">
        <f t="shared" si="1054"/>
        <v>1</v>
      </c>
      <c r="AE267" s="92">
        <f t="shared" si="1054"/>
        <v>0</v>
      </c>
      <c r="AF267" s="92">
        <f t="shared" si="1054"/>
        <v>0</v>
      </c>
      <c r="AG267" s="92">
        <f t="shared" si="1054"/>
        <v>0</v>
      </c>
      <c r="AH267" s="92">
        <f t="shared" si="1054"/>
        <v>0</v>
      </c>
      <c r="AI267" s="92">
        <f t="shared" si="1054"/>
        <v>0</v>
      </c>
      <c r="AJ267" s="92">
        <f t="shared" si="1054"/>
        <v>0</v>
      </c>
      <c r="AK267" s="92">
        <f t="shared" si="1054"/>
        <v>0</v>
      </c>
      <c r="AL267" s="92">
        <f t="shared" si="1054"/>
        <v>0</v>
      </c>
      <c r="AM267" s="92">
        <f t="shared" si="1054"/>
        <v>0</v>
      </c>
      <c r="AN267" s="92">
        <f t="shared" si="1054"/>
        <v>0</v>
      </c>
      <c r="AO267" s="92">
        <f t="shared" si="1054"/>
        <v>0</v>
      </c>
      <c r="AP267" s="92">
        <f t="shared" si="1054"/>
        <v>0</v>
      </c>
      <c r="AQ267" s="92">
        <f t="shared" si="1054"/>
        <v>0</v>
      </c>
      <c r="AR267" s="92">
        <f t="shared" si="1054"/>
        <v>0</v>
      </c>
      <c r="AS267" s="31" t="str">
        <f t="shared" si="1019"/>
        <v>SimulationStorage,1,</v>
      </c>
      <c r="AT267" s="31" t="str">
        <f t="shared" si="1020"/>
        <v>AnalysisStorage,1,</v>
      </c>
      <c r="AU267" s="31" t="str">
        <f t="shared" si="1021"/>
        <v>LogRuleEvaluation,0,</v>
      </c>
      <c r="AV267" s="31" t="str">
        <f t="shared" si="1022"/>
        <v>ParallelSimulations,1,</v>
      </c>
      <c r="AW267" s="31" t="str">
        <f t="shared" si="1023"/>
        <v>DurationStats,0,</v>
      </c>
      <c r="AX267" s="31" t="str">
        <f t="shared" si="1024"/>
        <v>AnalysisThruStep,8,</v>
      </c>
      <c r="AY267" s="31" t="str">
        <f t="shared" si="1025"/>
        <v>DontAbortOnErrorsThruStep,8,</v>
      </c>
      <c r="AZ267" s="31" t="str">
        <f t="shared" si="1026"/>
        <v>BypassValidFileChecks,1,</v>
      </c>
      <c r="BA267" s="31" t="str">
        <f t="shared" si="1027"/>
        <v>BypassInputChecks,0,</v>
      </c>
      <c r="BB267" s="31" t="str">
        <f t="shared" si="1028"/>
        <v>BypassUMLHChecks,0,</v>
      </c>
      <c r="BC267" s="31" t="str">
        <f t="shared" si="1029"/>
        <v>BypassCheckSimRules,0,</v>
      </c>
      <c r="BD267" s="31" t="str">
        <f t="shared" si="1030"/>
        <v>BypassCheckCodeRules,0,</v>
      </c>
      <c r="BE267" s="31" t="str">
        <f t="shared" si="1031"/>
        <v>StoreResultsToModelInput,1,</v>
      </c>
      <c r="BF267" s="31" t="str">
        <f t="shared" si="1032"/>
        <v>StoreBEMDetails,0,</v>
      </c>
      <c r="BG267" s="31" t="str">
        <f t="shared" si="1033"/>
        <v>ModelRpt_ALL,1,</v>
      </c>
      <c r="BH267" s="31" t="str">
        <f t="shared" si="1034"/>
        <v>ExportHourlyResults_All,0,</v>
      </c>
      <c r="BI267" s="31" t="str">
        <f t="shared" si="1035"/>
        <v>ComplianceReportPDF,0,</v>
      </c>
      <c r="BJ267" s="31" t="str">
        <f t="shared" si="1036"/>
        <v>ComplianceReportXML,0,</v>
      </c>
      <c r="BK267" s="31" t="str">
        <f t="shared" si="1037"/>
        <v>QuickAnalysis,0,</v>
      </c>
      <c r="BL267" s="31" t="str">
        <f t="shared" si="1038"/>
        <v>PromptUserUMLHWarning,0,</v>
      </c>
      <c r="BM267" s="31" t="str">
        <f t="shared" si="1039"/>
        <v>BypassOpenStudio_all,0,</v>
      </c>
      <c r="BN267" s="31" t="str">
        <f t="shared" si="1040"/>
        <v>BypassOpenStudio_zp,0,</v>
      </c>
      <c r="BO267" s="31" t="str">
        <f t="shared" si="1041"/>
        <v>BypassOpenStudio_zb,0,</v>
      </c>
      <c r="BP267" s="31" t="str">
        <f t="shared" si="1042"/>
        <v>BypassOpenStudio_ap,0,</v>
      </c>
      <c r="BQ267" s="31" t="str">
        <f t="shared" si="1043"/>
        <v>BypassOpenStudio_ab,0,</v>
      </c>
      <c r="BR267" s="31" t="str">
        <f t="shared" si="1044"/>
        <v>BypassOpenStudio_zp,0,</v>
      </c>
      <c r="BS267" s="31" t="str">
        <f t="shared" si="1045"/>
        <v>BypassOpenStudio_zb,0,</v>
      </c>
      <c r="BT267" s="31" t="str">
        <f t="shared" si="1046"/>
        <v>BypassOpenStudio_ap,0,</v>
      </c>
      <c r="BU267" s="31" t="str">
        <f t="shared" si="1047"/>
        <v>BypassOpenStudio_ab,0,</v>
      </c>
    </row>
    <row r="268" spans="1:73" outlineLevel="1" x14ac:dyDescent="0.25">
      <c r="A268" s="39">
        <f t="shared" si="1015"/>
        <v>1</v>
      </c>
      <c r="B268" s="27" t="str">
        <f t="shared" si="1048"/>
        <v>SoftwareSensitivity2016Tests\SimplifiedGeometry\0303216-OffMed-LightingLowLPD_NDL.cibd16</v>
      </c>
      <c r="C268" s="27" t="str">
        <f t="shared" si="1049"/>
        <v>BatchOut_171026_r5178_FinalRel-v3-SSTSG_SSTSG\0303216-OffMed-LightingLowLPD_NDL.cibd16</v>
      </c>
      <c r="D268" s="27" t="str">
        <f t="shared" si="1050"/>
        <v>BatchOut_171026_r5178_FinalRel-v3-SSTSG_SSTSG\XML\</v>
      </c>
      <c r="E268" s="9" t="str">
        <f t="shared" si="1051"/>
        <v>0303216-OffMed-LightingLowLPD_NDL</v>
      </c>
      <c r="F268" s="22"/>
      <c r="G268" s="29"/>
      <c r="H268" s="23" t="str">
        <f t="shared" si="1052"/>
        <v/>
      </c>
      <c r="I268" s="9" t="s">
        <v>11</v>
      </c>
      <c r="J26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8" s="15" t="s">
        <v>1</v>
      </c>
      <c r="L268" s="92">
        <f t="shared" si="1055"/>
        <v>1</v>
      </c>
      <c r="M268" s="91" t="str">
        <f t="shared" si="1053"/>
        <v>0303216-OffMed-LightingLowLPD_NDL</v>
      </c>
      <c r="N268" s="90" t="s">
        <v>166</v>
      </c>
      <c r="O268" s="90" t="str">
        <f t="shared" si="1017"/>
        <v>0303216-OffMed-LightingLowLPD_NDL</v>
      </c>
      <c r="P268" s="92">
        <f t="shared" ref="P268:AB268" si="1057">P267</f>
        <v>1</v>
      </c>
      <c r="Q268" s="92">
        <f t="shared" si="1057"/>
        <v>1</v>
      </c>
      <c r="R268" s="92">
        <f t="shared" si="1057"/>
        <v>0</v>
      </c>
      <c r="S268" s="92">
        <f t="shared" si="1057"/>
        <v>1</v>
      </c>
      <c r="T268" s="92">
        <f t="shared" si="1057"/>
        <v>0</v>
      </c>
      <c r="U268" s="92">
        <f t="shared" si="1057"/>
        <v>8</v>
      </c>
      <c r="V268" s="92">
        <f t="shared" si="1057"/>
        <v>8</v>
      </c>
      <c r="W268" s="92">
        <f t="shared" si="1057"/>
        <v>1</v>
      </c>
      <c r="X268" s="92">
        <f t="shared" si="1057"/>
        <v>0</v>
      </c>
      <c r="Y268" s="92">
        <f t="shared" si="1057"/>
        <v>0</v>
      </c>
      <c r="Z268" s="92">
        <f t="shared" si="1057"/>
        <v>0</v>
      </c>
      <c r="AA268" s="92">
        <f t="shared" si="1057"/>
        <v>0</v>
      </c>
      <c r="AB268" s="92">
        <f t="shared" si="1057"/>
        <v>1</v>
      </c>
      <c r="AC268" s="92">
        <f t="shared" si="1054"/>
        <v>0</v>
      </c>
      <c r="AD268" s="92">
        <f t="shared" si="1054"/>
        <v>1</v>
      </c>
      <c r="AE268" s="92">
        <f t="shared" si="1054"/>
        <v>0</v>
      </c>
      <c r="AF268" s="92">
        <f t="shared" si="1054"/>
        <v>0</v>
      </c>
      <c r="AG268" s="92">
        <f t="shared" si="1054"/>
        <v>0</v>
      </c>
      <c r="AH268" s="92">
        <f t="shared" si="1054"/>
        <v>0</v>
      </c>
      <c r="AI268" s="92">
        <f t="shared" si="1054"/>
        <v>0</v>
      </c>
      <c r="AJ268" s="92">
        <f t="shared" si="1054"/>
        <v>0</v>
      </c>
      <c r="AK268" s="92">
        <f t="shared" si="1054"/>
        <v>0</v>
      </c>
      <c r="AL268" s="92">
        <f t="shared" si="1054"/>
        <v>0</v>
      </c>
      <c r="AM268" s="92">
        <f t="shared" si="1054"/>
        <v>0</v>
      </c>
      <c r="AN268" s="92">
        <f t="shared" si="1054"/>
        <v>0</v>
      </c>
      <c r="AO268" s="92">
        <f t="shared" si="1054"/>
        <v>0</v>
      </c>
      <c r="AP268" s="92">
        <f t="shared" si="1054"/>
        <v>0</v>
      </c>
      <c r="AQ268" s="92">
        <f t="shared" si="1054"/>
        <v>0</v>
      </c>
      <c r="AR268" s="92">
        <f t="shared" si="1054"/>
        <v>0</v>
      </c>
      <c r="AS268" s="31" t="str">
        <f t="shared" si="1019"/>
        <v>SimulationStorage,1,</v>
      </c>
      <c r="AT268" s="31" t="str">
        <f t="shared" si="1020"/>
        <v>AnalysisStorage,1,</v>
      </c>
      <c r="AU268" s="31" t="str">
        <f t="shared" si="1021"/>
        <v>LogRuleEvaluation,0,</v>
      </c>
      <c r="AV268" s="31" t="str">
        <f t="shared" si="1022"/>
        <v>ParallelSimulations,1,</v>
      </c>
      <c r="AW268" s="31" t="str">
        <f t="shared" si="1023"/>
        <v>DurationStats,0,</v>
      </c>
      <c r="AX268" s="31" t="str">
        <f t="shared" si="1024"/>
        <v>AnalysisThruStep,8,</v>
      </c>
      <c r="AY268" s="31" t="str">
        <f t="shared" si="1025"/>
        <v>DontAbortOnErrorsThruStep,8,</v>
      </c>
      <c r="AZ268" s="31" t="str">
        <f t="shared" si="1026"/>
        <v>BypassValidFileChecks,1,</v>
      </c>
      <c r="BA268" s="31" t="str">
        <f t="shared" si="1027"/>
        <v>BypassInputChecks,0,</v>
      </c>
      <c r="BB268" s="31" t="str">
        <f t="shared" si="1028"/>
        <v>BypassUMLHChecks,0,</v>
      </c>
      <c r="BC268" s="31" t="str">
        <f t="shared" si="1029"/>
        <v>BypassCheckSimRules,0,</v>
      </c>
      <c r="BD268" s="31" t="str">
        <f t="shared" si="1030"/>
        <v>BypassCheckCodeRules,0,</v>
      </c>
      <c r="BE268" s="31" t="str">
        <f t="shared" si="1031"/>
        <v>StoreResultsToModelInput,1,</v>
      </c>
      <c r="BF268" s="31" t="str">
        <f t="shared" si="1032"/>
        <v>StoreBEMDetails,0,</v>
      </c>
      <c r="BG268" s="31" t="str">
        <f t="shared" si="1033"/>
        <v>ModelRpt_ALL,1,</v>
      </c>
      <c r="BH268" s="31" t="str">
        <f t="shared" si="1034"/>
        <v>ExportHourlyResults_All,0,</v>
      </c>
      <c r="BI268" s="31" t="str">
        <f t="shared" si="1035"/>
        <v>ComplianceReportPDF,0,</v>
      </c>
      <c r="BJ268" s="31" t="str">
        <f t="shared" si="1036"/>
        <v>ComplianceReportXML,0,</v>
      </c>
      <c r="BK268" s="31" t="str">
        <f t="shared" si="1037"/>
        <v>QuickAnalysis,0,</v>
      </c>
      <c r="BL268" s="31" t="str">
        <f t="shared" si="1038"/>
        <v>PromptUserUMLHWarning,0,</v>
      </c>
      <c r="BM268" s="31" t="str">
        <f t="shared" si="1039"/>
        <v>BypassOpenStudio_all,0,</v>
      </c>
      <c r="BN268" s="31" t="str">
        <f t="shared" si="1040"/>
        <v>BypassOpenStudio_zp,0,</v>
      </c>
      <c r="BO268" s="31" t="str">
        <f t="shared" si="1041"/>
        <v>BypassOpenStudio_zb,0,</v>
      </c>
      <c r="BP268" s="31" t="str">
        <f t="shared" si="1042"/>
        <v>BypassOpenStudio_ap,0,</v>
      </c>
      <c r="BQ268" s="31" t="str">
        <f t="shared" si="1043"/>
        <v>BypassOpenStudio_ab,0,</v>
      </c>
      <c r="BR268" s="31" t="str">
        <f t="shared" si="1044"/>
        <v>BypassOpenStudio_zp,0,</v>
      </c>
      <c r="BS268" s="31" t="str">
        <f t="shared" si="1045"/>
        <v>BypassOpenStudio_zb,0,</v>
      </c>
      <c r="BT268" s="31" t="str">
        <f t="shared" si="1046"/>
        <v>BypassOpenStudio_ap,0,</v>
      </c>
      <c r="BU268" s="31" t="str">
        <f t="shared" si="1047"/>
        <v>BypassOpenStudio_ab,0,</v>
      </c>
    </row>
    <row r="269" spans="1:73" outlineLevel="1" x14ac:dyDescent="0.25">
      <c r="A269" s="39">
        <f t="shared" si="1015"/>
        <v>1</v>
      </c>
      <c r="B269" s="27" t="str">
        <f t="shared" si="1048"/>
        <v>SoftwareSensitivity2016Tests\SimplifiedGeometry\0303316-OffMed-LightingHighLPD_NDL.cibd16</v>
      </c>
      <c r="C269" s="27" t="str">
        <f t="shared" si="1049"/>
        <v>BatchOut_171026_r5178_FinalRel-v3-SSTSG_SSTSG\0303316-OffMed-LightingHighLPD_NDL.cibd16</v>
      </c>
      <c r="D269" s="27" t="str">
        <f t="shared" si="1050"/>
        <v>BatchOut_171026_r5178_FinalRel-v3-SSTSG_SSTSG\XML\</v>
      </c>
      <c r="E269" s="9" t="str">
        <f t="shared" si="1051"/>
        <v>0303316-OffMed-LightingHighLPD_NDL</v>
      </c>
      <c r="F269" s="22"/>
      <c r="G269" s="29"/>
      <c r="H269" s="23" t="str">
        <f t="shared" si="1052"/>
        <v/>
      </c>
      <c r="I269" s="9" t="s">
        <v>11</v>
      </c>
      <c r="J26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9" s="15" t="s">
        <v>1</v>
      </c>
      <c r="L269" s="92">
        <f t="shared" si="1055"/>
        <v>1</v>
      </c>
      <c r="M269" s="91" t="str">
        <f t="shared" si="1053"/>
        <v>0303316-OffMed-LightingHighLPD_NDL</v>
      </c>
      <c r="N269" s="90" t="s">
        <v>167</v>
      </c>
      <c r="O269" s="90" t="str">
        <f t="shared" si="1017"/>
        <v>0303316-OffMed-LightingHighLPD_NDL</v>
      </c>
      <c r="P269" s="92">
        <f t="shared" ref="P269:AB269" si="1058">P268</f>
        <v>1</v>
      </c>
      <c r="Q269" s="92">
        <f t="shared" si="1058"/>
        <v>1</v>
      </c>
      <c r="R269" s="92">
        <f t="shared" si="1058"/>
        <v>0</v>
      </c>
      <c r="S269" s="92">
        <f t="shared" si="1058"/>
        <v>1</v>
      </c>
      <c r="T269" s="92">
        <f t="shared" si="1058"/>
        <v>0</v>
      </c>
      <c r="U269" s="92">
        <f t="shared" si="1058"/>
        <v>8</v>
      </c>
      <c r="V269" s="92">
        <f t="shared" si="1058"/>
        <v>8</v>
      </c>
      <c r="W269" s="92">
        <f t="shared" si="1058"/>
        <v>1</v>
      </c>
      <c r="X269" s="92">
        <f t="shared" si="1058"/>
        <v>0</v>
      </c>
      <c r="Y269" s="92">
        <f t="shared" si="1058"/>
        <v>0</v>
      </c>
      <c r="Z269" s="92">
        <f t="shared" si="1058"/>
        <v>0</v>
      </c>
      <c r="AA269" s="92">
        <f t="shared" si="1058"/>
        <v>0</v>
      </c>
      <c r="AB269" s="92">
        <f t="shared" si="1058"/>
        <v>1</v>
      </c>
      <c r="AC269" s="92">
        <f t="shared" si="1054"/>
        <v>0</v>
      </c>
      <c r="AD269" s="92">
        <f t="shared" si="1054"/>
        <v>1</v>
      </c>
      <c r="AE269" s="92">
        <f t="shared" si="1054"/>
        <v>0</v>
      </c>
      <c r="AF269" s="92">
        <f t="shared" si="1054"/>
        <v>0</v>
      </c>
      <c r="AG269" s="92">
        <f t="shared" si="1054"/>
        <v>0</v>
      </c>
      <c r="AH269" s="92">
        <f t="shared" si="1054"/>
        <v>0</v>
      </c>
      <c r="AI269" s="92">
        <f t="shared" si="1054"/>
        <v>0</v>
      </c>
      <c r="AJ269" s="92">
        <f t="shared" si="1054"/>
        <v>0</v>
      </c>
      <c r="AK269" s="92">
        <f t="shared" si="1054"/>
        <v>0</v>
      </c>
      <c r="AL269" s="92">
        <f t="shared" si="1054"/>
        <v>0</v>
      </c>
      <c r="AM269" s="92">
        <f t="shared" si="1054"/>
        <v>0</v>
      </c>
      <c r="AN269" s="92">
        <f t="shared" si="1054"/>
        <v>0</v>
      </c>
      <c r="AO269" s="92">
        <f t="shared" si="1054"/>
        <v>0</v>
      </c>
      <c r="AP269" s="92">
        <f t="shared" si="1054"/>
        <v>0</v>
      </c>
      <c r="AQ269" s="92">
        <f t="shared" si="1054"/>
        <v>0</v>
      </c>
      <c r="AR269" s="92">
        <f t="shared" si="1054"/>
        <v>0</v>
      </c>
      <c r="AS269" s="31" t="str">
        <f t="shared" si="1019"/>
        <v>SimulationStorage,1,</v>
      </c>
      <c r="AT269" s="31" t="str">
        <f t="shared" si="1020"/>
        <v>AnalysisStorage,1,</v>
      </c>
      <c r="AU269" s="31" t="str">
        <f t="shared" si="1021"/>
        <v>LogRuleEvaluation,0,</v>
      </c>
      <c r="AV269" s="31" t="str">
        <f t="shared" si="1022"/>
        <v>ParallelSimulations,1,</v>
      </c>
      <c r="AW269" s="31" t="str">
        <f t="shared" si="1023"/>
        <v>DurationStats,0,</v>
      </c>
      <c r="AX269" s="31" t="str">
        <f t="shared" si="1024"/>
        <v>AnalysisThruStep,8,</v>
      </c>
      <c r="AY269" s="31" t="str">
        <f t="shared" si="1025"/>
        <v>DontAbortOnErrorsThruStep,8,</v>
      </c>
      <c r="AZ269" s="31" t="str">
        <f t="shared" si="1026"/>
        <v>BypassValidFileChecks,1,</v>
      </c>
      <c r="BA269" s="31" t="str">
        <f t="shared" si="1027"/>
        <v>BypassInputChecks,0,</v>
      </c>
      <c r="BB269" s="31" t="str">
        <f t="shared" si="1028"/>
        <v>BypassUMLHChecks,0,</v>
      </c>
      <c r="BC269" s="31" t="str">
        <f t="shared" si="1029"/>
        <v>BypassCheckSimRules,0,</v>
      </c>
      <c r="BD269" s="31" t="str">
        <f t="shared" si="1030"/>
        <v>BypassCheckCodeRules,0,</v>
      </c>
      <c r="BE269" s="31" t="str">
        <f t="shared" si="1031"/>
        <v>StoreResultsToModelInput,1,</v>
      </c>
      <c r="BF269" s="31" t="str">
        <f t="shared" si="1032"/>
        <v>StoreBEMDetails,0,</v>
      </c>
      <c r="BG269" s="31" t="str">
        <f t="shared" si="1033"/>
        <v>ModelRpt_ALL,1,</v>
      </c>
      <c r="BH269" s="31" t="str">
        <f t="shared" si="1034"/>
        <v>ExportHourlyResults_All,0,</v>
      </c>
      <c r="BI269" s="31" t="str">
        <f t="shared" si="1035"/>
        <v>ComplianceReportPDF,0,</v>
      </c>
      <c r="BJ269" s="31" t="str">
        <f t="shared" si="1036"/>
        <v>ComplianceReportXML,0,</v>
      </c>
      <c r="BK269" s="31" t="str">
        <f t="shared" si="1037"/>
        <v>QuickAnalysis,0,</v>
      </c>
      <c r="BL269" s="31" t="str">
        <f t="shared" si="1038"/>
        <v>PromptUserUMLHWarning,0,</v>
      </c>
      <c r="BM269" s="31" t="str">
        <f t="shared" si="1039"/>
        <v>BypassOpenStudio_all,0,</v>
      </c>
      <c r="BN269" s="31" t="str">
        <f t="shared" si="1040"/>
        <v>BypassOpenStudio_zp,0,</v>
      </c>
      <c r="BO269" s="31" t="str">
        <f t="shared" si="1041"/>
        <v>BypassOpenStudio_zb,0,</v>
      </c>
      <c r="BP269" s="31" t="str">
        <f t="shared" si="1042"/>
        <v>BypassOpenStudio_ap,0,</v>
      </c>
      <c r="BQ269" s="31" t="str">
        <f t="shared" si="1043"/>
        <v>BypassOpenStudio_ab,0,</v>
      </c>
      <c r="BR269" s="31" t="str">
        <f t="shared" si="1044"/>
        <v>BypassOpenStudio_zp,0,</v>
      </c>
      <c r="BS269" s="31" t="str">
        <f t="shared" si="1045"/>
        <v>BypassOpenStudio_zb,0,</v>
      </c>
      <c r="BT269" s="31" t="str">
        <f t="shared" si="1046"/>
        <v>BypassOpenStudio_ap,0,</v>
      </c>
      <c r="BU269" s="31" t="str">
        <f t="shared" si="1047"/>
        <v>BypassOpenStudio_ab,0,</v>
      </c>
    </row>
    <row r="270" spans="1:73" outlineLevel="1" x14ac:dyDescent="0.25">
      <c r="A270" s="39">
        <f t="shared" si="1015"/>
        <v>1</v>
      </c>
      <c r="B270" s="27" t="str">
        <f t="shared" si="1048"/>
        <v>SoftwareSensitivity2016Tests\SimplifiedGeometry\0303406-OffMed-LightingLowLPD_NDL.cibd16</v>
      </c>
      <c r="C270" s="27" t="str">
        <f t="shared" si="1049"/>
        <v>BatchOut_171026_r5178_FinalRel-v3-SSTSG_SSTSG\0303406-OffMed-LightingLowLPD_NDL.cibd16</v>
      </c>
      <c r="D270" s="27" t="str">
        <f t="shared" si="1050"/>
        <v>BatchOut_171026_r5178_FinalRel-v3-SSTSG_SSTSG\XML\</v>
      </c>
      <c r="E270" s="9" t="str">
        <f t="shared" si="1051"/>
        <v>0303406-OffMed-LightingLowLPD_NDL</v>
      </c>
      <c r="F270" s="22"/>
      <c r="G270" s="29"/>
      <c r="H270" s="23" t="str">
        <f t="shared" si="1052"/>
        <v/>
      </c>
      <c r="I270" s="9" t="s">
        <v>11</v>
      </c>
      <c r="J27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0" s="15" t="s">
        <v>1</v>
      </c>
      <c r="L270" s="92">
        <f t="shared" si="1055"/>
        <v>1</v>
      </c>
      <c r="M270" s="91" t="str">
        <f t="shared" si="1053"/>
        <v>0303406-OffMed-LightingLowLPD_NDL</v>
      </c>
      <c r="N270" s="90" t="s">
        <v>168</v>
      </c>
      <c r="O270" s="90" t="str">
        <f t="shared" si="1017"/>
        <v>0303406-OffMed-LightingLowLPD_NDL</v>
      </c>
      <c r="P270" s="92">
        <f t="shared" ref="P270:AB270" si="1059">P269</f>
        <v>1</v>
      </c>
      <c r="Q270" s="92">
        <f t="shared" si="1059"/>
        <v>1</v>
      </c>
      <c r="R270" s="92">
        <f t="shared" si="1059"/>
        <v>0</v>
      </c>
      <c r="S270" s="92">
        <f t="shared" si="1059"/>
        <v>1</v>
      </c>
      <c r="T270" s="92">
        <f t="shared" si="1059"/>
        <v>0</v>
      </c>
      <c r="U270" s="92">
        <f t="shared" si="1059"/>
        <v>8</v>
      </c>
      <c r="V270" s="92">
        <f t="shared" si="1059"/>
        <v>8</v>
      </c>
      <c r="W270" s="92">
        <f t="shared" si="1059"/>
        <v>1</v>
      </c>
      <c r="X270" s="92">
        <f t="shared" si="1059"/>
        <v>0</v>
      </c>
      <c r="Y270" s="92">
        <f t="shared" si="1059"/>
        <v>0</v>
      </c>
      <c r="Z270" s="92">
        <f t="shared" si="1059"/>
        <v>0</v>
      </c>
      <c r="AA270" s="92">
        <f t="shared" si="1059"/>
        <v>0</v>
      </c>
      <c r="AB270" s="92">
        <f t="shared" si="1059"/>
        <v>1</v>
      </c>
      <c r="AC270" s="92">
        <f t="shared" si="1054"/>
        <v>0</v>
      </c>
      <c r="AD270" s="92">
        <f t="shared" si="1054"/>
        <v>1</v>
      </c>
      <c r="AE270" s="92">
        <f t="shared" si="1054"/>
        <v>0</v>
      </c>
      <c r="AF270" s="92">
        <f t="shared" si="1054"/>
        <v>0</v>
      </c>
      <c r="AG270" s="92">
        <f t="shared" si="1054"/>
        <v>0</v>
      </c>
      <c r="AH270" s="92">
        <f t="shared" si="1054"/>
        <v>0</v>
      </c>
      <c r="AI270" s="92">
        <f t="shared" si="1054"/>
        <v>0</v>
      </c>
      <c r="AJ270" s="92">
        <f t="shared" si="1054"/>
        <v>0</v>
      </c>
      <c r="AK270" s="92">
        <f t="shared" si="1054"/>
        <v>0</v>
      </c>
      <c r="AL270" s="92">
        <f t="shared" si="1054"/>
        <v>0</v>
      </c>
      <c r="AM270" s="92">
        <f t="shared" si="1054"/>
        <v>0</v>
      </c>
      <c r="AN270" s="92">
        <f t="shared" si="1054"/>
        <v>0</v>
      </c>
      <c r="AO270" s="92">
        <f t="shared" si="1054"/>
        <v>0</v>
      </c>
      <c r="AP270" s="92">
        <f t="shared" si="1054"/>
        <v>0</v>
      </c>
      <c r="AQ270" s="92">
        <f t="shared" si="1054"/>
        <v>0</v>
      </c>
      <c r="AR270" s="92">
        <f t="shared" si="1054"/>
        <v>0</v>
      </c>
      <c r="AS270" s="31" t="str">
        <f t="shared" si="1019"/>
        <v>SimulationStorage,1,</v>
      </c>
      <c r="AT270" s="31" t="str">
        <f t="shared" si="1020"/>
        <v>AnalysisStorage,1,</v>
      </c>
      <c r="AU270" s="31" t="str">
        <f t="shared" si="1021"/>
        <v>LogRuleEvaluation,0,</v>
      </c>
      <c r="AV270" s="31" t="str">
        <f t="shared" si="1022"/>
        <v>ParallelSimulations,1,</v>
      </c>
      <c r="AW270" s="31" t="str">
        <f t="shared" si="1023"/>
        <v>DurationStats,0,</v>
      </c>
      <c r="AX270" s="31" t="str">
        <f t="shared" si="1024"/>
        <v>AnalysisThruStep,8,</v>
      </c>
      <c r="AY270" s="31" t="str">
        <f t="shared" si="1025"/>
        <v>DontAbortOnErrorsThruStep,8,</v>
      </c>
      <c r="AZ270" s="31" t="str">
        <f t="shared" si="1026"/>
        <v>BypassValidFileChecks,1,</v>
      </c>
      <c r="BA270" s="31" t="str">
        <f t="shared" si="1027"/>
        <v>BypassInputChecks,0,</v>
      </c>
      <c r="BB270" s="31" t="str">
        <f t="shared" si="1028"/>
        <v>BypassUMLHChecks,0,</v>
      </c>
      <c r="BC270" s="31" t="str">
        <f t="shared" si="1029"/>
        <v>BypassCheckSimRules,0,</v>
      </c>
      <c r="BD270" s="31" t="str">
        <f t="shared" si="1030"/>
        <v>BypassCheckCodeRules,0,</v>
      </c>
      <c r="BE270" s="31" t="str">
        <f t="shared" si="1031"/>
        <v>StoreResultsToModelInput,1,</v>
      </c>
      <c r="BF270" s="31" t="str">
        <f t="shared" si="1032"/>
        <v>StoreBEMDetails,0,</v>
      </c>
      <c r="BG270" s="31" t="str">
        <f t="shared" si="1033"/>
        <v>ModelRpt_ALL,1,</v>
      </c>
      <c r="BH270" s="31" t="str">
        <f t="shared" si="1034"/>
        <v>ExportHourlyResults_All,0,</v>
      </c>
      <c r="BI270" s="31" t="str">
        <f t="shared" si="1035"/>
        <v>ComplianceReportPDF,0,</v>
      </c>
      <c r="BJ270" s="31" t="str">
        <f t="shared" si="1036"/>
        <v>ComplianceReportXML,0,</v>
      </c>
      <c r="BK270" s="31" t="str">
        <f t="shared" si="1037"/>
        <v>QuickAnalysis,0,</v>
      </c>
      <c r="BL270" s="31" t="str">
        <f t="shared" si="1038"/>
        <v>PromptUserUMLHWarning,0,</v>
      </c>
      <c r="BM270" s="31" t="str">
        <f t="shared" si="1039"/>
        <v>BypassOpenStudio_all,0,</v>
      </c>
      <c r="BN270" s="31" t="str">
        <f t="shared" si="1040"/>
        <v>BypassOpenStudio_zp,0,</v>
      </c>
      <c r="BO270" s="31" t="str">
        <f t="shared" si="1041"/>
        <v>BypassOpenStudio_zb,0,</v>
      </c>
      <c r="BP270" s="31" t="str">
        <f t="shared" si="1042"/>
        <v>BypassOpenStudio_ap,0,</v>
      </c>
      <c r="BQ270" s="31" t="str">
        <f t="shared" si="1043"/>
        <v>BypassOpenStudio_ab,0,</v>
      </c>
      <c r="BR270" s="31" t="str">
        <f t="shared" si="1044"/>
        <v>BypassOpenStudio_zp,0,</v>
      </c>
      <c r="BS270" s="31" t="str">
        <f t="shared" si="1045"/>
        <v>BypassOpenStudio_zb,0,</v>
      </c>
      <c r="BT270" s="31" t="str">
        <f t="shared" si="1046"/>
        <v>BypassOpenStudio_ap,0,</v>
      </c>
      <c r="BU270" s="31" t="str">
        <f t="shared" si="1047"/>
        <v>BypassOpenStudio_ab,0,</v>
      </c>
    </row>
    <row r="271" spans="1:73" outlineLevel="1" x14ac:dyDescent="0.25">
      <c r="A271" s="39">
        <f t="shared" si="1015"/>
        <v>1</v>
      </c>
      <c r="B271" s="27" t="str">
        <f t="shared" si="1048"/>
        <v>SoftwareSensitivity2016Tests\SimplifiedGeometry\0303506-OffMed-LightingHighLPD_NDL.cibd16</v>
      </c>
      <c r="C271" s="27" t="str">
        <f t="shared" si="1049"/>
        <v>BatchOut_171026_r5178_FinalRel-v3-SSTSG_SSTSG\0303506-OffMed-LightingHighLPD_NDL.cibd16</v>
      </c>
      <c r="D271" s="27" t="str">
        <f t="shared" si="1050"/>
        <v>BatchOut_171026_r5178_FinalRel-v3-SSTSG_SSTSG\XML\</v>
      </c>
      <c r="E271" s="9" t="str">
        <f t="shared" si="1051"/>
        <v>0303506-OffMed-LightingHighLPD_NDL</v>
      </c>
      <c r="F271" s="22"/>
      <c r="G271" s="29"/>
      <c r="H271" s="23" t="str">
        <f t="shared" si="1052"/>
        <v/>
      </c>
      <c r="I271" s="9" t="s">
        <v>11</v>
      </c>
      <c r="J27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1" s="15" t="s">
        <v>1</v>
      </c>
      <c r="L271" s="92">
        <f t="shared" si="1055"/>
        <v>1</v>
      </c>
      <c r="M271" s="91" t="str">
        <f t="shared" si="1053"/>
        <v>0303506-OffMed-LightingHighLPD_NDL</v>
      </c>
      <c r="N271" s="90" t="s">
        <v>169</v>
      </c>
      <c r="O271" s="90" t="str">
        <f t="shared" si="1017"/>
        <v>0303506-OffMed-LightingHighLPD_NDL</v>
      </c>
      <c r="P271" s="92">
        <f t="shared" ref="P271:AB271" si="1060">P270</f>
        <v>1</v>
      </c>
      <c r="Q271" s="92">
        <f t="shared" si="1060"/>
        <v>1</v>
      </c>
      <c r="R271" s="92">
        <f t="shared" si="1060"/>
        <v>0</v>
      </c>
      <c r="S271" s="92">
        <f t="shared" si="1060"/>
        <v>1</v>
      </c>
      <c r="T271" s="92">
        <f t="shared" si="1060"/>
        <v>0</v>
      </c>
      <c r="U271" s="92">
        <f t="shared" si="1060"/>
        <v>8</v>
      </c>
      <c r="V271" s="92">
        <f t="shared" si="1060"/>
        <v>8</v>
      </c>
      <c r="W271" s="92">
        <f t="shared" si="1060"/>
        <v>1</v>
      </c>
      <c r="X271" s="92">
        <f t="shared" si="1060"/>
        <v>0</v>
      </c>
      <c r="Y271" s="92">
        <f t="shared" si="1060"/>
        <v>0</v>
      </c>
      <c r="Z271" s="92">
        <f t="shared" si="1060"/>
        <v>0</v>
      </c>
      <c r="AA271" s="92">
        <f t="shared" si="1060"/>
        <v>0</v>
      </c>
      <c r="AB271" s="92">
        <f t="shared" si="1060"/>
        <v>1</v>
      </c>
      <c r="AC271" s="92">
        <f t="shared" si="1054"/>
        <v>0</v>
      </c>
      <c r="AD271" s="92">
        <f t="shared" si="1054"/>
        <v>1</v>
      </c>
      <c r="AE271" s="92">
        <f t="shared" si="1054"/>
        <v>0</v>
      </c>
      <c r="AF271" s="92">
        <f t="shared" si="1054"/>
        <v>0</v>
      </c>
      <c r="AG271" s="92">
        <f t="shared" si="1054"/>
        <v>0</v>
      </c>
      <c r="AH271" s="92">
        <f t="shared" si="1054"/>
        <v>0</v>
      </c>
      <c r="AI271" s="92">
        <f t="shared" si="1054"/>
        <v>0</v>
      </c>
      <c r="AJ271" s="92">
        <f t="shared" si="1054"/>
        <v>0</v>
      </c>
      <c r="AK271" s="92">
        <f t="shared" si="1054"/>
        <v>0</v>
      </c>
      <c r="AL271" s="92">
        <f t="shared" si="1054"/>
        <v>0</v>
      </c>
      <c r="AM271" s="92">
        <f t="shared" si="1054"/>
        <v>0</v>
      </c>
      <c r="AN271" s="92">
        <f t="shared" si="1054"/>
        <v>0</v>
      </c>
      <c r="AO271" s="92">
        <f t="shared" si="1054"/>
        <v>0</v>
      </c>
      <c r="AP271" s="92">
        <f t="shared" si="1054"/>
        <v>0</v>
      </c>
      <c r="AQ271" s="92">
        <f t="shared" si="1054"/>
        <v>0</v>
      </c>
      <c r="AR271" s="92">
        <f t="shared" si="1054"/>
        <v>0</v>
      </c>
      <c r="AS271" s="31" t="str">
        <f t="shared" si="1019"/>
        <v>SimulationStorage,1,</v>
      </c>
      <c r="AT271" s="31" t="str">
        <f t="shared" si="1020"/>
        <v>AnalysisStorage,1,</v>
      </c>
      <c r="AU271" s="31" t="str">
        <f t="shared" si="1021"/>
        <v>LogRuleEvaluation,0,</v>
      </c>
      <c r="AV271" s="31" t="str">
        <f t="shared" si="1022"/>
        <v>ParallelSimulations,1,</v>
      </c>
      <c r="AW271" s="31" t="str">
        <f t="shared" si="1023"/>
        <v>DurationStats,0,</v>
      </c>
      <c r="AX271" s="31" t="str">
        <f t="shared" si="1024"/>
        <v>AnalysisThruStep,8,</v>
      </c>
      <c r="AY271" s="31" t="str">
        <f t="shared" si="1025"/>
        <v>DontAbortOnErrorsThruStep,8,</v>
      </c>
      <c r="AZ271" s="31" t="str">
        <f t="shared" si="1026"/>
        <v>BypassValidFileChecks,1,</v>
      </c>
      <c r="BA271" s="31" t="str">
        <f t="shared" si="1027"/>
        <v>BypassInputChecks,0,</v>
      </c>
      <c r="BB271" s="31" t="str">
        <f t="shared" si="1028"/>
        <v>BypassUMLHChecks,0,</v>
      </c>
      <c r="BC271" s="31" t="str">
        <f t="shared" si="1029"/>
        <v>BypassCheckSimRules,0,</v>
      </c>
      <c r="BD271" s="31" t="str">
        <f t="shared" si="1030"/>
        <v>BypassCheckCodeRules,0,</v>
      </c>
      <c r="BE271" s="31" t="str">
        <f t="shared" si="1031"/>
        <v>StoreResultsToModelInput,1,</v>
      </c>
      <c r="BF271" s="31" t="str">
        <f t="shared" si="1032"/>
        <v>StoreBEMDetails,0,</v>
      </c>
      <c r="BG271" s="31" t="str">
        <f t="shared" si="1033"/>
        <v>ModelRpt_ALL,1,</v>
      </c>
      <c r="BH271" s="31" t="str">
        <f t="shared" si="1034"/>
        <v>ExportHourlyResults_All,0,</v>
      </c>
      <c r="BI271" s="31" t="str">
        <f t="shared" si="1035"/>
        <v>ComplianceReportPDF,0,</v>
      </c>
      <c r="BJ271" s="31" t="str">
        <f t="shared" si="1036"/>
        <v>ComplianceReportXML,0,</v>
      </c>
      <c r="BK271" s="31" t="str">
        <f t="shared" si="1037"/>
        <v>QuickAnalysis,0,</v>
      </c>
      <c r="BL271" s="31" t="str">
        <f t="shared" si="1038"/>
        <v>PromptUserUMLHWarning,0,</v>
      </c>
      <c r="BM271" s="31" t="str">
        <f t="shared" si="1039"/>
        <v>BypassOpenStudio_all,0,</v>
      </c>
      <c r="BN271" s="31" t="str">
        <f t="shared" si="1040"/>
        <v>BypassOpenStudio_zp,0,</v>
      </c>
      <c r="BO271" s="31" t="str">
        <f t="shared" si="1041"/>
        <v>BypassOpenStudio_zb,0,</v>
      </c>
      <c r="BP271" s="31" t="str">
        <f t="shared" si="1042"/>
        <v>BypassOpenStudio_ap,0,</v>
      </c>
      <c r="BQ271" s="31" t="str">
        <f t="shared" si="1043"/>
        <v>BypassOpenStudio_ab,0,</v>
      </c>
      <c r="BR271" s="31" t="str">
        <f t="shared" si="1044"/>
        <v>BypassOpenStudio_zp,0,</v>
      </c>
      <c r="BS271" s="31" t="str">
        <f t="shared" si="1045"/>
        <v>BypassOpenStudio_zb,0,</v>
      </c>
      <c r="BT271" s="31" t="str">
        <f t="shared" si="1046"/>
        <v>BypassOpenStudio_ap,0,</v>
      </c>
      <c r="BU271" s="31" t="str">
        <f t="shared" si="1047"/>
        <v>BypassOpenStudio_ab,0,</v>
      </c>
    </row>
    <row r="272" spans="1:73" outlineLevel="1" x14ac:dyDescent="0.25">
      <c r="A272" s="39">
        <f t="shared" si="1015"/>
        <v>1</v>
      </c>
      <c r="B272" s="27" t="str">
        <f t="shared" si="1048"/>
        <v>SoftwareSensitivity2016Tests\SimplifiedGeometry\0307216-OffMed-HVACPVAV Design_NDL.cibd16</v>
      </c>
      <c r="C272" s="27" t="str">
        <f t="shared" si="1049"/>
        <v>BatchOut_171026_r5178_FinalRel-v3-SSTSG_SSTSG\0307216-OffMed-HVACPVAV Design_NDL.cibd16</v>
      </c>
      <c r="D272" s="27" t="str">
        <f t="shared" si="1050"/>
        <v>BatchOut_171026_r5178_FinalRel-v3-SSTSG_SSTSG\XML\</v>
      </c>
      <c r="E272" s="9" t="str">
        <f t="shared" si="1051"/>
        <v>0307216-OffMed-HVACPVAV Design_NDL</v>
      </c>
      <c r="F272" s="22"/>
      <c r="G272" s="29"/>
      <c r="H272" s="23" t="str">
        <f t="shared" si="1052"/>
        <v/>
      </c>
      <c r="I272" s="9" t="s">
        <v>11</v>
      </c>
      <c r="J27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2" s="15" t="s">
        <v>1</v>
      </c>
      <c r="L272" s="92">
        <f t="shared" si="1055"/>
        <v>1</v>
      </c>
      <c r="M272" s="91" t="str">
        <f t="shared" si="1053"/>
        <v>0307216-OffMed-HVACPVAV Design_NDL</v>
      </c>
      <c r="N272" s="90" t="s">
        <v>170</v>
      </c>
      <c r="O272" s="90" t="str">
        <f t="shared" si="1017"/>
        <v>0307216-OffMed-HVACPVAV Design_NDL</v>
      </c>
      <c r="P272" s="92">
        <f t="shared" ref="P272:AB272" si="1061">P271</f>
        <v>1</v>
      </c>
      <c r="Q272" s="92">
        <f t="shared" si="1061"/>
        <v>1</v>
      </c>
      <c r="R272" s="92">
        <f t="shared" si="1061"/>
        <v>0</v>
      </c>
      <c r="S272" s="92">
        <f t="shared" si="1061"/>
        <v>1</v>
      </c>
      <c r="T272" s="92">
        <f t="shared" si="1061"/>
        <v>0</v>
      </c>
      <c r="U272" s="92">
        <f t="shared" si="1061"/>
        <v>8</v>
      </c>
      <c r="V272" s="92">
        <f t="shared" si="1061"/>
        <v>8</v>
      </c>
      <c r="W272" s="92">
        <f t="shared" si="1061"/>
        <v>1</v>
      </c>
      <c r="X272" s="92">
        <f t="shared" si="1061"/>
        <v>0</v>
      </c>
      <c r="Y272" s="92">
        <f t="shared" si="1061"/>
        <v>0</v>
      </c>
      <c r="Z272" s="92">
        <f t="shared" si="1061"/>
        <v>0</v>
      </c>
      <c r="AA272" s="92">
        <f t="shared" si="1061"/>
        <v>0</v>
      </c>
      <c r="AB272" s="92">
        <f t="shared" si="1061"/>
        <v>1</v>
      </c>
      <c r="AC272" s="92">
        <f t="shared" si="1054"/>
        <v>0</v>
      </c>
      <c r="AD272" s="92">
        <f t="shared" si="1054"/>
        <v>1</v>
      </c>
      <c r="AE272" s="92">
        <f t="shared" si="1054"/>
        <v>0</v>
      </c>
      <c r="AF272" s="92">
        <f t="shared" si="1054"/>
        <v>0</v>
      </c>
      <c r="AG272" s="92">
        <f t="shared" si="1054"/>
        <v>0</v>
      </c>
      <c r="AH272" s="92">
        <f t="shared" si="1054"/>
        <v>0</v>
      </c>
      <c r="AI272" s="92">
        <f t="shared" si="1054"/>
        <v>0</v>
      </c>
      <c r="AJ272" s="92">
        <f t="shared" si="1054"/>
        <v>0</v>
      </c>
      <c r="AK272" s="92">
        <f t="shared" si="1054"/>
        <v>0</v>
      </c>
      <c r="AL272" s="92">
        <f t="shared" si="1054"/>
        <v>0</v>
      </c>
      <c r="AM272" s="92">
        <f t="shared" si="1054"/>
        <v>0</v>
      </c>
      <c r="AN272" s="92">
        <f t="shared" si="1054"/>
        <v>0</v>
      </c>
      <c r="AO272" s="92">
        <f t="shared" si="1054"/>
        <v>0</v>
      </c>
      <c r="AP272" s="92">
        <f t="shared" si="1054"/>
        <v>0</v>
      </c>
      <c r="AQ272" s="92">
        <f t="shared" si="1054"/>
        <v>0</v>
      </c>
      <c r="AR272" s="92">
        <f t="shared" si="1054"/>
        <v>0</v>
      </c>
      <c r="AS272" s="31" t="str">
        <f t="shared" si="1019"/>
        <v>SimulationStorage,1,</v>
      </c>
      <c r="AT272" s="31" t="str">
        <f t="shared" si="1020"/>
        <v>AnalysisStorage,1,</v>
      </c>
      <c r="AU272" s="31" t="str">
        <f t="shared" si="1021"/>
        <v>LogRuleEvaluation,0,</v>
      </c>
      <c r="AV272" s="31" t="str">
        <f t="shared" si="1022"/>
        <v>ParallelSimulations,1,</v>
      </c>
      <c r="AW272" s="31" t="str">
        <f t="shared" si="1023"/>
        <v>DurationStats,0,</v>
      </c>
      <c r="AX272" s="31" t="str">
        <f t="shared" si="1024"/>
        <v>AnalysisThruStep,8,</v>
      </c>
      <c r="AY272" s="31" t="str">
        <f t="shared" si="1025"/>
        <v>DontAbortOnErrorsThruStep,8,</v>
      </c>
      <c r="AZ272" s="31" t="str">
        <f t="shared" si="1026"/>
        <v>BypassValidFileChecks,1,</v>
      </c>
      <c r="BA272" s="31" t="str">
        <f t="shared" si="1027"/>
        <v>BypassInputChecks,0,</v>
      </c>
      <c r="BB272" s="31" t="str">
        <f t="shared" si="1028"/>
        <v>BypassUMLHChecks,0,</v>
      </c>
      <c r="BC272" s="31" t="str">
        <f t="shared" si="1029"/>
        <v>BypassCheckSimRules,0,</v>
      </c>
      <c r="BD272" s="31" t="str">
        <f t="shared" si="1030"/>
        <v>BypassCheckCodeRules,0,</v>
      </c>
      <c r="BE272" s="31" t="str">
        <f t="shared" si="1031"/>
        <v>StoreResultsToModelInput,1,</v>
      </c>
      <c r="BF272" s="31" t="str">
        <f t="shared" si="1032"/>
        <v>StoreBEMDetails,0,</v>
      </c>
      <c r="BG272" s="31" t="str">
        <f t="shared" si="1033"/>
        <v>ModelRpt_ALL,1,</v>
      </c>
      <c r="BH272" s="31" t="str">
        <f t="shared" si="1034"/>
        <v>ExportHourlyResults_All,0,</v>
      </c>
      <c r="BI272" s="31" t="str">
        <f t="shared" si="1035"/>
        <v>ComplianceReportPDF,0,</v>
      </c>
      <c r="BJ272" s="31" t="str">
        <f t="shared" si="1036"/>
        <v>ComplianceReportXML,0,</v>
      </c>
      <c r="BK272" s="31" t="str">
        <f t="shared" si="1037"/>
        <v>QuickAnalysis,0,</v>
      </c>
      <c r="BL272" s="31" t="str">
        <f t="shared" si="1038"/>
        <v>PromptUserUMLHWarning,0,</v>
      </c>
      <c r="BM272" s="31" t="str">
        <f t="shared" si="1039"/>
        <v>BypassOpenStudio_all,0,</v>
      </c>
      <c r="BN272" s="31" t="str">
        <f t="shared" si="1040"/>
        <v>BypassOpenStudio_zp,0,</v>
      </c>
      <c r="BO272" s="31" t="str">
        <f t="shared" si="1041"/>
        <v>BypassOpenStudio_zb,0,</v>
      </c>
      <c r="BP272" s="31" t="str">
        <f t="shared" si="1042"/>
        <v>BypassOpenStudio_ap,0,</v>
      </c>
      <c r="BQ272" s="31" t="str">
        <f t="shared" si="1043"/>
        <v>BypassOpenStudio_ab,0,</v>
      </c>
      <c r="BR272" s="31" t="str">
        <f t="shared" si="1044"/>
        <v>BypassOpenStudio_zp,0,</v>
      </c>
      <c r="BS272" s="31" t="str">
        <f t="shared" si="1045"/>
        <v>BypassOpenStudio_zb,0,</v>
      </c>
      <c r="BT272" s="31" t="str">
        <f t="shared" si="1046"/>
        <v>BypassOpenStudio_ap,0,</v>
      </c>
      <c r="BU272" s="31" t="str">
        <f t="shared" si="1047"/>
        <v>BypassOpenStudio_ab,0,</v>
      </c>
    </row>
    <row r="273" spans="1:73" outlineLevel="1" x14ac:dyDescent="0.25">
      <c r="A273" s="39">
        <f t="shared" si="1015"/>
        <v>1</v>
      </c>
      <c r="B273" s="27" t="str">
        <f t="shared" si="1048"/>
        <v>SoftwareSensitivity2016Tests\SimplifiedGeometry\0307316-OffMed-HVACPVAV SATControl_NDL.cibd16</v>
      </c>
      <c r="C273" s="27" t="str">
        <f t="shared" si="1049"/>
        <v>BatchOut_171026_r5178_FinalRel-v3-SSTSG_SSTSG\0307316-OffMed-HVACPVAV SATControl_NDL.cibd16</v>
      </c>
      <c r="D273" s="27" t="str">
        <f t="shared" si="1050"/>
        <v>BatchOut_171026_r5178_FinalRel-v3-SSTSG_SSTSG\XML\</v>
      </c>
      <c r="E273" s="9" t="str">
        <f t="shared" si="1051"/>
        <v>0307316-OffMed-HVACPVAV SATControl_NDL</v>
      </c>
      <c r="F273" s="22"/>
      <c r="G273" s="29"/>
      <c r="H273" s="23" t="str">
        <f t="shared" si="1052"/>
        <v/>
      </c>
      <c r="I273" s="9" t="s">
        <v>11</v>
      </c>
      <c r="J27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3" s="15" t="s">
        <v>1</v>
      </c>
      <c r="L273" s="92">
        <f t="shared" si="1055"/>
        <v>1</v>
      </c>
      <c r="M273" s="91" t="str">
        <f t="shared" si="1053"/>
        <v>0307316-OffMed-HVACPVAV SATControl_NDL</v>
      </c>
      <c r="N273" s="90" t="s">
        <v>171</v>
      </c>
      <c r="O273" s="90" t="str">
        <f t="shared" si="1017"/>
        <v>0307316-OffMed-HVACPVAV SATControl_NDL</v>
      </c>
      <c r="P273" s="92">
        <f t="shared" ref="P273:AB273" si="1062">P272</f>
        <v>1</v>
      </c>
      <c r="Q273" s="92">
        <f t="shared" si="1062"/>
        <v>1</v>
      </c>
      <c r="R273" s="92">
        <f t="shared" si="1062"/>
        <v>0</v>
      </c>
      <c r="S273" s="92">
        <f t="shared" si="1062"/>
        <v>1</v>
      </c>
      <c r="T273" s="92">
        <f t="shared" si="1062"/>
        <v>0</v>
      </c>
      <c r="U273" s="92">
        <f t="shared" si="1062"/>
        <v>8</v>
      </c>
      <c r="V273" s="92">
        <f t="shared" si="1062"/>
        <v>8</v>
      </c>
      <c r="W273" s="92">
        <f t="shared" si="1062"/>
        <v>1</v>
      </c>
      <c r="X273" s="92">
        <f t="shared" si="1062"/>
        <v>0</v>
      </c>
      <c r="Y273" s="92">
        <f t="shared" si="1062"/>
        <v>0</v>
      </c>
      <c r="Z273" s="92">
        <f t="shared" si="1062"/>
        <v>0</v>
      </c>
      <c r="AA273" s="92">
        <f t="shared" si="1062"/>
        <v>0</v>
      </c>
      <c r="AB273" s="92">
        <f t="shared" si="1062"/>
        <v>1</v>
      </c>
      <c r="AC273" s="92">
        <f t="shared" si="1054"/>
        <v>0</v>
      </c>
      <c r="AD273" s="92">
        <f t="shared" si="1054"/>
        <v>1</v>
      </c>
      <c r="AE273" s="92">
        <f t="shared" si="1054"/>
        <v>0</v>
      </c>
      <c r="AF273" s="92">
        <f t="shared" si="1054"/>
        <v>0</v>
      </c>
      <c r="AG273" s="92">
        <f t="shared" si="1054"/>
        <v>0</v>
      </c>
      <c r="AH273" s="92">
        <f t="shared" si="1054"/>
        <v>0</v>
      </c>
      <c r="AI273" s="92">
        <f t="shared" si="1054"/>
        <v>0</v>
      </c>
      <c r="AJ273" s="92">
        <f t="shared" si="1054"/>
        <v>0</v>
      </c>
      <c r="AK273" s="92">
        <f t="shared" si="1054"/>
        <v>0</v>
      </c>
      <c r="AL273" s="92">
        <f t="shared" si="1054"/>
        <v>0</v>
      </c>
      <c r="AM273" s="92">
        <f t="shared" si="1054"/>
        <v>0</v>
      </c>
      <c r="AN273" s="92">
        <f t="shared" si="1054"/>
        <v>0</v>
      </c>
      <c r="AO273" s="92">
        <f t="shared" si="1054"/>
        <v>0</v>
      </c>
      <c r="AP273" s="92">
        <f t="shared" si="1054"/>
        <v>0</v>
      </c>
      <c r="AQ273" s="92">
        <f t="shared" si="1054"/>
        <v>0</v>
      </c>
      <c r="AR273" s="92">
        <f t="shared" si="1054"/>
        <v>0</v>
      </c>
      <c r="AS273" s="31" t="str">
        <f t="shared" si="1019"/>
        <v>SimulationStorage,1,</v>
      </c>
      <c r="AT273" s="31" t="str">
        <f t="shared" si="1020"/>
        <v>AnalysisStorage,1,</v>
      </c>
      <c r="AU273" s="31" t="str">
        <f t="shared" si="1021"/>
        <v>LogRuleEvaluation,0,</v>
      </c>
      <c r="AV273" s="31" t="str">
        <f t="shared" si="1022"/>
        <v>ParallelSimulations,1,</v>
      </c>
      <c r="AW273" s="31" t="str">
        <f t="shared" si="1023"/>
        <v>DurationStats,0,</v>
      </c>
      <c r="AX273" s="31" t="str">
        <f t="shared" si="1024"/>
        <v>AnalysisThruStep,8,</v>
      </c>
      <c r="AY273" s="31" t="str">
        <f t="shared" si="1025"/>
        <v>DontAbortOnErrorsThruStep,8,</v>
      </c>
      <c r="AZ273" s="31" t="str">
        <f t="shared" si="1026"/>
        <v>BypassValidFileChecks,1,</v>
      </c>
      <c r="BA273" s="31" t="str">
        <f t="shared" si="1027"/>
        <v>BypassInputChecks,0,</v>
      </c>
      <c r="BB273" s="31" t="str">
        <f t="shared" si="1028"/>
        <v>BypassUMLHChecks,0,</v>
      </c>
      <c r="BC273" s="31" t="str">
        <f t="shared" si="1029"/>
        <v>BypassCheckSimRules,0,</v>
      </c>
      <c r="BD273" s="31" t="str">
        <f t="shared" si="1030"/>
        <v>BypassCheckCodeRules,0,</v>
      </c>
      <c r="BE273" s="31" t="str">
        <f t="shared" si="1031"/>
        <v>StoreResultsToModelInput,1,</v>
      </c>
      <c r="BF273" s="31" t="str">
        <f t="shared" si="1032"/>
        <v>StoreBEMDetails,0,</v>
      </c>
      <c r="BG273" s="31" t="str">
        <f t="shared" si="1033"/>
        <v>ModelRpt_ALL,1,</v>
      </c>
      <c r="BH273" s="31" t="str">
        <f t="shared" si="1034"/>
        <v>ExportHourlyResults_All,0,</v>
      </c>
      <c r="BI273" s="31" t="str">
        <f t="shared" si="1035"/>
        <v>ComplianceReportPDF,0,</v>
      </c>
      <c r="BJ273" s="31" t="str">
        <f t="shared" si="1036"/>
        <v>ComplianceReportXML,0,</v>
      </c>
      <c r="BK273" s="31" t="str">
        <f t="shared" si="1037"/>
        <v>QuickAnalysis,0,</v>
      </c>
      <c r="BL273" s="31" t="str">
        <f t="shared" si="1038"/>
        <v>PromptUserUMLHWarning,0,</v>
      </c>
      <c r="BM273" s="31" t="str">
        <f t="shared" si="1039"/>
        <v>BypassOpenStudio_all,0,</v>
      </c>
      <c r="BN273" s="31" t="str">
        <f t="shared" si="1040"/>
        <v>BypassOpenStudio_zp,0,</v>
      </c>
      <c r="BO273" s="31" t="str">
        <f t="shared" si="1041"/>
        <v>BypassOpenStudio_zb,0,</v>
      </c>
      <c r="BP273" s="31" t="str">
        <f t="shared" si="1042"/>
        <v>BypassOpenStudio_ap,0,</v>
      </c>
      <c r="BQ273" s="31" t="str">
        <f t="shared" si="1043"/>
        <v>BypassOpenStudio_ab,0,</v>
      </c>
      <c r="BR273" s="31" t="str">
        <f t="shared" si="1044"/>
        <v>BypassOpenStudio_zp,0,</v>
      </c>
      <c r="BS273" s="31" t="str">
        <f t="shared" si="1045"/>
        <v>BypassOpenStudio_zb,0,</v>
      </c>
      <c r="BT273" s="31" t="str">
        <f t="shared" si="1046"/>
        <v>BypassOpenStudio_ap,0,</v>
      </c>
      <c r="BU273" s="31" t="str">
        <f t="shared" si="1047"/>
        <v>BypassOpenStudio_ab,0,</v>
      </c>
    </row>
    <row r="274" spans="1:73" outlineLevel="1" x14ac:dyDescent="0.25">
      <c r="A274" s="39">
        <f t="shared" si="1015"/>
        <v>1</v>
      </c>
      <c r="B274" s="27" t="str">
        <f t="shared" si="1048"/>
        <v>SoftwareSensitivity2016Tests\SimplifiedGeometry\0307516-OffMed-HVACPVAV EconomizerType_NDL.cibd16</v>
      </c>
      <c r="C274" s="27" t="str">
        <f t="shared" si="1049"/>
        <v>BatchOut_171026_r5178_FinalRel-v3-SSTSG_SSTSG\0307516-OffMed-HVACPVAV EconomizerType_NDL.cibd16</v>
      </c>
      <c r="D274" s="27" t="str">
        <f t="shared" si="1050"/>
        <v>BatchOut_171026_r5178_FinalRel-v3-SSTSG_SSTSG\XML\</v>
      </c>
      <c r="E274" s="9" t="str">
        <f t="shared" si="1051"/>
        <v>0307516-OffMed-HVACPVAV EconomizerType_NDL</v>
      </c>
      <c r="F274" s="22"/>
      <c r="G274" s="29"/>
      <c r="H274" s="23" t="str">
        <f t="shared" si="1052"/>
        <v/>
      </c>
      <c r="I274" s="9" t="s">
        <v>11</v>
      </c>
      <c r="J27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4" s="15" t="s">
        <v>1</v>
      </c>
      <c r="L274" s="92">
        <f t="shared" si="1055"/>
        <v>1</v>
      </c>
      <c r="M274" s="91" t="str">
        <f t="shared" si="1053"/>
        <v>0307516-OffMed-HVACPVAV EconomizerType_NDL</v>
      </c>
      <c r="N274" s="90" t="s">
        <v>172</v>
      </c>
      <c r="O274" s="90" t="str">
        <f t="shared" si="1017"/>
        <v>0307516-OffMed-HVACPVAV EconomizerType_NDL</v>
      </c>
      <c r="P274" s="92">
        <f t="shared" ref="P274:AB274" si="1063">P273</f>
        <v>1</v>
      </c>
      <c r="Q274" s="92">
        <f t="shared" si="1063"/>
        <v>1</v>
      </c>
      <c r="R274" s="92">
        <f t="shared" si="1063"/>
        <v>0</v>
      </c>
      <c r="S274" s="92">
        <f t="shared" si="1063"/>
        <v>1</v>
      </c>
      <c r="T274" s="92">
        <f t="shared" si="1063"/>
        <v>0</v>
      </c>
      <c r="U274" s="92">
        <f t="shared" si="1063"/>
        <v>8</v>
      </c>
      <c r="V274" s="92">
        <f t="shared" si="1063"/>
        <v>8</v>
      </c>
      <c r="W274" s="92">
        <f t="shared" si="1063"/>
        <v>1</v>
      </c>
      <c r="X274" s="92">
        <f t="shared" si="1063"/>
        <v>0</v>
      </c>
      <c r="Y274" s="92">
        <f t="shared" si="1063"/>
        <v>0</v>
      </c>
      <c r="Z274" s="92">
        <f t="shared" si="1063"/>
        <v>0</v>
      </c>
      <c r="AA274" s="92">
        <f t="shared" si="1063"/>
        <v>0</v>
      </c>
      <c r="AB274" s="92">
        <f t="shared" si="1063"/>
        <v>1</v>
      </c>
      <c r="AC274" s="92">
        <f t="shared" si="1054"/>
        <v>0</v>
      </c>
      <c r="AD274" s="92">
        <f t="shared" si="1054"/>
        <v>1</v>
      </c>
      <c r="AE274" s="92">
        <f t="shared" si="1054"/>
        <v>0</v>
      </c>
      <c r="AF274" s="92">
        <f t="shared" si="1054"/>
        <v>0</v>
      </c>
      <c r="AG274" s="92">
        <f t="shared" si="1054"/>
        <v>0</v>
      </c>
      <c r="AH274" s="92">
        <f t="shared" si="1054"/>
        <v>0</v>
      </c>
      <c r="AI274" s="92">
        <f t="shared" si="1054"/>
        <v>0</v>
      </c>
      <c r="AJ274" s="92">
        <f t="shared" si="1054"/>
        <v>0</v>
      </c>
      <c r="AK274" s="92">
        <f t="shared" si="1054"/>
        <v>0</v>
      </c>
      <c r="AL274" s="92">
        <f t="shared" si="1054"/>
        <v>0</v>
      </c>
      <c r="AM274" s="92">
        <f t="shared" si="1054"/>
        <v>0</v>
      </c>
      <c r="AN274" s="92">
        <f t="shared" si="1054"/>
        <v>0</v>
      </c>
      <c r="AO274" s="92">
        <f t="shared" si="1054"/>
        <v>0</v>
      </c>
      <c r="AP274" s="92">
        <f t="shared" si="1054"/>
        <v>0</v>
      </c>
      <c r="AQ274" s="92">
        <f t="shared" si="1054"/>
        <v>0</v>
      </c>
      <c r="AR274" s="92">
        <f t="shared" si="1054"/>
        <v>0</v>
      </c>
      <c r="AS274" s="31" t="str">
        <f t="shared" si="1019"/>
        <v>SimulationStorage,1,</v>
      </c>
      <c r="AT274" s="31" t="str">
        <f t="shared" si="1020"/>
        <v>AnalysisStorage,1,</v>
      </c>
      <c r="AU274" s="31" t="str">
        <f t="shared" si="1021"/>
        <v>LogRuleEvaluation,0,</v>
      </c>
      <c r="AV274" s="31" t="str">
        <f t="shared" si="1022"/>
        <v>ParallelSimulations,1,</v>
      </c>
      <c r="AW274" s="31" t="str">
        <f t="shared" si="1023"/>
        <v>DurationStats,0,</v>
      </c>
      <c r="AX274" s="31" t="str">
        <f t="shared" si="1024"/>
        <v>AnalysisThruStep,8,</v>
      </c>
      <c r="AY274" s="31" t="str">
        <f t="shared" si="1025"/>
        <v>DontAbortOnErrorsThruStep,8,</v>
      </c>
      <c r="AZ274" s="31" t="str">
        <f t="shared" si="1026"/>
        <v>BypassValidFileChecks,1,</v>
      </c>
      <c r="BA274" s="31" t="str">
        <f t="shared" si="1027"/>
        <v>BypassInputChecks,0,</v>
      </c>
      <c r="BB274" s="31" t="str">
        <f t="shared" si="1028"/>
        <v>BypassUMLHChecks,0,</v>
      </c>
      <c r="BC274" s="31" t="str">
        <f t="shared" si="1029"/>
        <v>BypassCheckSimRules,0,</v>
      </c>
      <c r="BD274" s="31" t="str">
        <f t="shared" si="1030"/>
        <v>BypassCheckCodeRules,0,</v>
      </c>
      <c r="BE274" s="31" t="str">
        <f t="shared" si="1031"/>
        <v>StoreResultsToModelInput,1,</v>
      </c>
      <c r="BF274" s="31" t="str">
        <f t="shared" si="1032"/>
        <v>StoreBEMDetails,0,</v>
      </c>
      <c r="BG274" s="31" t="str">
        <f t="shared" si="1033"/>
        <v>ModelRpt_ALL,1,</v>
      </c>
      <c r="BH274" s="31" t="str">
        <f t="shared" si="1034"/>
        <v>ExportHourlyResults_All,0,</v>
      </c>
      <c r="BI274" s="31" t="str">
        <f t="shared" si="1035"/>
        <v>ComplianceReportPDF,0,</v>
      </c>
      <c r="BJ274" s="31" t="str">
        <f t="shared" si="1036"/>
        <v>ComplianceReportXML,0,</v>
      </c>
      <c r="BK274" s="31" t="str">
        <f t="shared" si="1037"/>
        <v>QuickAnalysis,0,</v>
      </c>
      <c r="BL274" s="31" t="str">
        <f t="shared" si="1038"/>
        <v>PromptUserUMLHWarning,0,</v>
      </c>
      <c r="BM274" s="31" t="str">
        <f t="shared" si="1039"/>
        <v>BypassOpenStudio_all,0,</v>
      </c>
      <c r="BN274" s="31" t="str">
        <f t="shared" si="1040"/>
        <v>BypassOpenStudio_zp,0,</v>
      </c>
      <c r="BO274" s="31" t="str">
        <f t="shared" si="1041"/>
        <v>BypassOpenStudio_zb,0,</v>
      </c>
      <c r="BP274" s="31" t="str">
        <f t="shared" si="1042"/>
        <v>BypassOpenStudio_ap,0,</v>
      </c>
      <c r="BQ274" s="31" t="str">
        <f t="shared" si="1043"/>
        <v>BypassOpenStudio_ab,0,</v>
      </c>
      <c r="BR274" s="31" t="str">
        <f t="shared" si="1044"/>
        <v>BypassOpenStudio_zp,0,</v>
      </c>
      <c r="BS274" s="31" t="str">
        <f t="shared" si="1045"/>
        <v>BypassOpenStudio_zb,0,</v>
      </c>
      <c r="BT274" s="31" t="str">
        <f t="shared" si="1046"/>
        <v>BypassOpenStudio_ap,0,</v>
      </c>
      <c r="BU274" s="31" t="str">
        <f t="shared" si="1047"/>
        <v>BypassOpenStudio_ab,0,</v>
      </c>
    </row>
    <row r="275" spans="1:73" outlineLevel="1" x14ac:dyDescent="0.25">
      <c r="A275" s="39">
        <f t="shared" si="1015"/>
        <v>1</v>
      </c>
      <c r="B275" s="27" t="str">
        <f t="shared" si="1048"/>
        <v>SoftwareSensitivity2016Tests\SimplifiedGeometry\0307606-OffMed-HVACPVAV Design_NDL.cibd16</v>
      </c>
      <c r="C275" s="27" t="str">
        <f t="shared" si="1049"/>
        <v>BatchOut_171026_r5178_FinalRel-v3-SSTSG_SSTSG\0307606-OffMed-HVACPVAV Design_NDL.cibd16</v>
      </c>
      <c r="D275" s="27" t="str">
        <f t="shared" si="1050"/>
        <v>BatchOut_171026_r5178_FinalRel-v3-SSTSG_SSTSG\XML\</v>
      </c>
      <c r="E275" s="9" t="str">
        <f t="shared" si="1051"/>
        <v>0307606-OffMed-HVACPVAV Design_NDL</v>
      </c>
      <c r="F275" s="22"/>
      <c r="G275" s="29"/>
      <c r="H275" s="23" t="str">
        <f t="shared" si="1052"/>
        <v/>
      </c>
      <c r="I275" s="9" t="s">
        <v>11</v>
      </c>
      <c r="J27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5" s="15" t="s">
        <v>1</v>
      </c>
      <c r="L275" s="92">
        <f t="shared" si="1055"/>
        <v>1</v>
      </c>
      <c r="M275" s="91" t="str">
        <f t="shared" si="1053"/>
        <v>0307606-OffMed-HVACPVAV Design_NDL</v>
      </c>
      <c r="N275" s="90" t="s">
        <v>173</v>
      </c>
      <c r="O275" s="90" t="str">
        <f t="shared" si="1017"/>
        <v>0307606-OffMed-HVACPVAV Design_NDL</v>
      </c>
      <c r="P275" s="92">
        <f t="shared" ref="P275:AB275" si="1064">P274</f>
        <v>1</v>
      </c>
      <c r="Q275" s="92">
        <f t="shared" si="1064"/>
        <v>1</v>
      </c>
      <c r="R275" s="92">
        <f t="shared" si="1064"/>
        <v>0</v>
      </c>
      <c r="S275" s="92">
        <f t="shared" si="1064"/>
        <v>1</v>
      </c>
      <c r="T275" s="92">
        <f t="shared" si="1064"/>
        <v>0</v>
      </c>
      <c r="U275" s="92">
        <f t="shared" si="1064"/>
        <v>8</v>
      </c>
      <c r="V275" s="92">
        <f t="shared" si="1064"/>
        <v>8</v>
      </c>
      <c r="W275" s="92">
        <f t="shared" si="1064"/>
        <v>1</v>
      </c>
      <c r="X275" s="92">
        <f t="shared" si="1064"/>
        <v>0</v>
      </c>
      <c r="Y275" s="92">
        <f t="shared" si="1064"/>
        <v>0</v>
      </c>
      <c r="Z275" s="92">
        <f t="shared" si="1064"/>
        <v>0</v>
      </c>
      <c r="AA275" s="92">
        <f t="shared" si="1064"/>
        <v>0</v>
      </c>
      <c r="AB275" s="92">
        <f t="shared" si="1064"/>
        <v>1</v>
      </c>
      <c r="AC275" s="92">
        <f t="shared" si="1054"/>
        <v>0</v>
      </c>
      <c r="AD275" s="92">
        <f t="shared" si="1054"/>
        <v>1</v>
      </c>
      <c r="AE275" s="92">
        <f t="shared" si="1054"/>
        <v>0</v>
      </c>
      <c r="AF275" s="92">
        <f t="shared" si="1054"/>
        <v>0</v>
      </c>
      <c r="AG275" s="92">
        <f t="shared" si="1054"/>
        <v>0</v>
      </c>
      <c r="AH275" s="92">
        <f t="shared" si="1054"/>
        <v>0</v>
      </c>
      <c r="AI275" s="92">
        <f t="shared" si="1054"/>
        <v>0</v>
      </c>
      <c r="AJ275" s="92">
        <f t="shared" si="1054"/>
        <v>0</v>
      </c>
      <c r="AK275" s="92">
        <f t="shared" si="1054"/>
        <v>0</v>
      </c>
      <c r="AL275" s="92">
        <f t="shared" si="1054"/>
        <v>0</v>
      </c>
      <c r="AM275" s="92">
        <f t="shared" si="1054"/>
        <v>0</v>
      </c>
      <c r="AN275" s="92">
        <f t="shared" si="1054"/>
        <v>0</v>
      </c>
      <c r="AO275" s="92">
        <f t="shared" si="1054"/>
        <v>0</v>
      </c>
      <c r="AP275" s="92">
        <f t="shared" si="1054"/>
        <v>0</v>
      </c>
      <c r="AQ275" s="92">
        <f t="shared" si="1054"/>
        <v>0</v>
      </c>
      <c r="AR275" s="92">
        <f t="shared" si="1054"/>
        <v>0</v>
      </c>
      <c r="AS275" s="31" t="str">
        <f t="shared" si="1019"/>
        <v>SimulationStorage,1,</v>
      </c>
      <c r="AT275" s="31" t="str">
        <f t="shared" si="1020"/>
        <v>AnalysisStorage,1,</v>
      </c>
      <c r="AU275" s="31" t="str">
        <f t="shared" si="1021"/>
        <v>LogRuleEvaluation,0,</v>
      </c>
      <c r="AV275" s="31" t="str">
        <f t="shared" si="1022"/>
        <v>ParallelSimulations,1,</v>
      </c>
      <c r="AW275" s="31" t="str">
        <f t="shared" si="1023"/>
        <v>DurationStats,0,</v>
      </c>
      <c r="AX275" s="31" t="str">
        <f t="shared" si="1024"/>
        <v>AnalysisThruStep,8,</v>
      </c>
      <c r="AY275" s="31" t="str">
        <f t="shared" si="1025"/>
        <v>DontAbortOnErrorsThruStep,8,</v>
      </c>
      <c r="AZ275" s="31" t="str">
        <f t="shared" si="1026"/>
        <v>BypassValidFileChecks,1,</v>
      </c>
      <c r="BA275" s="31" t="str">
        <f t="shared" si="1027"/>
        <v>BypassInputChecks,0,</v>
      </c>
      <c r="BB275" s="31" t="str">
        <f t="shared" si="1028"/>
        <v>BypassUMLHChecks,0,</v>
      </c>
      <c r="BC275" s="31" t="str">
        <f t="shared" si="1029"/>
        <v>BypassCheckSimRules,0,</v>
      </c>
      <c r="BD275" s="31" t="str">
        <f t="shared" si="1030"/>
        <v>BypassCheckCodeRules,0,</v>
      </c>
      <c r="BE275" s="31" t="str">
        <f t="shared" si="1031"/>
        <v>StoreResultsToModelInput,1,</v>
      </c>
      <c r="BF275" s="31" t="str">
        <f t="shared" si="1032"/>
        <v>StoreBEMDetails,0,</v>
      </c>
      <c r="BG275" s="31" t="str">
        <f t="shared" si="1033"/>
        <v>ModelRpt_ALL,1,</v>
      </c>
      <c r="BH275" s="31" t="str">
        <f t="shared" si="1034"/>
        <v>ExportHourlyResults_All,0,</v>
      </c>
      <c r="BI275" s="31" t="str">
        <f t="shared" si="1035"/>
        <v>ComplianceReportPDF,0,</v>
      </c>
      <c r="BJ275" s="31" t="str">
        <f t="shared" si="1036"/>
        <v>ComplianceReportXML,0,</v>
      </c>
      <c r="BK275" s="31" t="str">
        <f t="shared" si="1037"/>
        <v>QuickAnalysis,0,</v>
      </c>
      <c r="BL275" s="31" t="str">
        <f t="shared" si="1038"/>
        <v>PromptUserUMLHWarning,0,</v>
      </c>
      <c r="BM275" s="31" t="str">
        <f t="shared" si="1039"/>
        <v>BypassOpenStudio_all,0,</v>
      </c>
      <c r="BN275" s="31" t="str">
        <f t="shared" si="1040"/>
        <v>BypassOpenStudio_zp,0,</v>
      </c>
      <c r="BO275" s="31" t="str">
        <f t="shared" si="1041"/>
        <v>BypassOpenStudio_zb,0,</v>
      </c>
      <c r="BP275" s="31" t="str">
        <f t="shared" si="1042"/>
        <v>BypassOpenStudio_ap,0,</v>
      </c>
      <c r="BQ275" s="31" t="str">
        <f t="shared" si="1043"/>
        <v>BypassOpenStudio_ab,0,</v>
      </c>
      <c r="BR275" s="31" t="str">
        <f t="shared" si="1044"/>
        <v>BypassOpenStudio_zp,0,</v>
      </c>
      <c r="BS275" s="31" t="str">
        <f t="shared" si="1045"/>
        <v>BypassOpenStudio_zb,0,</v>
      </c>
      <c r="BT275" s="31" t="str">
        <f t="shared" si="1046"/>
        <v>BypassOpenStudio_ap,0,</v>
      </c>
      <c r="BU275" s="31" t="str">
        <f t="shared" si="1047"/>
        <v>BypassOpenStudio_ab,0,</v>
      </c>
    </row>
    <row r="276" spans="1:73" outlineLevel="1" x14ac:dyDescent="0.25">
      <c r="A276" s="39">
        <f t="shared" si="1015"/>
        <v>1</v>
      </c>
      <c r="B276" s="27" t="str">
        <f t="shared" si="1048"/>
        <v>SoftwareSensitivity2016Tests\SimplifiedGeometry\0307706-OffMed-HVACPVAV SATControl_NDL.cibd16</v>
      </c>
      <c r="C276" s="27" t="str">
        <f t="shared" si="1049"/>
        <v>BatchOut_171026_r5178_FinalRel-v3-SSTSG_SSTSG\0307706-OffMed-HVACPVAV SATControl_NDL.cibd16</v>
      </c>
      <c r="D276" s="27" t="str">
        <f t="shared" si="1050"/>
        <v>BatchOut_171026_r5178_FinalRel-v3-SSTSG_SSTSG\XML\</v>
      </c>
      <c r="E276" s="9" t="str">
        <f t="shared" si="1051"/>
        <v>0307706-OffMed-HVACPVAV SATControl_NDL</v>
      </c>
      <c r="F276" s="22"/>
      <c r="G276" s="29"/>
      <c r="H276" s="23" t="str">
        <f t="shared" si="1052"/>
        <v/>
      </c>
      <c r="I276" s="9" t="s">
        <v>11</v>
      </c>
      <c r="J27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6" s="15" t="s">
        <v>1</v>
      </c>
      <c r="L276" s="92">
        <f t="shared" si="1055"/>
        <v>1</v>
      </c>
      <c r="M276" s="91" t="str">
        <f t="shared" si="1053"/>
        <v>0307706-OffMed-HVACPVAV SATControl_NDL</v>
      </c>
      <c r="N276" s="90" t="s">
        <v>174</v>
      </c>
      <c r="O276" s="90" t="str">
        <f t="shared" si="1017"/>
        <v>0307706-OffMed-HVACPVAV SATControl_NDL</v>
      </c>
      <c r="P276" s="92">
        <f t="shared" ref="P276:AB276" si="1065">P275</f>
        <v>1</v>
      </c>
      <c r="Q276" s="92">
        <f t="shared" si="1065"/>
        <v>1</v>
      </c>
      <c r="R276" s="92">
        <f t="shared" si="1065"/>
        <v>0</v>
      </c>
      <c r="S276" s="92">
        <f t="shared" si="1065"/>
        <v>1</v>
      </c>
      <c r="T276" s="92">
        <f t="shared" si="1065"/>
        <v>0</v>
      </c>
      <c r="U276" s="92">
        <f t="shared" si="1065"/>
        <v>8</v>
      </c>
      <c r="V276" s="92">
        <f t="shared" si="1065"/>
        <v>8</v>
      </c>
      <c r="W276" s="92">
        <f t="shared" si="1065"/>
        <v>1</v>
      </c>
      <c r="X276" s="92">
        <f t="shared" si="1065"/>
        <v>0</v>
      </c>
      <c r="Y276" s="92">
        <f t="shared" si="1065"/>
        <v>0</v>
      </c>
      <c r="Z276" s="92">
        <f t="shared" si="1065"/>
        <v>0</v>
      </c>
      <c r="AA276" s="92">
        <f t="shared" si="1065"/>
        <v>0</v>
      </c>
      <c r="AB276" s="92">
        <f t="shared" si="1065"/>
        <v>1</v>
      </c>
      <c r="AC276" s="92">
        <f t="shared" si="1054"/>
        <v>0</v>
      </c>
      <c r="AD276" s="92">
        <f t="shared" si="1054"/>
        <v>1</v>
      </c>
      <c r="AE276" s="92">
        <f t="shared" si="1054"/>
        <v>0</v>
      </c>
      <c r="AF276" s="92">
        <f t="shared" si="1054"/>
        <v>0</v>
      </c>
      <c r="AG276" s="92">
        <f t="shared" si="1054"/>
        <v>0</v>
      </c>
      <c r="AH276" s="92">
        <f t="shared" si="1054"/>
        <v>0</v>
      </c>
      <c r="AI276" s="92">
        <f t="shared" si="1054"/>
        <v>0</v>
      </c>
      <c r="AJ276" s="92">
        <f t="shared" si="1054"/>
        <v>0</v>
      </c>
      <c r="AK276" s="92">
        <f t="shared" si="1054"/>
        <v>0</v>
      </c>
      <c r="AL276" s="92">
        <f t="shared" si="1054"/>
        <v>0</v>
      </c>
      <c r="AM276" s="92">
        <f t="shared" si="1054"/>
        <v>0</v>
      </c>
      <c r="AN276" s="92">
        <f t="shared" si="1054"/>
        <v>0</v>
      </c>
      <c r="AO276" s="92">
        <f t="shared" si="1054"/>
        <v>0</v>
      </c>
      <c r="AP276" s="92">
        <f t="shared" si="1054"/>
        <v>0</v>
      </c>
      <c r="AQ276" s="92">
        <f t="shared" si="1054"/>
        <v>0</v>
      </c>
      <c r="AR276" s="92">
        <f t="shared" si="1054"/>
        <v>0</v>
      </c>
      <c r="AS276" s="31" t="str">
        <f t="shared" si="1019"/>
        <v>SimulationStorage,1,</v>
      </c>
      <c r="AT276" s="31" t="str">
        <f t="shared" si="1020"/>
        <v>AnalysisStorage,1,</v>
      </c>
      <c r="AU276" s="31" t="str">
        <f t="shared" si="1021"/>
        <v>LogRuleEvaluation,0,</v>
      </c>
      <c r="AV276" s="31" t="str">
        <f t="shared" si="1022"/>
        <v>ParallelSimulations,1,</v>
      </c>
      <c r="AW276" s="31" t="str">
        <f t="shared" si="1023"/>
        <v>DurationStats,0,</v>
      </c>
      <c r="AX276" s="31" t="str">
        <f t="shared" si="1024"/>
        <v>AnalysisThruStep,8,</v>
      </c>
      <c r="AY276" s="31" t="str">
        <f t="shared" si="1025"/>
        <v>DontAbortOnErrorsThruStep,8,</v>
      </c>
      <c r="AZ276" s="31" t="str">
        <f t="shared" si="1026"/>
        <v>BypassValidFileChecks,1,</v>
      </c>
      <c r="BA276" s="31" t="str">
        <f t="shared" si="1027"/>
        <v>BypassInputChecks,0,</v>
      </c>
      <c r="BB276" s="31" t="str">
        <f t="shared" si="1028"/>
        <v>BypassUMLHChecks,0,</v>
      </c>
      <c r="BC276" s="31" t="str">
        <f t="shared" si="1029"/>
        <v>BypassCheckSimRules,0,</v>
      </c>
      <c r="BD276" s="31" t="str">
        <f t="shared" si="1030"/>
        <v>BypassCheckCodeRules,0,</v>
      </c>
      <c r="BE276" s="31" t="str">
        <f t="shared" si="1031"/>
        <v>StoreResultsToModelInput,1,</v>
      </c>
      <c r="BF276" s="31" t="str">
        <f t="shared" si="1032"/>
        <v>StoreBEMDetails,0,</v>
      </c>
      <c r="BG276" s="31" t="str">
        <f t="shared" si="1033"/>
        <v>ModelRpt_ALL,1,</v>
      </c>
      <c r="BH276" s="31" t="str">
        <f t="shared" si="1034"/>
        <v>ExportHourlyResults_All,0,</v>
      </c>
      <c r="BI276" s="31" t="str">
        <f t="shared" si="1035"/>
        <v>ComplianceReportPDF,0,</v>
      </c>
      <c r="BJ276" s="31" t="str">
        <f t="shared" si="1036"/>
        <v>ComplianceReportXML,0,</v>
      </c>
      <c r="BK276" s="31" t="str">
        <f t="shared" si="1037"/>
        <v>QuickAnalysis,0,</v>
      </c>
      <c r="BL276" s="31" t="str">
        <f t="shared" si="1038"/>
        <v>PromptUserUMLHWarning,0,</v>
      </c>
      <c r="BM276" s="31" t="str">
        <f t="shared" si="1039"/>
        <v>BypassOpenStudio_all,0,</v>
      </c>
      <c r="BN276" s="31" t="str">
        <f t="shared" si="1040"/>
        <v>BypassOpenStudio_zp,0,</v>
      </c>
      <c r="BO276" s="31" t="str">
        <f t="shared" si="1041"/>
        <v>BypassOpenStudio_zb,0,</v>
      </c>
      <c r="BP276" s="31" t="str">
        <f t="shared" si="1042"/>
        <v>BypassOpenStudio_ap,0,</v>
      </c>
      <c r="BQ276" s="31" t="str">
        <f t="shared" si="1043"/>
        <v>BypassOpenStudio_ab,0,</v>
      </c>
      <c r="BR276" s="31" t="str">
        <f t="shared" si="1044"/>
        <v>BypassOpenStudio_zp,0,</v>
      </c>
      <c r="BS276" s="31" t="str">
        <f t="shared" si="1045"/>
        <v>BypassOpenStudio_zb,0,</v>
      </c>
      <c r="BT276" s="31" t="str">
        <f t="shared" si="1046"/>
        <v>BypassOpenStudio_ap,0,</v>
      </c>
      <c r="BU276" s="31" t="str">
        <f t="shared" si="1047"/>
        <v>BypassOpenStudio_ab,0,</v>
      </c>
    </row>
    <row r="277" spans="1:73" outlineLevel="1" x14ac:dyDescent="0.25">
      <c r="A277" s="39">
        <f t="shared" si="1015"/>
        <v>1</v>
      </c>
      <c r="B277" s="27" t="str">
        <f t="shared" si="1048"/>
        <v>SoftwareSensitivity2016Tests\SimplifiedGeometry\0307906-OffMed-HVACPVAV EconomizerType_NDL.cibd16</v>
      </c>
      <c r="C277" s="27" t="str">
        <f t="shared" si="1049"/>
        <v>BatchOut_171026_r5178_FinalRel-v3-SSTSG_SSTSG\0307906-OffMed-HVACPVAV EconomizerType_NDL.cibd16</v>
      </c>
      <c r="D277" s="27" t="str">
        <f t="shared" si="1050"/>
        <v>BatchOut_171026_r5178_FinalRel-v3-SSTSG_SSTSG\XML\</v>
      </c>
      <c r="E277" s="9" t="str">
        <f t="shared" si="1051"/>
        <v>0307906-OffMed-HVACPVAV EconomizerType_NDL</v>
      </c>
      <c r="F277" s="22"/>
      <c r="G277" s="29"/>
      <c r="H277" s="23" t="str">
        <f t="shared" si="1052"/>
        <v/>
      </c>
      <c r="I277" s="9" t="s">
        <v>11</v>
      </c>
      <c r="J27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7" s="15" t="s">
        <v>1</v>
      </c>
      <c r="L277" s="92">
        <f t="shared" si="1055"/>
        <v>1</v>
      </c>
      <c r="M277" s="91" t="str">
        <f t="shared" si="1053"/>
        <v>0307906-OffMed-HVACPVAV EconomizerType_NDL</v>
      </c>
      <c r="N277" s="90" t="s">
        <v>175</v>
      </c>
      <c r="O277" s="90" t="str">
        <f t="shared" si="1017"/>
        <v>0307906-OffMed-HVACPVAV EconomizerType_NDL</v>
      </c>
      <c r="P277" s="92">
        <f t="shared" ref="P277:AB277" si="1066">P276</f>
        <v>1</v>
      </c>
      <c r="Q277" s="92">
        <f t="shared" si="1066"/>
        <v>1</v>
      </c>
      <c r="R277" s="92">
        <f t="shared" si="1066"/>
        <v>0</v>
      </c>
      <c r="S277" s="92">
        <f t="shared" si="1066"/>
        <v>1</v>
      </c>
      <c r="T277" s="92">
        <f t="shared" si="1066"/>
        <v>0</v>
      </c>
      <c r="U277" s="92">
        <f t="shared" si="1066"/>
        <v>8</v>
      </c>
      <c r="V277" s="92">
        <f t="shared" si="1066"/>
        <v>8</v>
      </c>
      <c r="W277" s="92">
        <f t="shared" si="1066"/>
        <v>1</v>
      </c>
      <c r="X277" s="92">
        <f t="shared" si="1066"/>
        <v>0</v>
      </c>
      <c r="Y277" s="92">
        <f t="shared" si="1066"/>
        <v>0</v>
      </c>
      <c r="Z277" s="92">
        <f t="shared" si="1066"/>
        <v>0</v>
      </c>
      <c r="AA277" s="92">
        <f t="shared" si="1066"/>
        <v>0</v>
      </c>
      <c r="AB277" s="92">
        <f t="shared" si="1066"/>
        <v>1</v>
      </c>
      <c r="AC277" s="92">
        <f t="shared" si="1054"/>
        <v>0</v>
      </c>
      <c r="AD277" s="92">
        <f t="shared" si="1054"/>
        <v>1</v>
      </c>
      <c r="AE277" s="92">
        <f t="shared" si="1054"/>
        <v>0</v>
      </c>
      <c r="AF277" s="92">
        <f t="shared" si="1054"/>
        <v>0</v>
      </c>
      <c r="AG277" s="92">
        <f t="shared" si="1054"/>
        <v>0</v>
      </c>
      <c r="AH277" s="92">
        <f t="shared" si="1054"/>
        <v>0</v>
      </c>
      <c r="AI277" s="92">
        <f t="shared" si="1054"/>
        <v>0</v>
      </c>
      <c r="AJ277" s="92">
        <f t="shared" si="1054"/>
        <v>0</v>
      </c>
      <c r="AK277" s="92">
        <f t="shared" si="1054"/>
        <v>0</v>
      </c>
      <c r="AL277" s="92">
        <f t="shared" si="1054"/>
        <v>0</v>
      </c>
      <c r="AM277" s="92">
        <f t="shared" si="1054"/>
        <v>0</v>
      </c>
      <c r="AN277" s="92">
        <f t="shared" si="1054"/>
        <v>0</v>
      </c>
      <c r="AO277" s="92">
        <f t="shared" si="1054"/>
        <v>0</v>
      </c>
      <c r="AP277" s="92">
        <f t="shared" si="1054"/>
        <v>0</v>
      </c>
      <c r="AQ277" s="92">
        <f t="shared" si="1054"/>
        <v>0</v>
      </c>
      <c r="AR277" s="92">
        <f t="shared" si="1054"/>
        <v>0</v>
      </c>
      <c r="AS277" s="31" t="str">
        <f t="shared" si="1019"/>
        <v>SimulationStorage,1,</v>
      </c>
      <c r="AT277" s="31" t="str">
        <f t="shared" si="1020"/>
        <v>AnalysisStorage,1,</v>
      </c>
      <c r="AU277" s="31" t="str">
        <f t="shared" si="1021"/>
        <v>LogRuleEvaluation,0,</v>
      </c>
      <c r="AV277" s="31" t="str">
        <f t="shared" si="1022"/>
        <v>ParallelSimulations,1,</v>
      </c>
      <c r="AW277" s="31" t="str">
        <f t="shared" si="1023"/>
        <v>DurationStats,0,</v>
      </c>
      <c r="AX277" s="31" t="str">
        <f t="shared" si="1024"/>
        <v>AnalysisThruStep,8,</v>
      </c>
      <c r="AY277" s="31" t="str">
        <f t="shared" si="1025"/>
        <v>DontAbortOnErrorsThruStep,8,</v>
      </c>
      <c r="AZ277" s="31" t="str">
        <f t="shared" si="1026"/>
        <v>BypassValidFileChecks,1,</v>
      </c>
      <c r="BA277" s="31" t="str">
        <f t="shared" si="1027"/>
        <v>BypassInputChecks,0,</v>
      </c>
      <c r="BB277" s="31" t="str">
        <f t="shared" si="1028"/>
        <v>BypassUMLHChecks,0,</v>
      </c>
      <c r="BC277" s="31" t="str">
        <f t="shared" si="1029"/>
        <v>BypassCheckSimRules,0,</v>
      </c>
      <c r="BD277" s="31" t="str">
        <f t="shared" si="1030"/>
        <v>BypassCheckCodeRules,0,</v>
      </c>
      <c r="BE277" s="31" t="str">
        <f t="shared" si="1031"/>
        <v>StoreResultsToModelInput,1,</v>
      </c>
      <c r="BF277" s="31" t="str">
        <f t="shared" si="1032"/>
        <v>StoreBEMDetails,0,</v>
      </c>
      <c r="BG277" s="31" t="str">
        <f t="shared" si="1033"/>
        <v>ModelRpt_ALL,1,</v>
      </c>
      <c r="BH277" s="31" t="str">
        <f t="shared" si="1034"/>
        <v>ExportHourlyResults_All,0,</v>
      </c>
      <c r="BI277" s="31" t="str">
        <f t="shared" si="1035"/>
        <v>ComplianceReportPDF,0,</v>
      </c>
      <c r="BJ277" s="31" t="str">
        <f t="shared" si="1036"/>
        <v>ComplianceReportXML,0,</v>
      </c>
      <c r="BK277" s="31" t="str">
        <f t="shared" si="1037"/>
        <v>QuickAnalysis,0,</v>
      </c>
      <c r="BL277" s="31" t="str">
        <f t="shared" si="1038"/>
        <v>PromptUserUMLHWarning,0,</v>
      </c>
      <c r="BM277" s="31" t="str">
        <f t="shared" si="1039"/>
        <v>BypassOpenStudio_all,0,</v>
      </c>
      <c r="BN277" s="31" t="str">
        <f t="shared" si="1040"/>
        <v>BypassOpenStudio_zp,0,</v>
      </c>
      <c r="BO277" s="31" t="str">
        <f t="shared" si="1041"/>
        <v>BypassOpenStudio_zb,0,</v>
      </c>
      <c r="BP277" s="31" t="str">
        <f t="shared" si="1042"/>
        <v>BypassOpenStudio_ap,0,</v>
      </c>
      <c r="BQ277" s="31" t="str">
        <f t="shared" si="1043"/>
        <v>BypassOpenStudio_ab,0,</v>
      </c>
      <c r="BR277" s="31" t="str">
        <f t="shared" si="1044"/>
        <v>BypassOpenStudio_zp,0,</v>
      </c>
      <c r="BS277" s="31" t="str">
        <f t="shared" si="1045"/>
        <v>BypassOpenStudio_zb,0,</v>
      </c>
      <c r="BT277" s="31" t="str">
        <f t="shared" si="1046"/>
        <v>BypassOpenStudio_ap,0,</v>
      </c>
      <c r="BU277" s="31" t="str">
        <f t="shared" si="1047"/>
        <v>BypassOpenStudio_ab,0,</v>
      </c>
    </row>
    <row r="278" spans="1:73" outlineLevel="1" x14ac:dyDescent="0.25">
      <c r="A278" s="39">
        <f t="shared" si="1015"/>
        <v>1</v>
      </c>
      <c r="B278" s="27" t="str">
        <f t="shared" si="1048"/>
        <v>SoftwareSensitivity2016Tests\SimplifiedGeometry\0311816-OffMed-SG-WWR40.cibd16</v>
      </c>
      <c r="C278" s="27" t="str">
        <f t="shared" si="1049"/>
        <v>BatchOut_171026_r5178_FinalRel-v3-SSTSG_SSTSG\0311816-OffMed-SG-WWR40.cibd16</v>
      </c>
      <c r="D278" s="27" t="str">
        <f t="shared" si="1050"/>
        <v>BatchOut_171026_r5178_FinalRel-v3-SSTSG_SSTSG\XML\</v>
      </c>
      <c r="E278" s="9" t="str">
        <f t="shared" si="1051"/>
        <v>0311816-OffMed-SG-WWR40</v>
      </c>
      <c r="F278" s="22"/>
      <c r="G278" s="29"/>
      <c r="H278" s="23" t="str">
        <f t="shared" si="1052"/>
        <v/>
      </c>
      <c r="I278" s="9" t="s">
        <v>11</v>
      </c>
      <c r="J27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8" s="15" t="s">
        <v>1</v>
      </c>
      <c r="L278" s="92">
        <f t="shared" si="1055"/>
        <v>1</v>
      </c>
      <c r="M278" s="91" t="str">
        <f t="shared" si="1053"/>
        <v>0311816-OffMed-SG-WWR40</v>
      </c>
      <c r="N278" s="90" t="s">
        <v>176</v>
      </c>
      <c r="O278" s="90" t="str">
        <f t="shared" si="1017"/>
        <v>0311816-OffMed-SG-WWR40</v>
      </c>
      <c r="P278" s="92">
        <f t="shared" ref="P278:AB278" si="1067">P277</f>
        <v>1</v>
      </c>
      <c r="Q278" s="92">
        <f t="shared" si="1067"/>
        <v>1</v>
      </c>
      <c r="R278" s="92">
        <f t="shared" si="1067"/>
        <v>0</v>
      </c>
      <c r="S278" s="92">
        <f t="shared" si="1067"/>
        <v>1</v>
      </c>
      <c r="T278" s="92">
        <f t="shared" si="1067"/>
        <v>0</v>
      </c>
      <c r="U278" s="92">
        <f t="shared" si="1067"/>
        <v>8</v>
      </c>
      <c r="V278" s="92">
        <f t="shared" si="1067"/>
        <v>8</v>
      </c>
      <c r="W278" s="92">
        <f t="shared" si="1067"/>
        <v>1</v>
      </c>
      <c r="X278" s="92">
        <f t="shared" si="1067"/>
        <v>0</v>
      </c>
      <c r="Y278" s="92">
        <f t="shared" si="1067"/>
        <v>0</v>
      </c>
      <c r="Z278" s="92">
        <f t="shared" si="1067"/>
        <v>0</v>
      </c>
      <c r="AA278" s="92">
        <f t="shared" si="1067"/>
        <v>0</v>
      </c>
      <c r="AB278" s="92">
        <f t="shared" si="1067"/>
        <v>1</v>
      </c>
      <c r="AC278" s="92">
        <f t="shared" si="1054"/>
        <v>0</v>
      </c>
      <c r="AD278" s="92">
        <f t="shared" si="1054"/>
        <v>1</v>
      </c>
      <c r="AE278" s="92">
        <f t="shared" si="1054"/>
        <v>0</v>
      </c>
      <c r="AF278" s="92">
        <f t="shared" si="1054"/>
        <v>0</v>
      </c>
      <c r="AG278" s="92">
        <f t="shared" si="1054"/>
        <v>0</v>
      </c>
      <c r="AH278" s="92">
        <f t="shared" si="1054"/>
        <v>0</v>
      </c>
      <c r="AI278" s="92">
        <f t="shared" si="1054"/>
        <v>0</v>
      </c>
      <c r="AJ278" s="92">
        <f t="shared" si="1054"/>
        <v>0</v>
      </c>
      <c r="AK278" s="92">
        <f t="shared" si="1054"/>
        <v>0</v>
      </c>
      <c r="AL278" s="92">
        <f t="shared" si="1054"/>
        <v>0</v>
      </c>
      <c r="AM278" s="92">
        <f t="shared" si="1054"/>
        <v>0</v>
      </c>
      <c r="AN278" s="92">
        <f t="shared" si="1054"/>
        <v>0</v>
      </c>
      <c r="AO278" s="92">
        <f t="shared" si="1054"/>
        <v>0</v>
      </c>
      <c r="AP278" s="92">
        <f t="shared" si="1054"/>
        <v>0</v>
      </c>
      <c r="AQ278" s="92">
        <f t="shared" si="1054"/>
        <v>0</v>
      </c>
      <c r="AR278" s="92">
        <f t="shared" si="1054"/>
        <v>0</v>
      </c>
      <c r="AS278" s="31" t="str">
        <f t="shared" si="1019"/>
        <v>SimulationStorage,1,</v>
      </c>
      <c r="AT278" s="31" t="str">
        <f t="shared" si="1020"/>
        <v>AnalysisStorage,1,</v>
      </c>
      <c r="AU278" s="31" t="str">
        <f t="shared" si="1021"/>
        <v>LogRuleEvaluation,0,</v>
      </c>
      <c r="AV278" s="31" t="str">
        <f t="shared" si="1022"/>
        <v>ParallelSimulations,1,</v>
      </c>
      <c r="AW278" s="31" t="str">
        <f t="shared" si="1023"/>
        <v>DurationStats,0,</v>
      </c>
      <c r="AX278" s="31" t="str">
        <f t="shared" si="1024"/>
        <v>AnalysisThruStep,8,</v>
      </c>
      <c r="AY278" s="31" t="str">
        <f t="shared" si="1025"/>
        <v>DontAbortOnErrorsThruStep,8,</v>
      </c>
      <c r="AZ278" s="31" t="str">
        <f t="shared" si="1026"/>
        <v>BypassValidFileChecks,1,</v>
      </c>
      <c r="BA278" s="31" t="str">
        <f t="shared" si="1027"/>
        <v>BypassInputChecks,0,</v>
      </c>
      <c r="BB278" s="31" t="str">
        <f t="shared" si="1028"/>
        <v>BypassUMLHChecks,0,</v>
      </c>
      <c r="BC278" s="31" t="str">
        <f t="shared" si="1029"/>
        <v>BypassCheckSimRules,0,</v>
      </c>
      <c r="BD278" s="31" t="str">
        <f t="shared" si="1030"/>
        <v>BypassCheckCodeRules,0,</v>
      </c>
      <c r="BE278" s="31" t="str">
        <f t="shared" si="1031"/>
        <v>StoreResultsToModelInput,1,</v>
      </c>
      <c r="BF278" s="31" t="str">
        <f t="shared" si="1032"/>
        <v>StoreBEMDetails,0,</v>
      </c>
      <c r="BG278" s="31" t="str">
        <f t="shared" si="1033"/>
        <v>ModelRpt_ALL,1,</v>
      </c>
      <c r="BH278" s="31" t="str">
        <f t="shared" si="1034"/>
        <v>ExportHourlyResults_All,0,</v>
      </c>
      <c r="BI278" s="31" t="str">
        <f t="shared" si="1035"/>
        <v>ComplianceReportPDF,0,</v>
      </c>
      <c r="BJ278" s="31" t="str">
        <f t="shared" si="1036"/>
        <v>ComplianceReportXML,0,</v>
      </c>
      <c r="BK278" s="31" t="str">
        <f t="shared" si="1037"/>
        <v>QuickAnalysis,0,</v>
      </c>
      <c r="BL278" s="31" t="str">
        <f t="shared" si="1038"/>
        <v>PromptUserUMLHWarning,0,</v>
      </c>
      <c r="BM278" s="31" t="str">
        <f t="shared" si="1039"/>
        <v>BypassOpenStudio_all,0,</v>
      </c>
      <c r="BN278" s="31" t="str">
        <f t="shared" si="1040"/>
        <v>BypassOpenStudio_zp,0,</v>
      </c>
      <c r="BO278" s="31" t="str">
        <f t="shared" si="1041"/>
        <v>BypassOpenStudio_zb,0,</v>
      </c>
      <c r="BP278" s="31" t="str">
        <f t="shared" si="1042"/>
        <v>BypassOpenStudio_ap,0,</v>
      </c>
      <c r="BQ278" s="31" t="str">
        <f t="shared" si="1043"/>
        <v>BypassOpenStudio_ab,0,</v>
      </c>
      <c r="BR278" s="31" t="str">
        <f t="shared" si="1044"/>
        <v>BypassOpenStudio_zp,0,</v>
      </c>
      <c r="BS278" s="31" t="str">
        <f t="shared" si="1045"/>
        <v>BypassOpenStudio_zb,0,</v>
      </c>
      <c r="BT278" s="31" t="str">
        <f t="shared" si="1046"/>
        <v>BypassOpenStudio_ap,0,</v>
      </c>
      <c r="BU278" s="31" t="str">
        <f t="shared" si="1047"/>
        <v>BypassOpenStudio_ab,0,</v>
      </c>
    </row>
    <row r="279" spans="1:73" outlineLevel="1" x14ac:dyDescent="0.25">
      <c r="A279" s="39">
        <f t="shared" si="1015"/>
        <v>1</v>
      </c>
      <c r="B279" s="27" t="str">
        <f t="shared" si="1048"/>
        <v>SoftwareSensitivity2016Tests\SimplifiedGeometry\0311916-OffMed-SG-WWR20.cibd16</v>
      </c>
      <c r="C279" s="27" t="str">
        <f t="shared" si="1049"/>
        <v>BatchOut_171026_r5178_FinalRel-v3-SSTSG_SSTSG\0311916-OffMed-SG-WWR20.cibd16</v>
      </c>
      <c r="D279" s="27" t="str">
        <f t="shared" si="1050"/>
        <v>BatchOut_171026_r5178_FinalRel-v3-SSTSG_SSTSG\XML\</v>
      </c>
      <c r="E279" s="9" t="str">
        <f t="shared" si="1051"/>
        <v>0311916-OffMed-SG-WWR20</v>
      </c>
      <c r="F279" s="22"/>
      <c r="G279" s="29"/>
      <c r="H279" s="23" t="str">
        <f t="shared" si="1052"/>
        <v/>
      </c>
      <c r="I279" s="9" t="s">
        <v>11</v>
      </c>
      <c r="J27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9" s="15" t="s">
        <v>1</v>
      </c>
      <c r="L279" s="92">
        <f t="shared" si="1055"/>
        <v>1</v>
      </c>
      <c r="M279" s="91" t="str">
        <f t="shared" si="1053"/>
        <v>0311916-OffMed-SG-WWR20</v>
      </c>
      <c r="N279" s="90" t="s">
        <v>177</v>
      </c>
      <c r="O279" s="90" t="str">
        <f t="shared" si="1017"/>
        <v>0311916-OffMed-SG-WWR20</v>
      </c>
      <c r="P279" s="92">
        <f t="shared" ref="P279:AB279" si="1068">P278</f>
        <v>1</v>
      </c>
      <c r="Q279" s="92">
        <f t="shared" si="1068"/>
        <v>1</v>
      </c>
      <c r="R279" s="92">
        <f t="shared" si="1068"/>
        <v>0</v>
      </c>
      <c r="S279" s="92">
        <f t="shared" si="1068"/>
        <v>1</v>
      </c>
      <c r="T279" s="92">
        <f t="shared" si="1068"/>
        <v>0</v>
      </c>
      <c r="U279" s="92">
        <f t="shared" si="1068"/>
        <v>8</v>
      </c>
      <c r="V279" s="92">
        <f t="shared" si="1068"/>
        <v>8</v>
      </c>
      <c r="W279" s="92">
        <f t="shared" si="1068"/>
        <v>1</v>
      </c>
      <c r="X279" s="92">
        <f t="shared" si="1068"/>
        <v>0</v>
      </c>
      <c r="Y279" s="92">
        <f t="shared" si="1068"/>
        <v>0</v>
      </c>
      <c r="Z279" s="92">
        <f t="shared" si="1068"/>
        <v>0</v>
      </c>
      <c r="AA279" s="92">
        <f t="shared" si="1068"/>
        <v>0</v>
      </c>
      <c r="AB279" s="92">
        <f t="shared" si="1068"/>
        <v>1</v>
      </c>
      <c r="AC279" s="92">
        <f t="shared" si="1054"/>
        <v>0</v>
      </c>
      <c r="AD279" s="92">
        <f t="shared" si="1054"/>
        <v>1</v>
      </c>
      <c r="AE279" s="92">
        <f t="shared" si="1054"/>
        <v>0</v>
      </c>
      <c r="AF279" s="92">
        <f t="shared" si="1054"/>
        <v>0</v>
      </c>
      <c r="AG279" s="92">
        <f t="shared" si="1054"/>
        <v>0</v>
      </c>
      <c r="AH279" s="92">
        <f t="shared" si="1054"/>
        <v>0</v>
      </c>
      <c r="AI279" s="92">
        <f t="shared" si="1054"/>
        <v>0</v>
      </c>
      <c r="AJ279" s="92">
        <f t="shared" si="1054"/>
        <v>0</v>
      </c>
      <c r="AK279" s="92">
        <f t="shared" si="1054"/>
        <v>0</v>
      </c>
      <c r="AL279" s="92">
        <f t="shared" si="1054"/>
        <v>0</v>
      </c>
      <c r="AM279" s="92">
        <f t="shared" si="1054"/>
        <v>0</v>
      </c>
      <c r="AN279" s="92">
        <f t="shared" si="1054"/>
        <v>0</v>
      </c>
      <c r="AO279" s="92">
        <f t="shared" si="1054"/>
        <v>0</v>
      </c>
      <c r="AP279" s="92">
        <f t="shared" si="1054"/>
        <v>0</v>
      </c>
      <c r="AQ279" s="92">
        <f t="shared" si="1054"/>
        <v>0</v>
      </c>
      <c r="AR279" s="92">
        <f t="shared" si="1054"/>
        <v>0</v>
      </c>
      <c r="AS279" s="31" t="str">
        <f t="shared" si="1019"/>
        <v>SimulationStorage,1,</v>
      </c>
      <c r="AT279" s="31" t="str">
        <f t="shared" si="1020"/>
        <v>AnalysisStorage,1,</v>
      </c>
      <c r="AU279" s="31" t="str">
        <f t="shared" si="1021"/>
        <v>LogRuleEvaluation,0,</v>
      </c>
      <c r="AV279" s="31" t="str">
        <f t="shared" si="1022"/>
        <v>ParallelSimulations,1,</v>
      </c>
      <c r="AW279" s="31" t="str">
        <f t="shared" si="1023"/>
        <v>DurationStats,0,</v>
      </c>
      <c r="AX279" s="31" t="str">
        <f t="shared" si="1024"/>
        <v>AnalysisThruStep,8,</v>
      </c>
      <c r="AY279" s="31" t="str">
        <f t="shared" si="1025"/>
        <v>DontAbortOnErrorsThruStep,8,</v>
      </c>
      <c r="AZ279" s="31" t="str">
        <f t="shared" si="1026"/>
        <v>BypassValidFileChecks,1,</v>
      </c>
      <c r="BA279" s="31" t="str">
        <f t="shared" si="1027"/>
        <v>BypassInputChecks,0,</v>
      </c>
      <c r="BB279" s="31" t="str">
        <f t="shared" si="1028"/>
        <v>BypassUMLHChecks,0,</v>
      </c>
      <c r="BC279" s="31" t="str">
        <f t="shared" si="1029"/>
        <v>BypassCheckSimRules,0,</v>
      </c>
      <c r="BD279" s="31" t="str">
        <f t="shared" si="1030"/>
        <v>BypassCheckCodeRules,0,</v>
      </c>
      <c r="BE279" s="31" t="str">
        <f t="shared" si="1031"/>
        <v>StoreResultsToModelInput,1,</v>
      </c>
      <c r="BF279" s="31" t="str">
        <f t="shared" si="1032"/>
        <v>StoreBEMDetails,0,</v>
      </c>
      <c r="BG279" s="31" t="str">
        <f t="shared" si="1033"/>
        <v>ModelRpt_ALL,1,</v>
      </c>
      <c r="BH279" s="31" t="str">
        <f t="shared" si="1034"/>
        <v>ExportHourlyResults_All,0,</v>
      </c>
      <c r="BI279" s="31" t="str">
        <f t="shared" si="1035"/>
        <v>ComplianceReportPDF,0,</v>
      </c>
      <c r="BJ279" s="31" t="str">
        <f t="shared" si="1036"/>
        <v>ComplianceReportXML,0,</v>
      </c>
      <c r="BK279" s="31" t="str">
        <f t="shared" si="1037"/>
        <v>QuickAnalysis,0,</v>
      </c>
      <c r="BL279" s="31" t="str">
        <f t="shared" si="1038"/>
        <v>PromptUserUMLHWarning,0,</v>
      </c>
      <c r="BM279" s="31" t="str">
        <f t="shared" si="1039"/>
        <v>BypassOpenStudio_all,0,</v>
      </c>
      <c r="BN279" s="31" t="str">
        <f t="shared" si="1040"/>
        <v>BypassOpenStudio_zp,0,</v>
      </c>
      <c r="BO279" s="31" t="str">
        <f t="shared" si="1041"/>
        <v>BypassOpenStudio_zb,0,</v>
      </c>
      <c r="BP279" s="31" t="str">
        <f t="shared" si="1042"/>
        <v>BypassOpenStudio_ap,0,</v>
      </c>
      <c r="BQ279" s="31" t="str">
        <f t="shared" si="1043"/>
        <v>BypassOpenStudio_ab,0,</v>
      </c>
      <c r="BR279" s="31" t="str">
        <f t="shared" si="1044"/>
        <v>BypassOpenStudio_zp,0,</v>
      </c>
      <c r="BS279" s="31" t="str">
        <f t="shared" si="1045"/>
        <v>BypassOpenStudio_zb,0,</v>
      </c>
      <c r="BT279" s="31" t="str">
        <f t="shared" si="1046"/>
        <v>BypassOpenStudio_ap,0,</v>
      </c>
      <c r="BU279" s="31" t="str">
        <f t="shared" si="1047"/>
        <v>BypassOpenStudio_ab,0,</v>
      </c>
    </row>
    <row r="280" spans="1:73" outlineLevel="1" x14ac:dyDescent="0.25">
      <c r="A280" s="39">
        <f t="shared" si="1015"/>
        <v>1</v>
      </c>
      <c r="B280" s="27" t="str">
        <f t="shared" si="1048"/>
        <v>SoftwareSensitivity2016Tests\SimplifiedGeometry\0312006-OffMed-SG-WWR40.cibd16</v>
      </c>
      <c r="C280" s="27" t="str">
        <f t="shared" si="1049"/>
        <v>BatchOut_171026_r5178_FinalRel-v3-SSTSG_SSTSG\0312006-OffMed-SG-WWR40.cibd16</v>
      </c>
      <c r="D280" s="27" t="str">
        <f t="shared" si="1050"/>
        <v>BatchOut_171026_r5178_FinalRel-v3-SSTSG_SSTSG\XML\</v>
      </c>
      <c r="E280" s="9" t="str">
        <f t="shared" si="1051"/>
        <v>0312006-OffMed-SG-WWR40</v>
      </c>
      <c r="F280" s="22"/>
      <c r="G280" s="29"/>
      <c r="H280" s="23" t="str">
        <f t="shared" si="1052"/>
        <v/>
      </c>
      <c r="I280" s="9" t="s">
        <v>11</v>
      </c>
      <c r="J28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0" s="15" t="s">
        <v>1</v>
      </c>
      <c r="L280" s="92">
        <f t="shared" si="1055"/>
        <v>1</v>
      </c>
      <c r="M280" s="91" t="str">
        <f t="shared" si="1053"/>
        <v>0312006-OffMed-SG-WWR40</v>
      </c>
      <c r="N280" s="90" t="s">
        <v>178</v>
      </c>
      <c r="O280" s="90" t="str">
        <f t="shared" si="1017"/>
        <v>0312006-OffMed-SG-WWR40</v>
      </c>
      <c r="P280" s="92">
        <f t="shared" ref="P280:AB280" si="1069">P279</f>
        <v>1</v>
      </c>
      <c r="Q280" s="92">
        <f t="shared" si="1069"/>
        <v>1</v>
      </c>
      <c r="R280" s="92">
        <f t="shared" si="1069"/>
        <v>0</v>
      </c>
      <c r="S280" s="92">
        <f t="shared" si="1069"/>
        <v>1</v>
      </c>
      <c r="T280" s="92">
        <f t="shared" si="1069"/>
        <v>0</v>
      </c>
      <c r="U280" s="92">
        <f t="shared" si="1069"/>
        <v>8</v>
      </c>
      <c r="V280" s="92">
        <f t="shared" si="1069"/>
        <v>8</v>
      </c>
      <c r="W280" s="92">
        <f t="shared" si="1069"/>
        <v>1</v>
      </c>
      <c r="X280" s="92">
        <f t="shared" si="1069"/>
        <v>0</v>
      </c>
      <c r="Y280" s="92">
        <f t="shared" si="1069"/>
        <v>0</v>
      </c>
      <c r="Z280" s="92">
        <f t="shared" si="1069"/>
        <v>0</v>
      </c>
      <c r="AA280" s="92">
        <f t="shared" si="1069"/>
        <v>0</v>
      </c>
      <c r="AB280" s="92">
        <f t="shared" si="1069"/>
        <v>1</v>
      </c>
      <c r="AC280" s="92">
        <f t="shared" si="1054"/>
        <v>0</v>
      </c>
      <c r="AD280" s="92">
        <f t="shared" si="1054"/>
        <v>1</v>
      </c>
      <c r="AE280" s="92">
        <f t="shared" si="1054"/>
        <v>0</v>
      </c>
      <c r="AF280" s="92">
        <f t="shared" si="1054"/>
        <v>0</v>
      </c>
      <c r="AG280" s="92">
        <f t="shared" si="1054"/>
        <v>0</v>
      </c>
      <c r="AH280" s="92">
        <f t="shared" si="1054"/>
        <v>0</v>
      </c>
      <c r="AI280" s="92">
        <f t="shared" si="1054"/>
        <v>0</v>
      </c>
      <c r="AJ280" s="92">
        <f t="shared" si="1054"/>
        <v>0</v>
      </c>
      <c r="AK280" s="92">
        <f t="shared" si="1054"/>
        <v>0</v>
      </c>
      <c r="AL280" s="92">
        <f t="shared" si="1054"/>
        <v>0</v>
      </c>
      <c r="AM280" s="92">
        <f t="shared" si="1054"/>
        <v>0</v>
      </c>
      <c r="AN280" s="92">
        <f t="shared" si="1054"/>
        <v>0</v>
      </c>
      <c r="AO280" s="92">
        <f t="shared" si="1054"/>
        <v>0</v>
      </c>
      <c r="AP280" s="92">
        <f t="shared" si="1054"/>
        <v>0</v>
      </c>
      <c r="AQ280" s="92">
        <f t="shared" si="1054"/>
        <v>0</v>
      </c>
      <c r="AR280" s="92">
        <f t="shared" si="1054"/>
        <v>0</v>
      </c>
      <c r="AS280" s="31" t="str">
        <f t="shared" si="1019"/>
        <v>SimulationStorage,1,</v>
      </c>
      <c r="AT280" s="31" t="str">
        <f t="shared" si="1020"/>
        <v>AnalysisStorage,1,</v>
      </c>
      <c r="AU280" s="31" t="str">
        <f t="shared" si="1021"/>
        <v>LogRuleEvaluation,0,</v>
      </c>
      <c r="AV280" s="31" t="str">
        <f t="shared" si="1022"/>
        <v>ParallelSimulations,1,</v>
      </c>
      <c r="AW280" s="31" t="str">
        <f t="shared" si="1023"/>
        <v>DurationStats,0,</v>
      </c>
      <c r="AX280" s="31" t="str">
        <f t="shared" si="1024"/>
        <v>AnalysisThruStep,8,</v>
      </c>
      <c r="AY280" s="31" t="str">
        <f t="shared" si="1025"/>
        <v>DontAbortOnErrorsThruStep,8,</v>
      </c>
      <c r="AZ280" s="31" t="str">
        <f t="shared" si="1026"/>
        <v>BypassValidFileChecks,1,</v>
      </c>
      <c r="BA280" s="31" t="str">
        <f t="shared" si="1027"/>
        <v>BypassInputChecks,0,</v>
      </c>
      <c r="BB280" s="31" t="str">
        <f t="shared" si="1028"/>
        <v>BypassUMLHChecks,0,</v>
      </c>
      <c r="BC280" s="31" t="str">
        <f t="shared" si="1029"/>
        <v>BypassCheckSimRules,0,</v>
      </c>
      <c r="BD280" s="31" t="str">
        <f t="shared" si="1030"/>
        <v>BypassCheckCodeRules,0,</v>
      </c>
      <c r="BE280" s="31" t="str">
        <f t="shared" si="1031"/>
        <v>StoreResultsToModelInput,1,</v>
      </c>
      <c r="BF280" s="31" t="str">
        <f t="shared" si="1032"/>
        <v>StoreBEMDetails,0,</v>
      </c>
      <c r="BG280" s="31" t="str">
        <f t="shared" si="1033"/>
        <v>ModelRpt_ALL,1,</v>
      </c>
      <c r="BH280" s="31" t="str">
        <f t="shared" si="1034"/>
        <v>ExportHourlyResults_All,0,</v>
      </c>
      <c r="BI280" s="31" t="str">
        <f t="shared" si="1035"/>
        <v>ComplianceReportPDF,0,</v>
      </c>
      <c r="BJ280" s="31" t="str">
        <f t="shared" si="1036"/>
        <v>ComplianceReportXML,0,</v>
      </c>
      <c r="BK280" s="31" t="str">
        <f t="shared" si="1037"/>
        <v>QuickAnalysis,0,</v>
      </c>
      <c r="BL280" s="31" t="str">
        <f t="shared" si="1038"/>
        <v>PromptUserUMLHWarning,0,</v>
      </c>
      <c r="BM280" s="31" t="str">
        <f t="shared" si="1039"/>
        <v>BypassOpenStudio_all,0,</v>
      </c>
      <c r="BN280" s="31" t="str">
        <f t="shared" si="1040"/>
        <v>BypassOpenStudio_zp,0,</v>
      </c>
      <c r="BO280" s="31" t="str">
        <f t="shared" si="1041"/>
        <v>BypassOpenStudio_zb,0,</v>
      </c>
      <c r="BP280" s="31" t="str">
        <f t="shared" si="1042"/>
        <v>BypassOpenStudio_ap,0,</v>
      </c>
      <c r="BQ280" s="31" t="str">
        <f t="shared" si="1043"/>
        <v>BypassOpenStudio_ab,0,</v>
      </c>
      <c r="BR280" s="31" t="str">
        <f t="shared" si="1044"/>
        <v>BypassOpenStudio_zp,0,</v>
      </c>
      <c r="BS280" s="31" t="str">
        <f t="shared" si="1045"/>
        <v>BypassOpenStudio_zb,0,</v>
      </c>
      <c r="BT280" s="31" t="str">
        <f t="shared" si="1046"/>
        <v>BypassOpenStudio_ap,0,</v>
      </c>
      <c r="BU280" s="31" t="str">
        <f t="shared" si="1047"/>
        <v>BypassOpenStudio_ab,0,</v>
      </c>
    </row>
    <row r="281" spans="1:73" outlineLevel="1" x14ac:dyDescent="0.25">
      <c r="A281" s="39">
        <f t="shared" si="1015"/>
        <v>1</v>
      </c>
      <c r="B281" s="27" t="str">
        <f t="shared" si="1048"/>
        <v>SoftwareSensitivity2016Tests\SimplifiedGeometry\0312106-OffMed-SG-WWR20.cibd16</v>
      </c>
      <c r="C281" s="27" t="str">
        <f t="shared" si="1049"/>
        <v>BatchOut_171026_r5178_FinalRel-v3-SSTSG_SSTSG\0312106-OffMed-SG-WWR20.cibd16</v>
      </c>
      <c r="D281" s="27" t="str">
        <f t="shared" si="1050"/>
        <v>BatchOut_171026_r5178_FinalRel-v3-SSTSG_SSTSG\XML\</v>
      </c>
      <c r="E281" s="9" t="str">
        <f t="shared" si="1051"/>
        <v>0312106-OffMed-SG-WWR20</v>
      </c>
      <c r="F281" s="22"/>
      <c r="G281" s="29"/>
      <c r="H281" s="23" t="str">
        <f t="shared" si="1052"/>
        <v/>
      </c>
      <c r="I281" s="9" t="s">
        <v>11</v>
      </c>
      <c r="J28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1" s="15" t="s">
        <v>1</v>
      </c>
      <c r="L281" s="92">
        <f t="shared" si="1055"/>
        <v>1</v>
      </c>
      <c r="M281" s="91" t="str">
        <f t="shared" si="1053"/>
        <v>0312106-OffMed-SG-WWR20</v>
      </c>
      <c r="N281" s="90" t="s">
        <v>179</v>
      </c>
      <c r="O281" s="90" t="str">
        <f t="shared" si="1017"/>
        <v>0312106-OffMed-SG-WWR20</v>
      </c>
      <c r="P281" s="92">
        <f t="shared" ref="P281:AB281" si="1070">P280</f>
        <v>1</v>
      </c>
      <c r="Q281" s="92">
        <f t="shared" si="1070"/>
        <v>1</v>
      </c>
      <c r="R281" s="92">
        <f t="shared" si="1070"/>
        <v>0</v>
      </c>
      <c r="S281" s="92">
        <f t="shared" si="1070"/>
        <v>1</v>
      </c>
      <c r="T281" s="92">
        <f t="shared" si="1070"/>
        <v>0</v>
      </c>
      <c r="U281" s="92">
        <f t="shared" si="1070"/>
        <v>8</v>
      </c>
      <c r="V281" s="92">
        <f t="shared" si="1070"/>
        <v>8</v>
      </c>
      <c r="W281" s="92">
        <f t="shared" si="1070"/>
        <v>1</v>
      </c>
      <c r="X281" s="92">
        <f t="shared" si="1070"/>
        <v>0</v>
      </c>
      <c r="Y281" s="92">
        <f t="shared" si="1070"/>
        <v>0</v>
      </c>
      <c r="Z281" s="92">
        <f t="shared" si="1070"/>
        <v>0</v>
      </c>
      <c r="AA281" s="92">
        <f t="shared" si="1070"/>
        <v>0</v>
      </c>
      <c r="AB281" s="92">
        <f t="shared" si="1070"/>
        <v>1</v>
      </c>
      <c r="AC281" s="92">
        <f t="shared" si="1054"/>
        <v>0</v>
      </c>
      <c r="AD281" s="92">
        <f t="shared" si="1054"/>
        <v>1</v>
      </c>
      <c r="AE281" s="92">
        <f t="shared" si="1054"/>
        <v>0</v>
      </c>
      <c r="AF281" s="92">
        <f t="shared" ref="AF281:AR296" si="1071">AF280</f>
        <v>0</v>
      </c>
      <c r="AG281" s="92">
        <f t="shared" si="1071"/>
        <v>0</v>
      </c>
      <c r="AH281" s="92">
        <f t="shared" si="1071"/>
        <v>0</v>
      </c>
      <c r="AI281" s="92">
        <f t="shared" si="1071"/>
        <v>0</v>
      </c>
      <c r="AJ281" s="92">
        <f t="shared" si="1071"/>
        <v>0</v>
      </c>
      <c r="AK281" s="92">
        <f t="shared" si="1071"/>
        <v>0</v>
      </c>
      <c r="AL281" s="92">
        <f t="shared" si="1071"/>
        <v>0</v>
      </c>
      <c r="AM281" s="92">
        <f t="shared" si="1071"/>
        <v>0</v>
      </c>
      <c r="AN281" s="92">
        <f t="shared" si="1071"/>
        <v>0</v>
      </c>
      <c r="AO281" s="92">
        <f t="shared" si="1071"/>
        <v>0</v>
      </c>
      <c r="AP281" s="92">
        <f t="shared" si="1071"/>
        <v>0</v>
      </c>
      <c r="AQ281" s="92">
        <f t="shared" si="1071"/>
        <v>0</v>
      </c>
      <c r="AR281" s="92">
        <f t="shared" si="1071"/>
        <v>0</v>
      </c>
      <c r="AS281" s="31" t="str">
        <f t="shared" si="1019"/>
        <v>SimulationStorage,1,</v>
      </c>
      <c r="AT281" s="31" t="str">
        <f t="shared" si="1020"/>
        <v>AnalysisStorage,1,</v>
      </c>
      <c r="AU281" s="31" t="str">
        <f t="shared" si="1021"/>
        <v>LogRuleEvaluation,0,</v>
      </c>
      <c r="AV281" s="31" t="str">
        <f t="shared" si="1022"/>
        <v>ParallelSimulations,1,</v>
      </c>
      <c r="AW281" s="31" t="str">
        <f t="shared" si="1023"/>
        <v>DurationStats,0,</v>
      </c>
      <c r="AX281" s="31" t="str">
        <f t="shared" si="1024"/>
        <v>AnalysisThruStep,8,</v>
      </c>
      <c r="AY281" s="31" t="str">
        <f t="shared" si="1025"/>
        <v>DontAbortOnErrorsThruStep,8,</v>
      </c>
      <c r="AZ281" s="31" t="str">
        <f t="shared" si="1026"/>
        <v>BypassValidFileChecks,1,</v>
      </c>
      <c r="BA281" s="31" t="str">
        <f t="shared" si="1027"/>
        <v>BypassInputChecks,0,</v>
      </c>
      <c r="BB281" s="31" t="str">
        <f t="shared" si="1028"/>
        <v>BypassUMLHChecks,0,</v>
      </c>
      <c r="BC281" s="31" t="str">
        <f t="shared" si="1029"/>
        <v>BypassCheckSimRules,0,</v>
      </c>
      <c r="BD281" s="31" t="str">
        <f t="shared" si="1030"/>
        <v>BypassCheckCodeRules,0,</v>
      </c>
      <c r="BE281" s="31" t="str">
        <f t="shared" si="1031"/>
        <v>StoreResultsToModelInput,1,</v>
      </c>
      <c r="BF281" s="31" t="str">
        <f t="shared" si="1032"/>
        <v>StoreBEMDetails,0,</v>
      </c>
      <c r="BG281" s="31" t="str">
        <f t="shared" si="1033"/>
        <v>ModelRpt_ALL,1,</v>
      </c>
      <c r="BH281" s="31" t="str">
        <f t="shared" si="1034"/>
        <v>ExportHourlyResults_All,0,</v>
      </c>
      <c r="BI281" s="31" t="str">
        <f t="shared" si="1035"/>
        <v>ComplianceReportPDF,0,</v>
      </c>
      <c r="BJ281" s="31" t="str">
        <f t="shared" si="1036"/>
        <v>ComplianceReportXML,0,</v>
      </c>
      <c r="BK281" s="31" t="str">
        <f t="shared" si="1037"/>
        <v>QuickAnalysis,0,</v>
      </c>
      <c r="BL281" s="31" t="str">
        <f t="shared" si="1038"/>
        <v>PromptUserUMLHWarning,0,</v>
      </c>
      <c r="BM281" s="31" t="str">
        <f t="shared" si="1039"/>
        <v>BypassOpenStudio_all,0,</v>
      </c>
      <c r="BN281" s="31" t="str">
        <f t="shared" si="1040"/>
        <v>BypassOpenStudio_zp,0,</v>
      </c>
      <c r="BO281" s="31" t="str">
        <f t="shared" si="1041"/>
        <v>BypassOpenStudio_zb,0,</v>
      </c>
      <c r="BP281" s="31" t="str">
        <f t="shared" si="1042"/>
        <v>BypassOpenStudio_ap,0,</v>
      </c>
      <c r="BQ281" s="31" t="str">
        <f t="shared" si="1043"/>
        <v>BypassOpenStudio_ab,0,</v>
      </c>
      <c r="BR281" s="31" t="str">
        <f t="shared" si="1044"/>
        <v>BypassOpenStudio_zp,0,</v>
      </c>
      <c r="BS281" s="31" t="str">
        <f t="shared" si="1045"/>
        <v>BypassOpenStudio_zb,0,</v>
      </c>
      <c r="BT281" s="31" t="str">
        <f t="shared" si="1046"/>
        <v>BypassOpenStudio_ap,0,</v>
      </c>
      <c r="BU281" s="31" t="str">
        <f t="shared" si="1047"/>
        <v>BypassOpenStudio_ab,0,</v>
      </c>
    </row>
    <row r="282" spans="1:73" outlineLevel="1" x14ac:dyDescent="0.25">
      <c r="A282" s="39">
        <f t="shared" si="1015"/>
        <v>1</v>
      </c>
      <c r="B282" s="27" t="str">
        <f t="shared" si="1048"/>
        <v>SoftwareSensitivity2016Tests\SimplifiedGeometry\0312316-OffMed-SG-WinUSHGC.cibd16</v>
      </c>
      <c r="C282" s="27" t="str">
        <f t="shared" si="1049"/>
        <v>BatchOut_171026_r5178_FinalRel-v3-SSTSG_SSTSG\0312316-OffMed-SG-WinUSHGC.cibd16</v>
      </c>
      <c r="D282" s="27" t="str">
        <f t="shared" si="1050"/>
        <v>BatchOut_171026_r5178_FinalRel-v3-SSTSG_SSTSG\XML\</v>
      </c>
      <c r="E282" s="9" t="str">
        <f t="shared" si="1051"/>
        <v>0312316-OffMed-SG-WinUSHGC</v>
      </c>
      <c r="F282" s="22"/>
      <c r="G282" s="29"/>
      <c r="H282" s="23" t="str">
        <f t="shared" si="1052"/>
        <v/>
      </c>
      <c r="I282" s="9" t="s">
        <v>11</v>
      </c>
      <c r="J28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2" s="15" t="s">
        <v>1</v>
      </c>
      <c r="L282" s="92">
        <f t="shared" si="1055"/>
        <v>1</v>
      </c>
      <c r="M282" s="91" t="str">
        <f t="shared" si="1053"/>
        <v>0312316-OffMed-SG-WinUSHGC</v>
      </c>
      <c r="N282" s="90" t="s">
        <v>180</v>
      </c>
      <c r="O282" s="90" t="str">
        <f t="shared" si="1017"/>
        <v>0312316-OffMed-SG-WinUSHGC</v>
      </c>
      <c r="P282" s="92">
        <f t="shared" ref="P282:AI297" si="1072">P281</f>
        <v>1</v>
      </c>
      <c r="Q282" s="92">
        <f t="shared" si="1072"/>
        <v>1</v>
      </c>
      <c r="R282" s="92">
        <f t="shared" si="1072"/>
        <v>0</v>
      </c>
      <c r="S282" s="92">
        <f t="shared" si="1072"/>
        <v>1</v>
      </c>
      <c r="T282" s="92">
        <f t="shared" si="1072"/>
        <v>0</v>
      </c>
      <c r="U282" s="92">
        <f t="shared" si="1072"/>
        <v>8</v>
      </c>
      <c r="V282" s="92">
        <f t="shared" si="1072"/>
        <v>8</v>
      </c>
      <c r="W282" s="92">
        <f t="shared" si="1072"/>
        <v>1</v>
      </c>
      <c r="X282" s="92">
        <f t="shared" si="1072"/>
        <v>0</v>
      </c>
      <c r="Y282" s="92">
        <f t="shared" si="1072"/>
        <v>0</v>
      </c>
      <c r="Z282" s="92">
        <f t="shared" si="1072"/>
        <v>0</v>
      </c>
      <c r="AA282" s="92">
        <f t="shared" si="1072"/>
        <v>0</v>
      </c>
      <c r="AB282" s="92">
        <f t="shared" si="1072"/>
        <v>1</v>
      </c>
      <c r="AC282" s="92">
        <f t="shared" si="1072"/>
        <v>0</v>
      </c>
      <c r="AD282" s="92">
        <f t="shared" si="1072"/>
        <v>1</v>
      </c>
      <c r="AE282" s="92">
        <f t="shared" si="1072"/>
        <v>0</v>
      </c>
      <c r="AF282" s="92">
        <f t="shared" si="1072"/>
        <v>0</v>
      </c>
      <c r="AG282" s="92">
        <f t="shared" si="1072"/>
        <v>0</v>
      </c>
      <c r="AH282" s="92">
        <f t="shared" si="1072"/>
        <v>0</v>
      </c>
      <c r="AI282" s="92">
        <f t="shared" si="1072"/>
        <v>0</v>
      </c>
      <c r="AJ282" s="92">
        <f t="shared" si="1071"/>
        <v>0</v>
      </c>
      <c r="AK282" s="92">
        <f t="shared" si="1071"/>
        <v>0</v>
      </c>
      <c r="AL282" s="92">
        <f t="shared" si="1071"/>
        <v>0</v>
      </c>
      <c r="AM282" s="92">
        <f t="shared" si="1071"/>
        <v>0</v>
      </c>
      <c r="AN282" s="92">
        <f t="shared" si="1071"/>
        <v>0</v>
      </c>
      <c r="AO282" s="92">
        <f t="shared" si="1071"/>
        <v>0</v>
      </c>
      <c r="AP282" s="92">
        <f t="shared" si="1071"/>
        <v>0</v>
      </c>
      <c r="AQ282" s="92">
        <f t="shared" si="1071"/>
        <v>0</v>
      </c>
      <c r="AR282" s="92">
        <f t="shared" si="1071"/>
        <v>0</v>
      </c>
      <c r="AS282" s="31" t="str">
        <f t="shared" si="1019"/>
        <v>SimulationStorage,1,</v>
      </c>
      <c r="AT282" s="31" t="str">
        <f t="shared" si="1020"/>
        <v>AnalysisStorage,1,</v>
      </c>
      <c r="AU282" s="31" t="str">
        <f t="shared" si="1021"/>
        <v>LogRuleEvaluation,0,</v>
      </c>
      <c r="AV282" s="31" t="str">
        <f t="shared" si="1022"/>
        <v>ParallelSimulations,1,</v>
      </c>
      <c r="AW282" s="31" t="str">
        <f t="shared" si="1023"/>
        <v>DurationStats,0,</v>
      </c>
      <c r="AX282" s="31" t="str">
        <f t="shared" si="1024"/>
        <v>AnalysisThruStep,8,</v>
      </c>
      <c r="AY282" s="31" t="str">
        <f t="shared" si="1025"/>
        <v>DontAbortOnErrorsThruStep,8,</v>
      </c>
      <c r="AZ282" s="31" t="str">
        <f t="shared" si="1026"/>
        <v>BypassValidFileChecks,1,</v>
      </c>
      <c r="BA282" s="31" t="str">
        <f t="shared" si="1027"/>
        <v>BypassInputChecks,0,</v>
      </c>
      <c r="BB282" s="31" t="str">
        <f t="shared" si="1028"/>
        <v>BypassUMLHChecks,0,</v>
      </c>
      <c r="BC282" s="31" t="str">
        <f t="shared" si="1029"/>
        <v>BypassCheckSimRules,0,</v>
      </c>
      <c r="BD282" s="31" t="str">
        <f t="shared" si="1030"/>
        <v>BypassCheckCodeRules,0,</v>
      </c>
      <c r="BE282" s="31" t="str">
        <f t="shared" si="1031"/>
        <v>StoreResultsToModelInput,1,</v>
      </c>
      <c r="BF282" s="31" t="str">
        <f t="shared" si="1032"/>
        <v>StoreBEMDetails,0,</v>
      </c>
      <c r="BG282" s="31" t="str">
        <f t="shared" si="1033"/>
        <v>ModelRpt_ALL,1,</v>
      </c>
      <c r="BH282" s="31" t="str">
        <f t="shared" si="1034"/>
        <v>ExportHourlyResults_All,0,</v>
      </c>
      <c r="BI282" s="31" t="str">
        <f t="shared" si="1035"/>
        <v>ComplianceReportPDF,0,</v>
      </c>
      <c r="BJ282" s="31" t="str">
        <f t="shared" si="1036"/>
        <v>ComplianceReportXML,0,</v>
      </c>
      <c r="BK282" s="31" t="str">
        <f t="shared" si="1037"/>
        <v>QuickAnalysis,0,</v>
      </c>
      <c r="BL282" s="31" t="str">
        <f t="shared" si="1038"/>
        <v>PromptUserUMLHWarning,0,</v>
      </c>
      <c r="BM282" s="31" t="str">
        <f t="shared" si="1039"/>
        <v>BypassOpenStudio_all,0,</v>
      </c>
      <c r="BN282" s="31" t="str">
        <f t="shared" si="1040"/>
        <v>BypassOpenStudio_zp,0,</v>
      </c>
      <c r="BO282" s="31" t="str">
        <f t="shared" si="1041"/>
        <v>BypassOpenStudio_zb,0,</v>
      </c>
      <c r="BP282" s="31" t="str">
        <f t="shared" si="1042"/>
        <v>BypassOpenStudio_ap,0,</v>
      </c>
      <c r="BQ282" s="31" t="str">
        <f t="shared" si="1043"/>
        <v>BypassOpenStudio_ab,0,</v>
      </c>
      <c r="BR282" s="31" t="str">
        <f t="shared" si="1044"/>
        <v>BypassOpenStudio_zp,0,</v>
      </c>
      <c r="BS282" s="31" t="str">
        <f t="shared" si="1045"/>
        <v>BypassOpenStudio_zb,0,</v>
      </c>
      <c r="BT282" s="31" t="str">
        <f t="shared" si="1046"/>
        <v>BypassOpenStudio_ap,0,</v>
      </c>
      <c r="BU282" s="31" t="str">
        <f t="shared" si="1047"/>
        <v>BypassOpenStudio_ab,0,</v>
      </c>
    </row>
    <row r="283" spans="1:73" outlineLevel="1" x14ac:dyDescent="0.25">
      <c r="A283" s="39">
        <f t="shared" si="1015"/>
        <v>1</v>
      </c>
      <c r="B283" s="27" t="str">
        <f t="shared" si="1048"/>
        <v>SoftwareSensitivity2016Tests\SimplifiedGeometry\0312406-OffMed-SG-WinUSHGC.cibd16</v>
      </c>
      <c r="C283" s="27" t="str">
        <f t="shared" si="1049"/>
        <v>BatchOut_171026_r5178_FinalRel-v3-SSTSG_SSTSG\0312406-OffMed-SG-WinUSHGC.cibd16</v>
      </c>
      <c r="D283" s="27" t="str">
        <f t="shared" si="1050"/>
        <v>BatchOut_171026_r5178_FinalRel-v3-SSTSG_SSTSG\XML\</v>
      </c>
      <c r="E283" s="9" t="str">
        <f t="shared" si="1051"/>
        <v>0312406-OffMed-SG-WinUSHGC</v>
      </c>
      <c r="F283" s="22"/>
      <c r="G283" s="29"/>
      <c r="H283" s="23" t="str">
        <f t="shared" si="1052"/>
        <v/>
      </c>
      <c r="I283" s="9" t="s">
        <v>11</v>
      </c>
      <c r="J28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3" s="15" t="s">
        <v>1</v>
      </c>
      <c r="L283" s="92">
        <f t="shared" si="1055"/>
        <v>1</v>
      </c>
      <c r="M283" s="91" t="str">
        <f t="shared" si="1053"/>
        <v>0312406-OffMed-SG-WinUSHGC</v>
      </c>
      <c r="N283" s="90" t="s">
        <v>181</v>
      </c>
      <c r="O283" s="90" t="str">
        <f t="shared" si="1017"/>
        <v>0312406-OffMed-SG-WinUSHGC</v>
      </c>
      <c r="P283" s="92">
        <f t="shared" ref="P283:AB283" si="1073">P282</f>
        <v>1</v>
      </c>
      <c r="Q283" s="92">
        <f t="shared" si="1073"/>
        <v>1</v>
      </c>
      <c r="R283" s="92">
        <f t="shared" si="1073"/>
        <v>0</v>
      </c>
      <c r="S283" s="92">
        <f t="shared" si="1073"/>
        <v>1</v>
      </c>
      <c r="T283" s="92">
        <f t="shared" si="1073"/>
        <v>0</v>
      </c>
      <c r="U283" s="92">
        <f t="shared" si="1073"/>
        <v>8</v>
      </c>
      <c r="V283" s="92">
        <f t="shared" si="1073"/>
        <v>8</v>
      </c>
      <c r="W283" s="92">
        <f t="shared" si="1073"/>
        <v>1</v>
      </c>
      <c r="X283" s="92">
        <f t="shared" si="1073"/>
        <v>0</v>
      </c>
      <c r="Y283" s="92">
        <f t="shared" si="1073"/>
        <v>0</v>
      </c>
      <c r="Z283" s="92">
        <f t="shared" si="1073"/>
        <v>0</v>
      </c>
      <c r="AA283" s="92">
        <f t="shared" si="1073"/>
        <v>0</v>
      </c>
      <c r="AB283" s="92">
        <f t="shared" si="1073"/>
        <v>1</v>
      </c>
      <c r="AC283" s="92">
        <f t="shared" si="1072"/>
        <v>0</v>
      </c>
      <c r="AD283" s="92">
        <f t="shared" si="1072"/>
        <v>1</v>
      </c>
      <c r="AE283" s="92">
        <f t="shared" si="1072"/>
        <v>0</v>
      </c>
      <c r="AF283" s="92">
        <f t="shared" si="1072"/>
        <v>0</v>
      </c>
      <c r="AG283" s="92">
        <f t="shared" si="1072"/>
        <v>0</v>
      </c>
      <c r="AH283" s="92">
        <f t="shared" si="1072"/>
        <v>0</v>
      </c>
      <c r="AI283" s="92">
        <f t="shared" si="1072"/>
        <v>0</v>
      </c>
      <c r="AJ283" s="92">
        <f t="shared" si="1071"/>
        <v>0</v>
      </c>
      <c r="AK283" s="92">
        <f t="shared" si="1071"/>
        <v>0</v>
      </c>
      <c r="AL283" s="92">
        <f t="shared" si="1071"/>
        <v>0</v>
      </c>
      <c r="AM283" s="92">
        <f t="shared" si="1071"/>
        <v>0</v>
      </c>
      <c r="AN283" s="92">
        <f t="shared" si="1071"/>
        <v>0</v>
      </c>
      <c r="AO283" s="92">
        <f t="shared" si="1071"/>
        <v>0</v>
      </c>
      <c r="AP283" s="92">
        <f t="shared" si="1071"/>
        <v>0</v>
      </c>
      <c r="AQ283" s="92">
        <f t="shared" si="1071"/>
        <v>0</v>
      </c>
      <c r="AR283" s="92">
        <f t="shared" si="1071"/>
        <v>0</v>
      </c>
      <c r="AS283" s="31" t="str">
        <f t="shared" si="1019"/>
        <v>SimulationStorage,1,</v>
      </c>
      <c r="AT283" s="31" t="str">
        <f t="shared" si="1020"/>
        <v>AnalysisStorage,1,</v>
      </c>
      <c r="AU283" s="31" t="str">
        <f t="shared" si="1021"/>
        <v>LogRuleEvaluation,0,</v>
      </c>
      <c r="AV283" s="31" t="str">
        <f t="shared" si="1022"/>
        <v>ParallelSimulations,1,</v>
      </c>
      <c r="AW283" s="31" t="str">
        <f t="shared" si="1023"/>
        <v>DurationStats,0,</v>
      </c>
      <c r="AX283" s="31" t="str">
        <f t="shared" si="1024"/>
        <v>AnalysisThruStep,8,</v>
      </c>
      <c r="AY283" s="31" t="str">
        <f t="shared" si="1025"/>
        <v>DontAbortOnErrorsThruStep,8,</v>
      </c>
      <c r="AZ283" s="31" t="str">
        <f t="shared" si="1026"/>
        <v>BypassValidFileChecks,1,</v>
      </c>
      <c r="BA283" s="31" t="str">
        <f t="shared" si="1027"/>
        <v>BypassInputChecks,0,</v>
      </c>
      <c r="BB283" s="31" t="str">
        <f t="shared" si="1028"/>
        <v>BypassUMLHChecks,0,</v>
      </c>
      <c r="BC283" s="31" t="str">
        <f t="shared" si="1029"/>
        <v>BypassCheckSimRules,0,</v>
      </c>
      <c r="BD283" s="31" t="str">
        <f t="shared" si="1030"/>
        <v>BypassCheckCodeRules,0,</v>
      </c>
      <c r="BE283" s="31" t="str">
        <f t="shared" si="1031"/>
        <v>StoreResultsToModelInput,1,</v>
      </c>
      <c r="BF283" s="31" t="str">
        <f t="shared" si="1032"/>
        <v>StoreBEMDetails,0,</v>
      </c>
      <c r="BG283" s="31" t="str">
        <f t="shared" si="1033"/>
        <v>ModelRpt_ALL,1,</v>
      </c>
      <c r="BH283" s="31" t="str">
        <f t="shared" si="1034"/>
        <v>ExportHourlyResults_All,0,</v>
      </c>
      <c r="BI283" s="31" t="str">
        <f t="shared" si="1035"/>
        <v>ComplianceReportPDF,0,</v>
      </c>
      <c r="BJ283" s="31" t="str">
        <f t="shared" si="1036"/>
        <v>ComplianceReportXML,0,</v>
      </c>
      <c r="BK283" s="31" t="str">
        <f t="shared" si="1037"/>
        <v>QuickAnalysis,0,</v>
      </c>
      <c r="BL283" s="31" t="str">
        <f t="shared" si="1038"/>
        <v>PromptUserUMLHWarning,0,</v>
      </c>
      <c r="BM283" s="31" t="str">
        <f t="shared" si="1039"/>
        <v>BypassOpenStudio_all,0,</v>
      </c>
      <c r="BN283" s="31" t="str">
        <f t="shared" si="1040"/>
        <v>BypassOpenStudio_zp,0,</v>
      </c>
      <c r="BO283" s="31" t="str">
        <f t="shared" si="1041"/>
        <v>BypassOpenStudio_zb,0,</v>
      </c>
      <c r="BP283" s="31" t="str">
        <f t="shared" si="1042"/>
        <v>BypassOpenStudio_ap,0,</v>
      </c>
      <c r="BQ283" s="31" t="str">
        <f t="shared" si="1043"/>
        <v>BypassOpenStudio_ab,0,</v>
      </c>
      <c r="BR283" s="31" t="str">
        <f t="shared" si="1044"/>
        <v>BypassOpenStudio_zp,0,</v>
      </c>
      <c r="BS283" s="31" t="str">
        <f t="shared" si="1045"/>
        <v>BypassOpenStudio_zb,0,</v>
      </c>
      <c r="BT283" s="31" t="str">
        <f t="shared" si="1046"/>
        <v>BypassOpenStudio_ap,0,</v>
      </c>
      <c r="BU283" s="31" t="str">
        <f t="shared" si="1047"/>
        <v>BypassOpenStudio_ab,0,</v>
      </c>
    </row>
    <row r="284" spans="1:73" outlineLevel="1" x14ac:dyDescent="0.25">
      <c r="A284" s="39">
        <f t="shared" si="1015"/>
        <v>1</v>
      </c>
      <c r="B284" s="27" t="str">
        <f t="shared" si="1048"/>
        <v>SoftwareSensitivity2016Tests\SimplifiedGeometry\0312616-OffMed-Plenum_NDL.cibd16</v>
      </c>
      <c r="C284" s="27" t="str">
        <f t="shared" si="1049"/>
        <v>BatchOut_171026_r5178_FinalRel-v3-SSTSG_SSTSG\0312616-OffMed-Plenum_NDL.cibd16</v>
      </c>
      <c r="D284" s="27" t="str">
        <f t="shared" si="1050"/>
        <v>BatchOut_171026_r5178_FinalRel-v3-SSTSG_SSTSG\XML\</v>
      </c>
      <c r="E284" s="9" t="str">
        <f t="shared" si="1051"/>
        <v>0312616-OffMed-Plenum_NDL</v>
      </c>
      <c r="F284" s="22"/>
      <c r="G284" s="29"/>
      <c r="H284" s="23" t="str">
        <f t="shared" si="1052"/>
        <v/>
      </c>
      <c r="I284" s="9" t="s">
        <v>11</v>
      </c>
      <c r="J28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4" s="15" t="s">
        <v>1</v>
      </c>
      <c r="L284" s="92">
        <f t="shared" si="1055"/>
        <v>1</v>
      </c>
      <c r="M284" s="91" t="str">
        <f t="shared" si="1053"/>
        <v>0312616-OffMed-Plenum_NDL</v>
      </c>
      <c r="N284" s="90" t="s">
        <v>182</v>
      </c>
      <c r="O284" s="90" t="str">
        <f t="shared" si="1017"/>
        <v>0312616-OffMed-Plenum_NDL</v>
      </c>
      <c r="P284" s="92">
        <f t="shared" ref="P284:AB284" si="1074">P283</f>
        <v>1</v>
      </c>
      <c r="Q284" s="92">
        <f t="shared" si="1074"/>
        <v>1</v>
      </c>
      <c r="R284" s="92">
        <f t="shared" si="1074"/>
        <v>0</v>
      </c>
      <c r="S284" s="92">
        <f t="shared" si="1074"/>
        <v>1</v>
      </c>
      <c r="T284" s="92">
        <f t="shared" si="1074"/>
        <v>0</v>
      </c>
      <c r="U284" s="92">
        <f t="shared" si="1074"/>
        <v>8</v>
      </c>
      <c r="V284" s="92">
        <f t="shared" si="1074"/>
        <v>8</v>
      </c>
      <c r="W284" s="92">
        <f t="shared" si="1074"/>
        <v>1</v>
      </c>
      <c r="X284" s="92">
        <f t="shared" si="1074"/>
        <v>0</v>
      </c>
      <c r="Y284" s="92">
        <f t="shared" si="1074"/>
        <v>0</v>
      </c>
      <c r="Z284" s="92">
        <f t="shared" si="1074"/>
        <v>0</v>
      </c>
      <c r="AA284" s="92">
        <f t="shared" si="1074"/>
        <v>0</v>
      </c>
      <c r="AB284" s="92">
        <f t="shared" si="1074"/>
        <v>1</v>
      </c>
      <c r="AC284" s="92">
        <f t="shared" si="1072"/>
        <v>0</v>
      </c>
      <c r="AD284" s="92">
        <f t="shared" si="1072"/>
        <v>1</v>
      </c>
      <c r="AE284" s="92">
        <f t="shared" si="1072"/>
        <v>0</v>
      </c>
      <c r="AF284" s="92">
        <f t="shared" si="1072"/>
        <v>0</v>
      </c>
      <c r="AG284" s="92">
        <f t="shared" si="1072"/>
        <v>0</v>
      </c>
      <c r="AH284" s="92">
        <f t="shared" si="1072"/>
        <v>0</v>
      </c>
      <c r="AI284" s="92">
        <f t="shared" si="1072"/>
        <v>0</v>
      </c>
      <c r="AJ284" s="92">
        <f t="shared" si="1071"/>
        <v>0</v>
      </c>
      <c r="AK284" s="92">
        <f t="shared" si="1071"/>
        <v>0</v>
      </c>
      <c r="AL284" s="92">
        <f t="shared" si="1071"/>
        <v>0</v>
      </c>
      <c r="AM284" s="92">
        <f t="shared" si="1071"/>
        <v>0</v>
      </c>
      <c r="AN284" s="92">
        <f t="shared" si="1071"/>
        <v>0</v>
      </c>
      <c r="AO284" s="92">
        <f t="shared" si="1071"/>
        <v>0</v>
      </c>
      <c r="AP284" s="92">
        <f t="shared" si="1071"/>
        <v>0</v>
      </c>
      <c r="AQ284" s="92">
        <f t="shared" si="1071"/>
        <v>0</v>
      </c>
      <c r="AR284" s="92">
        <f t="shared" si="1071"/>
        <v>0</v>
      </c>
      <c r="AS284" s="31" t="str">
        <f t="shared" si="1019"/>
        <v>SimulationStorage,1,</v>
      </c>
      <c r="AT284" s="31" t="str">
        <f t="shared" si="1020"/>
        <v>AnalysisStorage,1,</v>
      </c>
      <c r="AU284" s="31" t="str">
        <f t="shared" si="1021"/>
        <v>LogRuleEvaluation,0,</v>
      </c>
      <c r="AV284" s="31" t="str">
        <f t="shared" si="1022"/>
        <v>ParallelSimulations,1,</v>
      </c>
      <c r="AW284" s="31" t="str">
        <f t="shared" si="1023"/>
        <v>DurationStats,0,</v>
      </c>
      <c r="AX284" s="31" t="str">
        <f t="shared" si="1024"/>
        <v>AnalysisThruStep,8,</v>
      </c>
      <c r="AY284" s="31" t="str">
        <f t="shared" si="1025"/>
        <v>DontAbortOnErrorsThruStep,8,</v>
      </c>
      <c r="AZ284" s="31" t="str">
        <f t="shared" si="1026"/>
        <v>BypassValidFileChecks,1,</v>
      </c>
      <c r="BA284" s="31" t="str">
        <f t="shared" si="1027"/>
        <v>BypassInputChecks,0,</v>
      </c>
      <c r="BB284" s="31" t="str">
        <f t="shared" si="1028"/>
        <v>BypassUMLHChecks,0,</v>
      </c>
      <c r="BC284" s="31" t="str">
        <f t="shared" si="1029"/>
        <v>BypassCheckSimRules,0,</v>
      </c>
      <c r="BD284" s="31" t="str">
        <f t="shared" si="1030"/>
        <v>BypassCheckCodeRules,0,</v>
      </c>
      <c r="BE284" s="31" t="str">
        <f t="shared" si="1031"/>
        <v>StoreResultsToModelInput,1,</v>
      </c>
      <c r="BF284" s="31" t="str">
        <f t="shared" si="1032"/>
        <v>StoreBEMDetails,0,</v>
      </c>
      <c r="BG284" s="31" t="str">
        <f t="shared" si="1033"/>
        <v>ModelRpt_ALL,1,</v>
      </c>
      <c r="BH284" s="31" t="str">
        <f t="shared" si="1034"/>
        <v>ExportHourlyResults_All,0,</v>
      </c>
      <c r="BI284" s="31" t="str">
        <f t="shared" si="1035"/>
        <v>ComplianceReportPDF,0,</v>
      </c>
      <c r="BJ284" s="31" t="str">
        <f t="shared" si="1036"/>
        <v>ComplianceReportXML,0,</v>
      </c>
      <c r="BK284" s="31" t="str">
        <f t="shared" si="1037"/>
        <v>QuickAnalysis,0,</v>
      </c>
      <c r="BL284" s="31" t="str">
        <f t="shared" si="1038"/>
        <v>PromptUserUMLHWarning,0,</v>
      </c>
      <c r="BM284" s="31" t="str">
        <f t="shared" si="1039"/>
        <v>BypassOpenStudio_all,0,</v>
      </c>
      <c r="BN284" s="31" t="str">
        <f t="shared" si="1040"/>
        <v>BypassOpenStudio_zp,0,</v>
      </c>
      <c r="BO284" s="31" t="str">
        <f t="shared" si="1041"/>
        <v>BypassOpenStudio_zb,0,</v>
      </c>
      <c r="BP284" s="31" t="str">
        <f t="shared" si="1042"/>
        <v>BypassOpenStudio_ap,0,</v>
      </c>
      <c r="BQ284" s="31" t="str">
        <f t="shared" si="1043"/>
        <v>BypassOpenStudio_ab,0,</v>
      </c>
      <c r="BR284" s="31" t="str">
        <f t="shared" si="1044"/>
        <v>BypassOpenStudio_zp,0,</v>
      </c>
      <c r="BS284" s="31" t="str">
        <f t="shared" si="1045"/>
        <v>BypassOpenStudio_zb,0,</v>
      </c>
      <c r="BT284" s="31" t="str">
        <f t="shared" si="1046"/>
        <v>BypassOpenStudio_ap,0,</v>
      </c>
      <c r="BU284" s="31" t="str">
        <f t="shared" si="1047"/>
        <v>BypassOpenStudio_ab,0,</v>
      </c>
    </row>
    <row r="285" spans="1:73" outlineLevel="1" x14ac:dyDescent="0.25">
      <c r="A285" s="39">
        <f t="shared" si="1015"/>
        <v>1</v>
      </c>
      <c r="B285" s="27" t="str">
        <f t="shared" si="1048"/>
        <v>SoftwareSensitivity2016Tests\SimplifiedGeometry\0312706-OffMed-Plenum_NDL.cibd16</v>
      </c>
      <c r="C285" s="27" t="str">
        <f t="shared" si="1049"/>
        <v>BatchOut_171026_r5178_FinalRel-v3-SSTSG_SSTSG\0312706-OffMed-Plenum_NDL.cibd16</v>
      </c>
      <c r="D285" s="27" t="str">
        <f t="shared" si="1050"/>
        <v>BatchOut_171026_r5178_FinalRel-v3-SSTSG_SSTSG\XML\</v>
      </c>
      <c r="E285" s="9" t="str">
        <f t="shared" si="1051"/>
        <v>0312706-OffMed-Plenum_NDL</v>
      </c>
      <c r="F285" s="22"/>
      <c r="G285" s="29"/>
      <c r="H285" s="23" t="str">
        <f t="shared" si="1052"/>
        <v/>
      </c>
      <c r="I285" s="9" t="s">
        <v>11</v>
      </c>
      <c r="J28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5" s="15" t="s">
        <v>1</v>
      </c>
      <c r="L285" s="92">
        <f t="shared" si="1055"/>
        <v>1</v>
      </c>
      <c r="M285" s="91" t="str">
        <f t="shared" si="1053"/>
        <v>0312706-OffMed-Plenum_NDL</v>
      </c>
      <c r="N285" s="90" t="s">
        <v>183</v>
      </c>
      <c r="O285" s="90" t="str">
        <f t="shared" si="1017"/>
        <v>0312706-OffMed-Plenum_NDL</v>
      </c>
      <c r="P285" s="92">
        <f t="shared" ref="P285:AB285" si="1075">P284</f>
        <v>1</v>
      </c>
      <c r="Q285" s="92">
        <f t="shared" si="1075"/>
        <v>1</v>
      </c>
      <c r="R285" s="92">
        <f t="shared" si="1075"/>
        <v>0</v>
      </c>
      <c r="S285" s="92">
        <f t="shared" si="1075"/>
        <v>1</v>
      </c>
      <c r="T285" s="92">
        <f t="shared" si="1075"/>
        <v>0</v>
      </c>
      <c r="U285" s="92">
        <f t="shared" si="1075"/>
        <v>8</v>
      </c>
      <c r="V285" s="92">
        <f t="shared" si="1075"/>
        <v>8</v>
      </c>
      <c r="W285" s="92">
        <f t="shared" si="1075"/>
        <v>1</v>
      </c>
      <c r="X285" s="92">
        <f t="shared" si="1075"/>
        <v>0</v>
      </c>
      <c r="Y285" s="92">
        <f t="shared" si="1075"/>
        <v>0</v>
      </c>
      <c r="Z285" s="92">
        <f t="shared" si="1075"/>
        <v>0</v>
      </c>
      <c r="AA285" s="92">
        <f t="shared" si="1075"/>
        <v>0</v>
      </c>
      <c r="AB285" s="92">
        <f t="shared" si="1075"/>
        <v>1</v>
      </c>
      <c r="AC285" s="92">
        <f t="shared" si="1072"/>
        <v>0</v>
      </c>
      <c r="AD285" s="92">
        <f t="shared" si="1072"/>
        <v>1</v>
      </c>
      <c r="AE285" s="92">
        <f t="shared" si="1072"/>
        <v>0</v>
      </c>
      <c r="AF285" s="92">
        <f t="shared" si="1072"/>
        <v>0</v>
      </c>
      <c r="AG285" s="92">
        <f t="shared" si="1072"/>
        <v>0</v>
      </c>
      <c r="AH285" s="92">
        <f t="shared" si="1072"/>
        <v>0</v>
      </c>
      <c r="AI285" s="92">
        <f t="shared" si="1072"/>
        <v>0</v>
      </c>
      <c r="AJ285" s="92">
        <f t="shared" si="1071"/>
        <v>0</v>
      </c>
      <c r="AK285" s="92">
        <f t="shared" si="1071"/>
        <v>0</v>
      </c>
      <c r="AL285" s="92">
        <f t="shared" si="1071"/>
        <v>0</v>
      </c>
      <c r="AM285" s="92">
        <f t="shared" si="1071"/>
        <v>0</v>
      </c>
      <c r="AN285" s="92">
        <f t="shared" si="1071"/>
        <v>0</v>
      </c>
      <c r="AO285" s="92">
        <f t="shared" si="1071"/>
        <v>0</v>
      </c>
      <c r="AP285" s="92">
        <f t="shared" si="1071"/>
        <v>0</v>
      </c>
      <c r="AQ285" s="92">
        <f t="shared" si="1071"/>
        <v>0</v>
      </c>
      <c r="AR285" s="92">
        <f t="shared" si="1071"/>
        <v>0</v>
      </c>
      <c r="AS285" s="31" t="str">
        <f t="shared" si="1019"/>
        <v>SimulationStorage,1,</v>
      </c>
      <c r="AT285" s="31" t="str">
        <f t="shared" si="1020"/>
        <v>AnalysisStorage,1,</v>
      </c>
      <c r="AU285" s="31" t="str">
        <f t="shared" si="1021"/>
        <v>LogRuleEvaluation,0,</v>
      </c>
      <c r="AV285" s="31" t="str">
        <f t="shared" si="1022"/>
        <v>ParallelSimulations,1,</v>
      </c>
      <c r="AW285" s="31" t="str">
        <f t="shared" si="1023"/>
        <v>DurationStats,0,</v>
      </c>
      <c r="AX285" s="31" t="str">
        <f t="shared" si="1024"/>
        <v>AnalysisThruStep,8,</v>
      </c>
      <c r="AY285" s="31" t="str">
        <f t="shared" si="1025"/>
        <v>DontAbortOnErrorsThruStep,8,</v>
      </c>
      <c r="AZ285" s="31" t="str">
        <f t="shared" si="1026"/>
        <v>BypassValidFileChecks,1,</v>
      </c>
      <c r="BA285" s="31" t="str">
        <f t="shared" si="1027"/>
        <v>BypassInputChecks,0,</v>
      </c>
      <c r="BB285" s="31" t="str">
        <f t="shared" si="1028"/>
        <v>BypassUMLHChecks,0,</v>
      </c>
      <c r="BC285" s="31" t="str">
        <f t="shared" si="1029"/>
        <v>BypassCheckSimRules,0,</v>
      </c>
      <c r="BD285" s="31" t="str">
        <f t="shared" si="1030"/>
        <v>BypassCheckCodeRules,0,</v>
      </c>
      <c r="BE285" s="31" t="str">
        <f t="shared" si="1031"/>
        <v>StoreResultsToModelInput,1,</v>
      </c>
      <c r="BF285" s="31" t="str">
        <f t="shared" si="1032"/>
        <v>StoreBEMDetails,0,</v>
      </c>
      <c r="BG285" s="31" t="str">
        <f t="shared" si="1033"/>
        <v>ModelRpt_ALL,1,</v>
      </c>
      <c r="BH285" s="31" t="str">
        <f t="shared" si="1034"/>
        <v>ExportHourlyResults_All,0,</v>
      </c>
      <c r="BI285" s="31" t="str">
        <f t="shared" si="1035"/>
        <v>ComplianceReportPDF,0,</v>
      </c>
      <c r="BJ285" s="31" t="str">
        <f t="shared" si="1036"/>
        <v>ComplianceReportXML,0,</v>
      </c>
      <c r="BK285" s="31" t="str">
        <f t="shared" si="1037"/>
        <v>QuickAnalysis,0,</v>
      </c>
      <c r="BL285" s="31" t="str">
        <f t="shared" si="1038"/>
        <v>PromptUserUMLHWarning,0,</v>
      </c>
      <c r="BM285" s="31" t="str">
        <f t="shared" si="1039"/>
        <v>BypassOpenStudio_all,0,</v>
      </c>
      <c r="BN285" s="31" t="str">
        <f t="shared" si="1040"/>
        <v>BypassOpenStudio_zp,0,</v>
      </c>
      <c r="BO285" s="31" t="str">
        <f t="shared" si="1041"/>
        <v>BypassOpenStudio_zb,0,</v>
      </c>
      <c r="BP285" s="31" t="str">
        <f t="shared" si="1042"/>
        <v>BypassOpenStudio_ap,0,</v>
      </c>
      <c r="BQ285" s="31" t="str">
        <f t="shared" si="1043"/>
        <v>BypassOpenStudio_ab,0,</v>
      </c>
      <c r="BR285" s="31" t="str">
        <f t="shared" si="1044"/>
        <v>BypassOpenStudio_zp,0,</v>
      </c>
      <c r="BS285" s="31" t="str">
        <f t="shared" si="1045"/>
        <v>BypassOpenStudio_zb,0,</v>
      </c>
      <c r="BT285" s="31" t="str">
        <f t="shared" si="1046"/>
        <v>BypassOpenStudio_ap,0,</v>
      </c>
      <c r="BU285" s="31" t="str">
        <f t="shared" si="1047"/>
        <v>BypassOpenStudio_ab,0,</v>
      </c>
    </row>
    <row r="286" spans="1:73" outlineLevel="1" x14ac:dyDescent="0.25">
      <c r="A286" s="39">
        <f t="shared" si="1015"/>
        <v>1</v>
      </c>
      <c r="B286" s="27" t="str">
        <f t="shared" si="1048"/>
        <v>SoftwareSensitivity2016Tests\SimplifiedGeometry\0313516-OffMed-LabwExhDOAS_NDL.cibd16</v>
      </c>
      <c r="C286" s="27" t="str">
        <f t="shared" si="1049"/>
        <v>BatchOut_171026_r5178_FinalRel-v3-SSTSG_SSTSG\0313516-OffMed-LabwExhDOAS_NDL.cibd16</v>
      </c>
      <c r="D286" s="27" t="str">
        <f t="shared" si="1050"/>
        <v>BatchOut_171026_r5178_FinalRel-v3-SSTSG_SSTSG\XML\</v>
      </c>
      <c r="E286" s="9" t="str">
        <f t="shared" si="1051"/>
        <v>0313516-OffMed-LabwExhDOAS_NDL</v>
      </c>
      <c r="F286" s="22"/>
      <c r="G286" s="29"/>
      <c r="H286" s="23" t="str">
        <f t="shared" si="1052"/>
        <v/>
      </c>
      <c r="I286" s="9" t="s">
        <v>11</v>
      </c>
      <c r="J28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6" s="15" t="s">
        <v>1</v>
      </c>
      <c r="L286" s="92">
        <f t="shared" si="1055"/>
        <v>1</v>
      </c>
      <c r="M286" s="91" t="str">
        <f t="shared" si="1053"/>
        <v>0313516-OffMed-LabwExhDOAS_NDL</v>
      </c>
      <c r="N286" s="90" t="s">
        <v>184</v>
      </c>
      <c r="O286" s="90" t="str">
        <f t="shared" si="1017"/>
        <v>0313516-OffMed-LabwExhDOAS_NDL</v>
      </c>
      <c r="P286" s="92">
        <f t="shared" ref="P286:AB286" si="1076">P285</f>
        <v>1</v>
      </c>
      <c r="Q286" s="92">
        <f t="shared" si="1076"/>
        <v>1</v>
      </c>
      <c r="R286" s="92">
        <f t="shared" si="1076"/>
        <v>0</v>
      </c>
      <c r="S286" s="92">
        <f t="shared" si="1076"/>
        <v>1</v>
      </c>
      <c r="T286" s="92">
        <f t="shared" si="1076"/>
        <v>0</v>
      </c>
      <c r="U286" s="92">
        <f t="shared" si="1076"/>
        <v>8</v>
      </c>
      <c r="V286" s="92">
        <f t="shared" si="1076"/>
        <v>8</v>
      </c>
      <c r="W286" s="92">
        <f t="shared" si="1076"/>
        <v>1</v>
      </c>
      <c r="X286" s="92">
        <f t="shared" si="1076"/>
        <v>0</v>
      </c>
      <c r="Y286" s="92">
        <f t="shared" si="1076"/>
        <v>0</v>
      </c>
      <c r="Z286" s="92">
        <f t="shared" si="1076"/>
        <v>0</v>
      </c>
      <c r="AA286" s="92">
        <f t="shared" si="1076"/>
        <v>0</v>
      </c>
      <c r="AB286" s="92">
        <f t="shared" si="1076"/>
        <v>1</v>
      </c>
      <c r="AC286" s="92">
        <f t="shared" si="1072"/>
        <v>0</v>
      </c>
      <c r="AD286" s="92">
        <f t="shared" si="1072"/>
        <v>1</v>
      </c>
      <c r="AE286" s="92">
        <f t="shared" si="1072"/>
        <v>0</v>
      </c>
      <c r="AF286" s="92">
        <f t="shared" si="1072"/>
        <v>0</v>
      </c>
      <c r="AG286" s="92">
        <f t="shared" si="1072"/>
        <v>0</v>
      </c>
      <c r="AH286" s="92">
        <f t="shared" si="1072"/>
        <v>0</v>
      </c>
      <c r="AI286" s="92">
        <f t="shared" si="1072"/>
        <v>0</v>
      </c>
      <c r="AJ286" s="92">
        <f t="shared" si="1071"/>
        <v>0</v>
      </c>
      <c r="AK286" s="92">
        <f t="shared" si="1071"/>
        <v>0</v>
      </c>
      <c r="AL286" s="92">
        <f t="shared" si="1071"/>
        <v>0</v>
      </c>
      <c r="AM286" s="92">
        <f t="shared" si="1071"/>
        <v>0</v>
      </c>
      <c r="AN286" s="92">
        <f t="shared" si="1071"/>
        <v>0</v>
      </c>
      <c r="AO286" s="92">
        <f t="shared" si="1071"/>
        <v>0</v>
      </c>
      <c r="AP286" s="92">
        <f t="shared" si="1071"/>
        <v>0</v>
      </c>
      <c r="AQ286" s="92">
        <f t="shared" si="1071"/>
        <v>0</v>
      </c>
      <c r="AR286" s="92">
        <f t="shared" si="1071"/>
        <v>0</v>
      </c>
      <c r="AS286" s="31" t="str">
        <f t="shared" si="1019"/>
        <v>SimulationStorage,1,</v>
      </c>
      <c r="AT286" s="31" t="str">
        <f t="shared" si="1020"/>
        <v>AnalysisStorage,1,</v>
      </c>
      <c r="AU286" s="31" t="str">
        <f t="shared" si="1021"/>
        <v>LogRuleEvaluation,0,</v>
      </c>
      <c r="AV286" s="31" t="str">
        <f t="shared" si="1022"/>
        <v>ParallelSimulations,1,</v>
      </c>
      <c r="AW286" s="31" t="str">
        <f t="shared" si="1023"/>
        <v>DurationStats,0,</v>
      </c>
      <c r="AX286" s="31" t="str">
        <f t="shared" si="1024"/>
        <v>AnalysisThruStep,8,</v>
      </c>
      <c r="AY286" s="31" t="str">
        <f t="shared" si="1025"/>
        <v>DontAbortOnErrorsThruStep,8,</v>
      </c>
      <c r="AZ286" s="31" t="str">
        <f t="shared" si="1026"/>
        <v>BypassValidFileChecks,1,</v>
      </c>
      <c r="BA286" s="31" t="str">
        <f t="shared" si="1027"/>
        <v>BypassInputChecks,0,</v>
      </c>
      <c r="BB286" s="31" t="str">
        <f t="shared" si="1028"/>
        <v>BypassUMLHChecks,0,</v>
      </c>
      <c r="BC286" s="31" t="str">
        <f t="shared" si="1029"/>
        <v>BypassCheckSimRules,0,</v>
      </c>
      <c r="BD286" s="31" t="str">
        <f t="shared" si="1030"/>
        <v>BypassCheckCodeRules,0,</v>
      </c>
      <c r="BE286" s="31" t="str">
        <f t="shared" si="1031"/>
        <v>StoreResultsToModelInput,1,</v>
      </c>
      <c r="BF286" s="31" t="str">
        <f t="shared" si="1032"/>
        <v>StoreBEMDetails,0,</v>
      </c>
      <c r="BG286" s="31" t="str">
        <f t="shared" si="1033"/>
        <v>ModelRpt_ALL,1,</v>
      </c>
      <c r="BH286" s="31" t="str">
        <f t="shared" si="1034"/>
        <v>ExportHourlyResults_All,0,</v>
      </c>
      <c r="BI286" s="31" t="str">
        <f t="shared" si="1035"/>
        <v>ComplianceReportPDF,0,</v>
      </c>
      <c r="BJ286" s="31" t="str">
        <f t="shared" si="1036"/>
        <v>ComplianceReportXML,0,</v>
      </c>
      <c r="BK286" s="31" t="str">
        <f t="shared" si="1037"/>
        <v>QuickAnalysis,0,</v>
      </c>
      <c r="BL286" s="31" t="str">
        <f t="shared" si="1038"/>
        <v>PromptUserUMLHWarning,0,</v>
      </c>
      <c r="BM286" s="31" t="str">
        <f t="shared" si="1039"/>
        <v>BypassOpenStudio_all,0,</v>
      </c>
      <c r="BN286" s="31" t="str">
        <f t="shared" si="1040"/>
        <v>BypassOpenStudio_zp,0,</v>
      </c>
      <c r="BO286" s="31" t="str">
        <f t="shared" si="1041"/>
        <v>BypassOpenStudio_zb,0,</v>
      </c>
      <c r="BP286" s="31" t="str">
        <f t="shared" si="1042"/>
        <v>BypassOpenStudio_ap,0,</v>
      </c>
      <c r="BQ286" s="31" t="str">
        <f t="shared" si="1043"/>
        <v>BypassOpenStudio_ab,0,</v>
      </c>
      <c r="BR286" s="31" t="str">
        <f t="shared" si="1044"/>
        <v>BypassOpenStudio_zp,0,</v>
      </c>
      <c r="BS286" s="31" t="str">
        <f t="shared" si="1045"/>
        <v>BypassOpenStudio_zb,0,</v>
      </c>
      <c r="BT286" s="31" t="str">
        <f t="shared" si="1046"/>
        <v>BypassOpenStudio_ap,0,</v>
      </c>
      <c r="BU286" s="31" t="str">
        <f t="shared" si="1047"/>
        <v>BypassOpenStudio_ab,0,</v>
      </c>
    </row>
    <row r="287" spans="1:73" outlineLevel="1" x14ac:dyDescent="0.25">
      <c r="A287" s="39">
        <f t="shared" si="1015"/>
        <v>1</v>
      </c>
      <c r="B287" s="27" t="str">
        <f t="shared" si="1048"/>
        <v>SoftwareSensitivity2016Tests\SimplifiedGeometry\0313606-OffMed-LabwExhDOAS_NDL.cibd16</v>
      </c>
      <c r="C287" s="27" t="str">
        <f t="shared" si="1049"/>
        <v>BatchOut_171026_r5178_FinalRel-v3-SSTSG_SSTSG\0313606-OffMed-LabwExhDOAS_NDL.cibd16</v>
      </c>
      <c r="D287" s="27" t="str">
        <f t="shared" si="1050"/>
        <v>BatchOut_171026_r5178_FinalRel-v3-SSTSG_SSTSG\XML\</v>
      </c>
      <c r="E287" s="9" t="str">
        <f t="shared" si="1051"/>
        <v>0313606-OffMed-LabwExhDOAS_NDL</v>
      </c>
      <c r="F287" s="22"/>
      <c r="G287" s="29"/>
      <c r="H287" s="23" t="str">
        <f t="shared" si="1052"/>
        <v/>
      </c>
      <c r="I287" s="9" t="s">
        <v>11</v>
      </c>
      <c r="J28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7" s="15" t="s">
        <v>1</v>
      </c>
      <c r="L287" s="92">
        <f t="shared" si="1055"/>
        <v>1</v>
      </c>
      <c r="M287" s="91" t="str">
        <f t="shared" si="1053"/>
        <v>0313606-OffMed-LabwExhDOAS_NDL</v>
      </c>
      <c r="N287" s="90" t="s">
        <v>185</v>
      </c>
      <c r="O287" s="90" t="str">
        <f t="shared" si="1017"/>
        <v>0313606-OffMed-LabwExhDOAS_NDL</v>
      </c>
      <c r="P287" s="92">
        <f t="shared" ref="P287:AB287" si="1077">P286</f>
        <v>1</v>
      </c>
      <c r="Q287" s="92">
        <f t="shared" si="1077"/>
        <v>1</v>
      </c>
      <c r="R287" s="92">
        <f t="shared" si="1077"/>
        <v>0</v>
      </c>
      <c r="S287" s="92">
        <f t="shared" si="1077"/>
        <v>1</v>
      </c>
      <c r="T287" s="92">
        <f t="shared" si="1077"/>
        <v>0</v>
      </c>
      <c r="U287" s="92">
        <f t="shared" si="1077"/>
        <v>8</v>
      </c>
      <c r="V287" s="92">
        <f t="shared" si="1077"/>
        <v>8</v>
      </c>
      <c r="W287" s="92">
        <f t="shared" si="1077"/>
        <v>1</v>
      </c>
      <c r="X287" s="92">
        <f t="shared" si="1077"/>
        <v>0</v>
      </c>
      <c r="Y287" s="92">
        <f t="shared" si="1077"/>
        <v>0</v>
      </c>
      <c r="Z287" s="92">
        <f t="shared" si="1077"/>
        <v>0</v>
      </c>
      <c r="AA287" s="92">
        <f t="shared" si="1077"/>
        <v>0</v>
      </c>
      <c r="AB287" s="92">
        <f t="shared" si="1077"/>
        <v>1</v>
      </c>
      <c r="AC287" s="92">
        <f t="shared" si="1072"/>
        <v>0</v>
      </c>
      <c r="AD287" s="92">
        <f t="shared" si="1072"/>
        <v>1</v>
      </c>
      <c r="AE287" s="92">
        <f t="shared" si="1072"/>
        <v>0</v>
      </c>
      <c r="AF287" s="92">
        <f t="shared" si="1072"/>
        <v>0</v>
      </c>
      <c r="AG287" s="92">
        <f t="shared" si="1072"/>
        <v>0</v>
      </c>
      <c r="AH287" s="92">
        <f t="shared" si="1072"/>
        <v>0</v>
      </c>
      <c r="AI287" s="92">
        <f t="shared" si="1072"/>
        <v>0</v>
      </c>
      <c r="AJ287" s="92">
        <f t="shared" si="1071"/>
        <v>0</v>
      </c>
      <c r="AK287" s="92">
        <f t="shared" si="1071"/>
        <v>0</v>
      </c>
      <c r="AL287" s="92">
        <f t="shared" si="1071"/>
        <v>0</v>
      </c>
      <c r="AM287" s="92">
        <f t="shared" si="1071"/>
        <v>0</v>
      </c>
      <c r="AN287" s="92">
        <f t="shared" si="1071"/>
        <v>0</v>
      </c>
      <c r="AO287" s="92">
        <f t="shared" si="1071"/>
        <v>0</v>
      </c>
      <c r="AP287" s="92">
        <f t="shared" si="1071"/>
        <v>0</v>
      </c>
      <c r="AQ287" s="92">
        <f t="shared" si="1071"/>
        <v>0</v>
      </c>
      <c r="AR287" s="92">
        <f t="shared" si="1071"/>
        <v>0</v>
      </c>
      <c r="AS287" s="31" t="str">
        <f t="shared" si="1019"/>
        <v>SimulationStorage,1,</v>
      </c>
      <c r="AT287" s="31" t="str">
        <f t="shared" si="1020"/>
        <v>AnalysisStorage,1,</v>
      </c>
      <c r="AU287" s="31" t="str">
        <f t="shared" si="1021"/>
        <v>LogRuleEvaluation,0,</v>
      </c>
      <c r="AV287" s="31" t="str">
        <f t="shared" si="1022"/>
        <v>ParallelSimulations,1,</v>
      </c>
      <c r="AW287" s="31" t="str">
        <f t="shared" si="1023"/>
        <v>DurationStats,0,</v>
      </c>
      <c r="AX287" s="31" t="str">
        <f t="shared" si="1024"/>
        <v>AnalysisThruStep,8,</v>
      </c>
      <c r="AY287" s="31" t="str">
        <f t="shared" si="1025"/>
        <v>DontAbortOnErrorsThruStep,8,</v>
      </c>
      <c r="AZ287" s="31" t="str">
        <f t="shared" si="1026"/>
        <v>BypassValidFileChecks,1,</v>
      </c>
      <c r="BA287" s="31" t="str">
        <f t="shared" si="1027"/>
        <v>BypassInputChecks,0,</v>
      </c>
      <c r="BB287" s="31" t="str">
        <f t="shared" si="1028"/>
        <v>BypassUMLHChecks,0,</v>
      </c>
      <c r="BC287" s="31" t="str">
        <f t="shared" si="1029"/>
        <v>BypassCheckSimRules,0,</v>
      </c>
      <c r="BD287" s="31" t="str">
        <f t="shared" si="1030"/>
        <v>BypassCheckCodeRules,0,</v>
      </c>
      <c r="BE287" s="31" t="str">
        <f t="shared" si="1031"/>
        <v>StoreResultsToModelInput,1,</v>
      </c>
      <c r="BF287" s="31" t="str">
        <f t="shared" si="1032"/>
        <v>StoreBEMDetails,0,</v>
      </c>
      <c r="BG287" s="31" t="str">
        <f t="shared" si="1033"/>
        <v>ModelRpt_ALL,1,</v>
      </c>
      <c r="BH287" s="31" t="str">
        <f t="shared" si="1034"/>
        <v>ExportHourlyResults_All,0,</v>
      </c>
      <c r="BI287" s="31" t="str">
        <f t="shared" si="1035"/>
        <v>ComplianceReportPDF,0,</v>
      </c>
      <c r="BJ287" s="31" t="str">
        <f t="shared" si="1036"/>
        <v>ComplianceReportXML,0,</v>
      </c>
      <c r="BK287" s="31" t="str">
        <f t="shared" si="1037"/>
        <v>QuickAnalysis,0,</v>
      </c>
      <c r="BL287" s="31" t="str">
        <f t="shared" si="1038"/>
        <v>PromptUserUMLHWarning,0,</v>
      </c>
      <c r="BM287" s="31" t="str">
        <f t="shared" si="1039"/>
        <v>BypassOpenStudio_all,0,</v>
      </c>
      <c r="BN287" s="31" t="str">
        <f t="shared" si="1040"/>
        <v>BypassOpenStudio_zp,0,</v>
      </c>
      <c r="BO287" s="31" t="str">
        <f t="shared" si="1041"/>
        <v>BypassOpenStudio_zb,0,</v>
      </c>
      <c r="BP287" s="31" t="str">
        <f t="shared" si="1042"/>
        <v>BypassOpenStudio_ap,0,</v>
      </c>
      <c r="BQ287" s="31" t="str">
        <f t="shared" si="1043"/>
        <v>BypassOpenStudio_ab,0,</v>
      </c>
      <c r="BR287" s="31" t="str">
        <f t="shared" si="1044"/>
        <v>BypassOpenStudio_zp,0,</v>
      </c>
      <c r="BS287" s="31" t="str">
        <f t="shared" si="1045"/>
        <v>BypassOpenStudio_zb,0,</v>
      </c>
      <c r="BT287" s="31" t="str">
        <f t="shared" si="1046"/>
        <v>BypassOpenStudio_ap,0,</v>
      </c>
      <c r="BU287" s="31" t="str">
        <f t="shared" si="1047"/>
        <v>BypassOpenStudio_ab,0,</v>
      </c>
    </row>
    <row r="288" spans="1:73" outlineLevel="1" x14ac:dyDescent="0.25">
      <c r="A288" s="39">
        <f t="shared" si="1015"/>
        <v>1</v>
      </c>
      <c r="B288" s="27" t="str">
        <f t="shared" si="1048"/>
        <v>SoftwareSensitivity2016Tests\SimplifiedGeometry\0314116-OffMed-FanPwrBox_NDL.cibd16</v>
      </c>
      <c r="C288" s="27" t="str">
        <f t="shared" si="1049"/>
        <v>BatchOut_171026_r5178_FinalRel-v3-SSTSG_SSTSG\0314116-OffMed-FanPwrBox_NDL.cibd16</v>
      </c>
      <c r="D288" s="27" t="str">
        <f t="shared" si="1050"/>
        <v>BatchOut_171026_r5178_FinalRel-v3-SSTSG_SSTSG\XML\</v>
      </c>
      <c r="E288" s="9" t="str">
        <f t="shared" si="1051"/>
        <v>0314116-OffMed-FanPwrBox_NDL</v>
      </c>
      <c r="F288" s="22"/>
      <c r="G288" s="29"/>
      <c r="H288" s="23" t="str">
        <f t="shared" si="1052"/>
        <v/>
      </c>
      <c r="I288" s="9" t="s">
        <v>11</v>
      </c>
      <c r="J28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8" s="15" t="s">
        <v>1</v>
      </c>
      <c r="L288" s="92">
        <f t="shared" si="1055"/>
        <v>1</v>
      </c>
      <c r="M288" s="91" t="str">
        <f t="shared" si="1053"/>
        <v>0314116-OffMed-FanPwrBox_NDL</v>
      </c>
      <c r="N288" s="90" t="s">
        <v>186</v>
      </c>
      <c r="O288" s="90" t="str">
        <f t="shared" si="1017"/>
        <v>0314116-OffMed-FanPwrBox_NDL</v>
      </c>
      <c r="P288" s="92">
        <f t="shared" ref="P288:AB288" si="1078">P287</f>
        <v>1</v>
      </c>
      <c r="Q288" s="92">
        <f t="shared" si="1078"/>
        <v>1</v>
      </c>
      <c r="R288" s="92">
        <f t="shared" si="1078"/>
        <v>0</v>
      </c>
      <c r="S288" s="92">
        <f t="shared" si="1078"/>
        <v>1</v>
      </c>
      <c r="T288" s="92">
        <f t="shared" si="1078"/>
        <v>0</v>
      </c>
      <c r="U288" s="92">
        <f t="shared" si="1078"/>
        <v>8</v>
      </c>
      <c r="V288" s="92">
        <f t="shared" si="1078"/>
        <v>8</v>
      </c>
      <c r="W288" s="92">
        <f t="shared" si="1078"/>
        <v>1</v>
      </c>
      <c r="X288" s="92">
        <f t="shared" si="1078"/>
        <v>0</v>
      </c>
      <c r="Y288" s="92">
        <f t="shared" si="1078"/>
        <v>0</v>
      </c>
      <c r="Z288" s="92">
        <f t="shared" si="1078"/>
        <v>0</v>
      </c>
      <c r="AA288" s="92">
        <f t="shared" si="1078"/>
        <v>0</v>
      </c>
      <c r="AB288" s="92">
        <f t="shared" si="1078"/>
        <v>1</v>
      </c>
      <c r="AC288" s="92">
        <f t="shared" si="1072"/>
        <v>0</v>
      </c>
      <c r="AD288" s="92">
        <f t="shared" si="1072"/>
        <v>1</v>
      </c>
      <c r="AE288" s="92">
        <f t="shared" si="1072"/>
        <v>0</v>
      </c>
      <c r="AF288" s="92">
        <f t="shared" si="1072"/>
        <v>0</v>
      </c>
      <c r="AG288" s="92">
        <f t="shared" si="1072"/>
        <v>0</v>
      </c>
      <c r="AH288" s="92">
        <f t="shared" si="1072"/>
        <v>0</v>
      </c>
      <c r="AI288" s="92">
        <f t="shared" si="1072"/>
        <v>0</v>
      </c>
      <c r="AJ288" s="92">
        <f t="shared" si="1071"/>
        <v>0</v>
      </c>
      <c r="AK288" s="92">
        <f t="shared" si="1071"/>
        <v>0</v>
      </c>
      <c r="AL288" s="92">
        <f t="shared" si="1071"/>
        <v>0</v>
      </c>
      <c r="AM288" s="92">
        <f t="shared" si="1071"/>
        <v>0</v>
      </c>
      <c r="AN288" s="92">
        <f t="shared" si="1071"/>
        <v>0</v>
      </c>
      <c r="AO288" s="92">
        <f t="shared" si="1071"/>
        <v>0</v>
      </c>
      <c r="AP288" s="92">
        <f t="shared" si="1071"/>
        <v>0</v>
      </c>
      <c r="AQ288" s="92">
        <f t="shared" si="1071"/>
        <v>0</v>
      </c>
      <c r="AR288" s="92">
        <f t="shared" si="1071"/>
        <v>0</v>
      </c>
      <c r="AS288" s="31" t="str">
        <f t="shared" si="1019"/>
        <v>SimulationStorage,1,</v>
      </c>
      <c r="AT288" s="31" t="str">
        <f t="shared" si="1020"/>
        <v>AnalysisStorage,1,</v>
      </c>
      <c r="AU288" s="31" t="str">
        <f t="shared" si="1021"/>
        <v>LogRuleEvaluation,0,</v>
      </c>
      <c r="AV288" s="31" t="str">
        <f t="shared" si="1022"/>
        <v>ParallelSimulations,1,</v>
      </c>
      <c r="AW288" s="31" t="str">
        <f t="shared" si="1023"/>
        <v>DurationStats,0,</v>
      </c>
      <c r="AX288" s="31" t="str">
        <f t="shared" si="1024"/>
        <v>AnalysisThruStep,8,</v>
      </c>
      <c r="AY288" s="31" t="str">
        <f t="shared" si="1025"/>
        <v>DontAbortOnErrorsThruStep,8,</v>
      </c>
      <c r="AZ288" s="31" t="str">
        <f t="shared" si="1026"/>
        <v>BypassValidFileChecks,1,</v>
      </c>
      <c r="BA288" s="31" t="str">
        <f t="shared" si="1027"/>
        <v>BypassInputChecks,0,</v>
      </c>
      <c r="BB288" s="31" t="str">
        <f t="shared" si="1028"/>
        <v>BypassUMLHChecks,0,</v>
      </c>
      <c r="BC288" s="31" t="str">
        <f t="shared" si="1029"/>
        <v>BypassCheckSimRules,0,</v>
      </c>
      <c r="BD288" s="31" t="str">
        <f t="shared" si="1030"/>
        <v>BypassCheckCodeRules,0,</v>
      </c>
      <c r="BE288" s="31" t="str">
        <f t="shared" si="1031"/>
        <v>StoreResultsToModelInput,1,</v>
      </c>
      <c r="BF288" s="31" t="str">
        <f t="shared" si="1032"/>
        <v>StoreBEMDetails,0,</v>
      </c>
      <c r="BG288" s="31" t="str">
        <f t="shared" si="1033"/>
        <v>ModelRpt_ALL,1,</v>
      </c>
      <c r="BH288" s="31" t="str">
        <f t="shared" si="1034"/>
        <v>ExportHourlyResults_All,0,</v>
      </c>
      <c r="BI288" s="31" t="str">
        <f t="shared" si="1035"/>
        <v>ComplianceReportPDF,0,</v>
      </c>
      <c r="BJ288" s="31" t="str">
        <f t="shared" si="1036"/>
        <v>ComplianceReportXML,0,</v>
      </c>
      <c r="BK288" s="31" t="str">
        <f t="shared" si="1037"/>
        <v>QuickAnalysis,0,</v>
      </c>
      <c r="BL288" s="31" t="str">
        <f t="shared" si="1038"/>
        <v>PromptUserUMLHWarning,0,</v>
      </c>
      <c r="BM288" s="31" t="str">
        <f t="shared" si="1039"/>
        <v>BypassOpenStudio_all,0,</v>
      </c>
      <c r="BN288" s="31" t="str">
        <f t="shared" si="1040"/>
        <v>BypassOpenStudio_zp,0,</v>
      </c>
      <c r="BO288" s="31" t="str">
        <f t="shared" si="1041"/>
        <v>BypassOpenStudio_zb,0,</v>
      </c>
      <c r="BP288" s="31" t="str">
        <f t="shared" si="1042"/>
        <v>BypassOpenStudio_ap,0,</v>
      </c>
      <c r="BQ288" s="31" t="str">
        <f t="shared" si="1043"/>
        <v>BypassOpenStudio_ab,0,</v>
      </c>
      <c r="BR288" s="31" t="str">
        <f t="shared" si="1044"/>
        <v>BypassOpenStudio_zp,0,</v>
      </c>
      <c r="BS288" s="31" t="str">
        <f t="shared" si="1045"/>
        <v>BypassOpenStudio_zb,0,</v>
      </c>
      <c r="BT288" s="31" t="str">
        <f t="shared" si="1046"/>
        <v>BypassOpenStudio_ap,0,</v>
      </c>
      <c r="BU288" s="31" t="str">
        <f t="shared" si="1047"/>
        <v>BypassOpenStudio_ab,0,</v>
      </c>
    </row>
    <row r="289" spans="1:73" outlineLevel="1" x14ac:dyDescent="0.25">
      <c r="A289" s="39">
        <f t="shared" si="1015"/>
        <v>1</v>
      </c>
      <c r="B289" s="27" t="str">
        <f t="shared" si="1048"/>
        <v>SoftwareSensitivity2016Tests\SimplifiedGeometry\0314206-OffMed-FanPwrBox_NDL.cibd16</v>
      </c>
      <c r="C289" s="27" t="str">
        <f t="shared" si="1049"/>
        <v>BatchOut_171026_r5178_FinalRel-v3-SSTSG_SSTSG\0314206-OffMed-FanPwrBox_NDL.cibd16</v>
      </c>
      <c r="D289" s="27" t="str">
        <f t="shared" si="1050"/>
        <v>BatchOut_171026_r5178_FinalRel-v3-SSTSG_SSTSG\XML\</v>
      </c>
      <c r="E289" s="9" t="str">
        <f t="shared" si="1051"/>
        <v>0314206-OffMed-FanPwrBox_NDL</v>
      </c>
      <c r="F289" s="22"/>
      <c r="G289" s="29"/>
      <c r="H289" s="23" t="str">
        <f t="shared" si="1052"/>
        <v/>
      </c>
      <c r="I289" s="9" t="s">
        <v>11</v>
      </c>
      <c r="J28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9" s="15" t="s">
        <v>1</v>
      </c>
      <c r="L289" s="92">
        <f t="shared" si="1055"/>
        <v>1</v>
      </c>
      <c r="M289" s="91" t="str">
        <f t="shared" si="1053"/>
        <v>0314206-OffMed-FanPwrBox_NDL</v>
      </c>
      <c r="N289" s="90" t="s">
        <v>187</v>
      </c>
      <c r="O289" s="90" t="str">
        <f t="shared" si="1017"/>
        <v>0314206-OffMed-FanPwrBox_NDL</v>
      </c>
      <c r="P289" s="92">
        <f t="shared" ref="P289:AB289" si="1079">P288</f>
        <v>1</v>
      </c>
      <c r="Q289" s="92">
        <f t="shared" si="1079"/>
        <v>1</v>
      </c>
      <c r="R289" s="92">
        <f t="shared" si="1079"/>
        <v>0</v>
      </c>
      <c r="S289" s="92">
        <f t="shared" si="1079"/>
        <v>1</v>
      </c>
      <c r="T289" s="92">
        <f t="shared" si="1079"/>
        <v>0</v>
      </c>
      <c r="U289" s="92">
        <f t="shared" si="1079"/>
        <v>8</v>
      </c>
      <c r="V289" s="92">
        <f t="shared" si="1079"/>
        <v>8</v>
      </c>
      <c r="W289" s="92">
        <f t="shared" si="1079"/>
        <v>1</v>
      </c>
      <c r="X289" s="92">
        <f t="shared" si="1079"/>
        <v>0</v>
      </c>
      <c r="Y289" s="92">
        <f t="shared" si="1079"/>
        <v>0</v>
      </c>
      <c r="Z289" s="92">
        <f t="shared" si="1079"/>
        <v>0</v>
      </c>
      <c r="AA289" s="92">
        <f t="shared" si="1079"/>
        <v>0</v>
      </c>
      <c r="AB289" s="92">
        <f t="shared" si="1079"/>
        <v>1</v>
      </c>
      <c r="AC289" s="92">
        <f t="shared" si="1072"/>
        <v>0</v>
      </c>
      <c r="AD289" s="92">
        <f t="shared" si="1072"/>
        <v>1</v>
      </c>
      <c r="AE289" s="92">
        <f t="shared" si="1072"/>
        <v>0</v>
      </c>
      <c r="AF289" s="92">
        <f t="shared" si="1072"/>
        <v>0</v>
      </c>
      <c r="AG289" s="92">
        <f t="shared" si="1072"/>
        <v>0</v>
      </c>
      <c r="AH289" s="92">
        <f t="shared" si="1072"/>
        <v>0</v>
      </c>
      <c r="AI289" s="92">
        <f t="shared" si="1072"/>
        <v>0</v>
      </c>
      <c r="AJ289" s="92">
        <f t="shared" si="1071"/>
        <v>0</v>
      </c>
      <c r="AK289" s="92">
        <f t="shared" si="1071"/>
        <v>0</v>
      </c>
      <c r="AL289" s="92">
        <f t="shared" si="1071"/>
        <v>0</v>
      </c>
      <c r="AM289" s="92">
        <f t="shared" si="1071"/>
        <v>0</v>
      </c>
      <c r="AN289" s="92">
        <f t="shared" si="1071"/>
        <v>0</v>
      </c>
      <c r="AO289" s="92">
        <f t="shared" si="1071"/>
        <v>0</v>
      </c>
      <c r="AP289" s="92">
        <f t="shared" si="1071"/>
        <v>0</v>
      </c>
      <c r="AQ289" s="92">
        <f t="shared" si="1071"/>
        <v>0</v>
      </c>
      <c r="AR289" s="92">
        <f t="shared" si="1071"/>
        <v>0</v>
      </c>
      <c r="AS289" s="31" t="str">
        <f t="shared" si="1019"/>
        <v>SimulationStorage,1,</v>
      </c>
      <c r="AT289" s="31" t="str">
        <f t="shared" si="1020"/>
        <v>AnalysisStorage,1,</v>
      </c>
      <c r="AU289" s="31" t="str">
        <f t="shared" si="1021"/>
        <v>LogRuleEvaluation,0,</v>
      </c>
      <c r="AV289" s="31" t="str">
        <f t="shared" si="1022"/>
        <v>ParallelSimulations,1,</v>
      </c>
      <c r="AW289" s="31" t="str">
        <f t="shared" si="1023"/>
        <v>DurationStats,0,</v>
      </c>
      <c r="AX289" s="31" t="str">
        <f t="shared" si="1024"/>
        <v>AnalysisThruStep,8,</v>
      </c>
      <c r="AY289" s="31" t="str">
        <f t="shared" si="1025"/>
        <v>DontAbortOnErrorsThruStep,8,</v>
      </c>
      <c r="AZ289" s="31" t="str">
        <f t="shared" si="1026"/>
        <v>BypassValidFileChecks,1,</v>
      </c>
      <c r="BA289" s="31" t="str">
        <f t="shared" si="1027"/>
        <v>BypassInputChecks,0,</v>
      </c>
      <c r="BB289" s="31" t="str">
        <f t="shared" si="1028"/>
        <v>BypassUMLHChecks,0,</v>
      </c>
      <c r="BC289" s="31" t="str">
        <f t="shared" si="1029"/>
        <v>BypassCheckSimRules,0,</v>
      </c>
      <c r="BD289" s="31" t="str">
        <f t="shared" si="1030"/>
        <v>BypassCheckCodeRules,0,</v>
      </c>
      <c r="BE289" s="31" t="str">
        <f t="shared" si="1031"/>
        <v>StoreResultsToModelInput,1,</v>
      </c>
      <c r="BF289" s="31" t="str">
        <f t="shared" si="1032"/>
        <v>StoreBEMDetails,0,</v>
      </c>
      <c r="BG289" s="31" t="str">
        <f t="shared" si="1033"/>
        <v>ModelRpt_ALL,1,</v>
      </c>
      <c r="BH289" s="31" t="str">
        <f t="shared" si="1034"/>
        <v>ExportHourlyResults_All,0,</v>
      </c>
      <c r="BI289" s="31" t="str">
        <f t="shared" si="1035"/>
        <v>ComplianceReportPDF,0,</v>
      </c>
      <c r="BJ289" s="31" t="str">
        <f t="shared" si="1036"/>
        <v>ComplianceReportXML,0,</v>
      </c>
      <c r="BK289" s="31" t="str">
        <f t="shared" si="1037"/>
        <v>QuickAnalysis,0,</v>
      </c>
      <c r="BL289" s="31" t="str">
        <f t="shared" si="1038"/>
        <v>PromptUserUMLHWarning,0,</v>
      </c>
      <c r="BM289" s="31" t="str">
        <f t="shared" si="1039"/>
        <v>BypassOpenStudio_all,0,</v>
      </c>
      <c r="BN289" s="31" t="str">
        <f t="shared" si="1040"/>
        <v>BypassOpenStudio_zp,0,</v>
      </c>
      <c r="BO289" s="31" t="str">
        <f t="shared" si="1041"/>
        <v>BypassOpenStudio_zb,0,</v>
      </c>
      <c r="BP289" s="31" t="str">
        <f t="shared" si="1042"/>
        <v>BypassOpenStudio_ap,0,</v>
      </c>
      <c r="BQ289" s="31" t="str">
        <f t="shared" si="1043"/>
        <v>BypassOpenStudio_ab,0,</v>
      </c>
      <c r="BR289" s="31" t="str">
        <f t="shared" si="1044"/>
        <v>BypassOpenStudio_zp,0,</v>
      </c>
      <c r="BS289" s="31" t="str">
        <f t="shared" si="1045"/>
        <v>BypassOpenStudio_zb,0,</v>
      </c>
      <c r="BT289" s="31" t="str">
        <f t="shared" si="1046"/>
        <v>BypassOpenStudio_ap,0,</v>
      </c>
      <c r="BU289" s="31" t="str">
        <f t="shared" si="1047"/>
        <v>BypassOpenStudio_ab,0,</v>
      </c>
    </row>
    <row r="290" spans="1:73" outlineLevel="1" x14ac:dyDescent="0.25">
      <c r="A290" s="39">
        <f t="shared" si="1015"/>
        <v>1</v>
      </c>
      <c r="B290" s="27" t="str">
        <f t="shared" si="1048"/>
        <v>SoftwareSensitivity2016Tests\SimplifiedGeometry\0314716-OffMed-LabwExhPVAV_NDL.cibd16</v>
      </c>
      <c r="C290" s="27" t="str">
        <f t="shared" si="1049"/>
        <v>BatchOut_171026_r5178_FinalRel-v3-SSTSG_SSTSG\0314716-OffMed-LabwExhPVAV_NDL.cibd16</v>
      </c>
      <c r="D290" s="27" t="str">
        <f t="shared" si="1050"/>
        <v>BatchOut_171026_r5178_FinalRel-v3-SSTSG_SSTSG\XML\</v>
      </c>
      <c r="E290" s="9" t="str">
        <f t="shared" si="1051"/>
        <v>0314716-OffMed-LabwExhPVAV_NDL</v>
      </c>
      <c r="F290" s="22"/>
      <c r="G290" s="29"/>
      <c r="H290" s="23" t="str">
        <f t="shared" si="1052"/>
        <v/>
      </c>
      <c r="I290" s="9" t="s">
        <v>11</v>
      </c>
      <c r="J29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0" s="15" t="s">
        <v>1</v>
      </c>
      <c r="L290" s="92">
        <f t="shared" si="1055"/>
        <v>1</v>
      </c>
      <c r="M290" s="91" t="str">
        <f t="shared" si="1053"/>
        <v>0314716-OffMed-LabwExhPVAV_NDL</v>
      </c>
      <c r="N290" s="90" t="s">
        <v>188</v>
      </c>
      <c r="O290" s="90" t="str">
        <f t="shared" si="1017"/>
        <v>0314716-OffMed-LabwExhPVAV_NDL</v>
      </c>
      <c r="P290" s="92">
        <f t="shared" ref="P290:AB290" si="1080">P289</f>
        <v>1</v>
      </c>
      <c r="Q290" s="92">
        <f t="shared" si="1080"/>
        <v>1</v>
      </c>
      <c r="R290" s="92">
        <f t="shared" si="1080"/>
        <v>0</v>
      </c>
      <c r="S290" s="92">
        <f t="shared" si="1080"/>
        <v>1</v>
      </c>
      <c r="T290" s="92">
        <f t="shared" si="1080"/>
        <v>0</v>
      </c>
      <c r="U290" s="92">
        <f t="shared" si="1080"/>
        <v>8</v>
      </c>
      <c r="V290" s="92">
        <f t="shared" si="1080"/>
        <v>8</v>
      </c>
      <c r="W290" s="92">
        <f t="shared" si="1080"/>
        <v>1</v>
      </c>
      <c r="X290" s="92">
        <f t="shared" si="1080"/>
        <v>0</v>
      </c>
      <c r="Y290" s="92">
        <f t="shared" si="1080"/>
        <v>0</v>
      </c>
      <c r="Z290" s="92">
        <f t="shared" si="1080"/>
        <v>0</v>
      </c>
      <c r="AA290" s="92">
        <f t="shared" si="1080"/>
        <v>0</v>
      </c>
      <c r="AB290" s="92">
        <f t="shared" si="1080"/>
        <v>1</v>
      </c>
      <c r="AC290" s="92">
        <f t="shared" si="1072"/>
        <v>0</v>
      </c>
      <c r="AD290" s="92">
        <f t="shared" si="1072"/>
        <v>1</v>
      </c>
      <c r="AE290" s="92">
        <f t="shared" si="1072"/>
        <v>0</v>
      </c>
      <c r="AF290" s="92">
        <f t="shared" si="1072"/>
        <v>0</v>
      </c>
      <c r="AG290" s="92">
        <f t="shared" si="1072"/>
        <v>0</v>
      </c>
      <c r="AH290" s="92">
        <f t="shared" si="1072"/>
        <v>0</v>
      </c>
      <c r="AI290" s="92">
        <f t="shared" si="1072"/>
        <v>0</v>
      </c>
      <c r="AJ290" s="92">
        <f t="shared" si="1071"/>
        <v>0</v>
      </c>
      <c r="AK290" s="92">
        <f t="shared" si="1071"/>
        <v>0</v>
      </c>
      <c r="AL290" s="92">
        <f t="shared" si="1071"/>
        <v>0</v>
      </c>
      <c r="AM290" s="92">
        <f t="shared" si="1071"/>
        <v>0</v>
      </c>
      <c r="AN290" s="92">
        <f t="shared" si="1071"/>
        <v>0</v>
      </c>
      <c r="AO290" s="92">
        <f t="shared" si="1071"/>
        <v>0</v>
      </c>
      <c r="AP290" s="92">
        <f t="shared" si="1071"/>
        <v>0</v>
      </c>
      <c r="AQ290" s="92">
        <f t="shared" si="1071"/>
        <v>0</v>
      </c>
      <c r="AR290" s="92">
        <f t="shared" si="1071"/>
        <v>0</v>
      </c>
      <c r="AS290" s="31" t="str">
        <f t="shared" si="1019"/>
        <v>SimulationStorage,1,</v>
      </c>
      <c r="AT290" s="31" t="str">
        <f t="shared" si="1020"/>
        <v>AnalysisStorage,1,</v>
      </c>
      <c r="AU290" s="31" t="str">
        <f t="shared" si="1021"/>
        <v>LogRuleEvaluation,0,</v>
      </c>
      <c r="AV290" s="31" t="str">
        <f t="shared" si="1022"/>
        <v>ParallelSimulations,1,</v>
      </c>
      <c r="AW290" s="31" t="str">
        <f t="shared" si="1023"/>
        <v>DurationStats,0,</v>
      </c>
      <c r="AX290" s="31" t="str">
        <f t="shared" si="1024"/>
        <v>AnalysisThruStep,8,</v>
      </c>
      <c r="AY290" s="31" t="str">
        <f t="shared" si="1025"/>
        <v>DontAbortOnErrorsThruStep,8,</v>
      </c>
      <c r="AZ290" s="31" t="str">
        <f t="shared" si="1026"/>
        <v>BypassValidFileChecks,1,</v>
      </c>
      <c r="BA290" s="31" t="str">
        <f t="shared" si="1027"/>
        <v>BypassInputChecks,0,</v>
      </c>
      <c r="BB290" s="31" t="str">
        <f t="shared" si="1028"/>
        <v>BypassUMLHChecks,0,</v>
      </c>
      <c r="BC290" s="31" t="str">
        <f t="shared" si="1029"/>
        <v>BypassCheckSimRules,0,</v>
      </c>
      <c r="BD290" s="31" t="str">
        <f t="shared" si="1030"/>
        <v>BypassCheckCodeRules,0,</v>
      </c>
      <c r="BE290" s="31" t="str">
        <f t="shared" si="1031"/>
        <v>StoreResultsToModelInput,1,</v>
      </c>
      <c r="BF290" s="31" t="str">
        <f t="shared" si="1032"/>
        <v>StoreBEMDetails,0,</v>
      </c>
      <c r="BG290" s="31" t="str">
        <f t="shared" si="1033"/>
        <v>ModelRpt_ALL,1,</v>
      </c>
      <c r="BH290" s="31" t="str">
        <f t="shared" si="1034"/>
        <v>ExportHourlyResults_All,0,</v>
      </c>
      <c r="BI290" s="31" t="str">
        <f t="shared" si="1035"/>
        <v>ComplianceReportPDF,0,</v>
      </c>
      <c r="BJ290" s="31" t="str">
        <f t="shared" si="1036"/>
        <v>ComplianceReportXML,0,</v>
      </c>
      <c r="BK290" s="31" t="str">
        <f t="shared" si="1037"/>
        <v>QuickAnalysis,0,</v>
      </c>
      <c r="BL290" s="31" t="str">
        <f t="shared" si="1038"/>
        <v>PromptUserUMLHWarning,0,</v>
      </c>
      <c r="BM290" s="31" t="str">
        <f t="shared" si="1039"/>
        <v>BypassOpenStudio_all,0,</v>
      </c>
      <c r="BN290" s="31" t="str">
        <f t="shared" si="1040"/>
        <v>BypassOpenStudio_zp,0,</v>
      </c>
      <c r="BO290" s="31" t="str">
        <f t="shared" si="1041"/>
        <v>BypassOpenStudio_zb,0,</v>
      </c>
      <c r="BP290" s="31" t="str">
        <f t="shared" si="1042"/>
        <v>BypassOpenStudio_ap,0,</v>
      </c>
      <c r="BQ290" s="31" t="str">
        <f t="shared" si="1043"/>
        <v>BypassOpenStudio_ab,0,</v>
      </c>
      <c r="BR290" s="31" t="str">
        <f t="shared" si="1044"/>
        <v>BypassOpenStudio_zp,0,</v>
      </c>
      <c r="BS290" s="31" t="str">
        <f t="shared" si="1045"/>
        <v>BypassOpenStudio_zb,0,</v>
      </c>
      <c r="BT290" s="31" t="str">
        <f t="shared" si="1046"/>
        <v>BypassOpenStudio_ap,0,</v>
      </c>
      <c r="BU290" s="31" t="str">
        <f t="shared" si="1047"/>
        <v>BypassOpenStudio_ab,0,</v>
      </c>
    </row>
    <row r="291" spans="1:73" outlineLevel="1" x14ac:dyDescent="0.25">
      <c r="A291" s="39">
        <f t="shared" si="1015"/>
        <v>1</v>
      </c>
      <c r="B291" s="27" t="str">
        <f t="shared" si="1048"/>
        <v>SoftwareSensitivity2016Tests\SimplifiedGeometry\0314806-OffMed-LabwExhPVAV_NDL.cibd16</v>
      </c>
      <c r="C291" s="27" t="str">
        <f t="shared" si="1049"/>
        <v>BatchOut_171026_r5178_FinalRel-v3-SSTSG_SSTSG\0314806-OffMed-LabwExhPVAV_NDL.cibd16</v>
      </c>
      <c r="D291" s="27" t="str">
        <f t="shared" si="1050"/>
        <v>BatchOut_171026_r5178_FinalRel-v3-SSTSG_SSTSG\XML\</v>
      </c>
      <c r="E291" s="9" t="str">
        <f t="shared" si="1051"/>
        <v>0314806-OffMed-LabwExhPVAV_NDL</v>
      </c>
      <c r="F291" s="22"/>
      <c r="G291" s="29"/>
      <c r="H291" s="23" t="str">
        <f t="shared" si="1052"/>
        <v/>
      </c>
      <c r="I291" s="9" t="s">
        <v>11</v>
      </c>
      <c r="J29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1" s="15" t="s">
        <v>1</v>
      </c>
      <c r="L291" s="92">
        <f t="shared" si="1055"/>
        <v>1</v>
      </c>
      <c r="M291" s="91" t="str">
        <f t="shared" si="1053"/>
        <v>0314806-OffMed-LabwExhPVAV_NDL</v>
      </c>
      <c r="N291" s="90" t="s">
        <v>189</v>
      </c>
      <c r="O291" s="90" t="str">
        <f t="shared" si="1017"/>
        <v>0314806-OffMed-LabwExhPVAV_NDL</v>
      </c>
      <c r="P291" s="92">
        <f t="shared" ref="P291:AB291" si="1081">P290</f>
        <v>1</v>
      </c>
      <c r="Q291" s="92">
        <f t="shared" si="1081"/>
        <v>1</v>
      </c>
      <c r="R291" s="92">
        <f t="shared" si="1081"/>
        <v>0</v>
      </c>
      <c r="S291" s="92">
        <f t="shared" si="1081"/>
        <v>1</v>
      </c>
      <c r="T291" s="92">
        <f t="shared" si="1081"/>
        <v>0</v>
      </c>
      <c r="U291" s="92">
        <f t="shared" si="1081"/>
        <v>8</v>
      </c>
      <c r="V291" s="92">
        <f t="shared" si="1081"/>
        <v>8</v>
      </c>
      <c r="W291" s="92">
        <f t="shared" si="1081"/>
        <v>1</v>
      </c>
      <c r="X291" s="92">
        <f t="shared" si="1081"/>
        <v>0</v>
      </c>
      <c r="Y291" s="92">
        <f t="shared" si="1081"/>
        <v>0</v>
      </c>
      <c r="Z291" s="92">
        <f t="shared" si="1081"/>
        <v>0</v>
      </c>
      <c r="AA291" s="92">
        <f t="shared" si="1081"/>
        <v>0</v>
      </c>
      <c r="AB291" s="92">
        <f t="shared" si="1081"/>
        <v>1</v>
      </c>
      <c r="AC291" s="92">
        <f t="shared" si="1072"/>
        <v>0</v>
      </c>
      <c r="AD291" s="92">
        <f t="shared" si="1072"/>
        <v>1</v>
      </c>
      <c r="AE291" s="92">
        <f t="shared" si="1072"/>
        <v>0</v>
      </c>
      <c r="AF291" s="92">
        <f t="shared" si="1072"/>
        <v>0</v>
      </c>
      <c r="AG291" s="92">
        <f t="shared" si="1072"/>
        <v>0</v>
      </c>
      <c r="AH291" s="92">
        <f t="shared" si="1072"/>
        <v>0</v>
      </c>
      <c r="AI291" s="92">
        <f t="shared" si="1072"/>
        <v>0</v>
      </c>
      <c r="AJ291" s="92">
        <f t="shared" si="1071"/>
        <v>0</v>
      </c>
      <c r="AK291" s="92">
        <f t="shared" si="1071"/>
        <v>0</v>
      </c>
      <c r="AL291" s="92">
        <f t="shared" si="1071"/>
        <v>0</v>
      </c>
      <c r="AM291" s="92">
        <f t="shared" si="1071"/>
        <v>0</v>
      </c>
      <c r="AN291" s="92">
        <f t="shared" si="1071"/>
        <v>0</v>
      </c>
      <c r="AO291" s="92">
        <f t="shared" si="1071"/>
        <v>0</v>
      </c>
      <c r="AP291" s="92">
        <f t="shared" si="1071"/>
        <v>0</v>
      </c>
      <c r="AQ291" s="92">
        <f t="shared" si="1071"/>
        <v>0</v>
      </c>
      <c r="AR291" s="92">
        <f t="shared" si="1071"/>
        <v>0</v>
      </c>
      <c r="AS291" s="31" t="str">
        <f t="shared" si="1019"/>
        <v>SimulationStorage,1,</v>
      </c>
      <c r="AT291" s="31" t="str">
        <f t="shared" si="1020"/>
        <v>AnalysisStorage,1,</v>
      </c>
      <c r="AU291" s="31" t="str">
        <f t="shared" si="1021"/>
        <v>LogRuleEvaluation,0,</v>
      </c>
      <c r="AV291" s="31" t="str">
        <f t="shared" si="1022"/>
        <v>ParallelSimulations,1,</v>
      </c>
      <c r="AW291" s="31" t="str">
        <f t="shared" si="1023"/>
        <v>DurationStats,0,</v>
      </c>
      <c r="AX291" s="31" t="str">
        <f t="shared" si="1024"/>
        <v>AnalysisThruStep,8,</v>
      </c>
      <c r="AY291" s="31" t="str">
        <f t="shared" si="1025"/>
        <v>DontAbortOnErrorsThruStep,8,</v>
      </c>
      <c r="AZ291" s="31" t="str">
        <f t="shared" si="1026"/>
        <v>BypassValidFileChecks,1,</v>
      </c>
      <c r="BA291" s="31" t="str">
        <f t="shared" si="1027"/>
        <v>BypassInputChecks,0,</v>
      </c>
      <c r="BB291" s="31" t="str">
        <f t="shared" si="1028"/>
        <v>BypassUMLHChecks,0,</v>
      </c>
      <c r="BC291" s="31" t="str">
        <f t="shared" si="1029"/>
        <v>BypassCheckSimRules,0,</v>
      </c>
      <c r="BD291" s="31" t="str">
        <f t="shared" si="1030"/>
        <v>BypassCheckCodeRules,0,</v>
      </c>
      <c r="BE291" s="31" t="str">
        <f t="shared" si="1031"/>
        <v>StoreResultsToModelInput,1,</v>
      </c>
      <c r="BF291" s="31" t="str">
        <f t="shared" si="1032"/>
        <v>StoreBEMDetails,0,</v>
      </c>
      <c r="BG291" s="31" t="str">
        <f t="shared" si="1033"/>
        <v>ModelRpt_ALL,1,</v>
      </c>
      <c r="BH291" s="31" t="str">
        <f t="shared" si="1034"/>
        <v>ExportHourlyResults_All,0,</v>
      </c>
      <c r="BI291" s="31" t="str">
        <f t="shared" si="1035"/>
        <v>ComplianceReportPDF,0,</v>
      </c>
      <c r="BJ291" s="31" t="str">
        <f t="shared" si="1036"/>
        <v>ComplianceReportXML,0,</v>
      </c>
      <c r="BK291" s="31" t="str">
        <f t="shared" si="1037"/>
        <v>QuickAnalysis,0,</v>
      </c>
      <c r="BL291" s="31" t="str">
        <f t="shared" si="1038"/>
        <v>PromptUserUMLHWarning,0,</v>
      </c>
      <c r="BM291" s="31" t="str">
        <f t="shared" si="1039"/>
        <v>BypassOpenStudio_all,0,</v>
      </c>
      <c r="BN291" s="31" t="str">
        <f t="shared" si="1040"/>
        <v>BypassOpenStudio_zp,0,</v>
      </c>
      <c r="BO291" s="31" t="str">
        <f t="shared" si="1041"/>
        <v>BypassOpenStudio_zb,0,</v>
      </c>
      <c r="BP291" s="31" t="str">
        <f t="shared" si="1042"/>
        <v>BypassOpenStudio_ap,0,</v>
      </c>
      <c r="BQ291" s="31" t="str">
        <f t="shared" si="1043"/>
        <v>BypassOpenStudio_ab,0,</v>
      </c>
      <c r="BR291" s="31" t="str">
        <f t="shared" si="1044"/>
        <v>BypassOpenStudio_zp,0,</v>
      </c>
      <c r="BS291" s="31" t="str">
        <f t="shared" si="1045"/>
        <v>BypassOpenStudio_zb,0,</v>
      </c>
      <c r="BT291" s="31" t="str">
        <f t="shared" si="1046"/>
        <v>BypassOpenStudio_ap,0,</v>
      </c>
      <c r="BU291" s="31" t="str">
        <f t="shared" si="1047"/>
        <v>BypassOpenStudio_ab,0,</v>
      </c>
    </row>
    <row r="292" spans="1:73" outlineLevel="1" x14ac:dyDescent="0.25">
      <c r="A292" s="39">
        <f t="shared" si="1015"/>
        <v>1</v>
      </c>
      <c r="B292" s="27" t="str">
        <f t="shared" si="1048"/>
        <v>SoftwareSensitivity2016Tests\SimplifiedGeometry\0400006-OffLrg-CRAH_NDL.cibd16</v>
      </c>
      <c r="C292" s="27" t="str">
        <f t="shared" si="1049"/>
        <v>BatchOut_171026_r5178_FinalRel-v3-SSTSG_SSTSG\0400006-OffLrg-CRAH_NDL.cibd16</v>
      </c>
      <c r="D292" s="27" t="str">
        <f t="shared" si="1050"/>
        <v>BatchOut_171026_r5178_FinalRel-v3-SSTSG_SSTSG\XML\</v>
      </c>
      <c r="E292" s="9" t="str">
        <f t="shared" si="1051"/>
        <v>0400006-OffLrg-CRAH_NDL</v>
      </c>
      <c r="F292" s="22"/>
      <c r="G292" s="29"/>
      <c r="H292" s="23" t="str">
        <f t="shared" si="1052"/>
        <v/>
      </c>
      <c r="I292" s="9" t="s">
        <v>11</v>
      </c>
      <c r="J29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2" s="15" t="s">
        <v>1</v>
      </c>
      <c r="L292" s="92">
        <f t="shared" si="1055"/>
        <v>1</v>
      </c>
      <c r="M292" s="91" t="str">
        <f t="shared" si="1053"/>
        <v>0400006-OffLrg-CRAH_NDL</v>
      </c>
      <c r="N292" s="90" t="s">
        <v>191</v>
      </c>
      <c r="O292" s="90" t="str">
        <f t="shared" si="1017"/>
        <v>0400006-OffLrg-CRAH_NDL</v>
      </c>
      <c r="P292" s="92">
        <f t="shared" ref="P292:AB292" si="1082">P291</f>
        <v>1</v>
      </c>
      <c r="Q292" s="92">
        <f t="shared" si="1082"/>
        <v>1</v>
      </c>
      <c r="R292" s="92">
        <f t="shared" si="1082"/>
        <v>0</v>
      </c>
      <c r="S292" s="92">
        <f t="shared" si="1082"/>
        <v>1</v>
      </c>
      <c r="T292" s="92">
        <f t="shared" si="1082"/>
        <v>0</v>
      </c>
      <c r="U292" s="92">
        <f t="shared" si="1082"/>
        <v>8</v>
      </c>
      <c r="V292" s="92">
        <f t="shared" si="1082"/>
        <v>8</v>
      </c>
      <c r="W292" s="92">
        <f t="shared" si="1082"/>
        <v>1</v>
      </c>
      <c r="X292" s="92">
        <f t="shared" si="1082"/>
        <v>0</v>
      </c>
      <c r="Y292" s="92">
        <f t="shared" si="1082"/>
        <v>0</v>
      </c>
      <c r="Z292" s="92">
        <f t="shared" si="1082"/>
        <v>0</v>
      </c>
      <c r="AA292" s="92">
        <f t="shared" si="1082"/>
        <v>0</v>
      </c>
      <c r="AB292" s="92">
        <f t="shared" si="1082"/>
        <v>1</v>
      </c>
      <c r="AC292" s="92">
        <f t="shared" si="1072"/>
        <v>0</v>
      </c>
      <c r="AD292" s="92">
        <f t="shared" si="1072"/>
        <v>1</v>
      </c>
      <c r="AE292" s="92">
        <f t="shared" si="1072"/>
        <v>0</v>
      </c>
      <c r="AF292" s="92">
        <f t="shared" si="1072"/>
        <v>0</v>
      </c>
      <c r="AG292" s="92">
        <f t="shared" si="1072"/>
        <v>0</v>
      </c>
      <c r="AH292" s="92">
        <f t="shared" si="1072"/>
        <v>0</v>
      </c>
      <c r="AI292" s="92">
        <f t="shared" si="1072"/>
        <v>0</v>
      </c>
      <c r="AJ292" s="92">
        <f t="shared" si="1071"/>
        <v>0</v>
      </c>
      <c r="AK292" s="92">
        <f t="shared" si="1071"/>
        <v>0</v>
      </c>
      <c r="AL292" s="92">
        <f t="shared" si="1071"/>
        <v>0</v>
      </c>
      <c r="AM292" s="92">
        <f t="shared" si="1071"/>
        <v>0</v>
      </c>
      <c r="AN292" s="92">
        <f t="shared" si="1071"/>
        <v>0</v>
      </c>
      <c r="AO292" s="92">
        <f t="shared" si="1071"/>
        <v>0</v>
      </c>
      <c r="AP292" s="92">
        <f t="shared" si="1071"/>
        <v>0</v>
      </c>
      <c r="AQ292" s="92">
        <f t="shared" si="1071"/>
        <v>0</v>
      </c>
      <c r="AR292" s="92">
        <f t="shared" si="1071"/>
        <v>0</v>
      </c>
      <c r="AS292" s="31" t="str">
        <f t="shared" si="1019"/>
        <v>SimulationStorage,1,</v>
      </c>
      <c r="AT292" s="31" t="str">
        <f t="shared" si="1020"/>
        <v>AnalysisStorage,1,</v>
      </c>
      <c r="AU292" s="31" t="str">
        <f t="shared" si="1021"/>
        <v>LogRuleEvaluation,0,</v>
      </c>
      <c r="AV292" s="31" t="str">
        <f t="shared" si="1022"/>
        <v>ParallelSimulations,1,</v>
      </c>
      <c r="AW292" s="31" t="str">
        <f t="shared" si="1023"/>
        <v>DurationStats,0,</v>
      </c>
      <c r="AX292" s="31" t="str">
        <f t="shared" si="1024"/>
        <v>AnalysisThruStep,8,</v>
      </c>
      <c r="AY292" s="31" t="str">
        <f t="shared" si="1025"/>
        <v>DontAbortOnErrorsThruStep,8,</v>
      </c>
      <c r="AZ292" s="31" t="str">
        <f t="shared" si="1026"/>
        <v>BypassValidFileChecks,1,</v>
      </c>
      <c r="BA292" s="31" t="str">
        <f t="shared" si="1027"/>
        <v>BypassInputChecks,0,</v>
      </c>
      <c r="BB292" s="31" t="str">
        <f t="shared" si="1028"/>
        <v>BypassUMLHChecks,0,</v>
      </c>
      <c r="BC292" s="31" t="str">
        <f t="shared" si="1029"/>
        <v>BypassCheckSimRules,0,</v>
      </c>
      <c r="BD292" s="31" t="str">
        <f t="shared" si="1030"/>
        <v>BypassCheckCodeRules,0,</v>
      </c>
      <c r="BE292" s="31" t="str">
        <f t="shared" si="1031"/>
        <v>StoreResultsToModelInput,1,</v>
      </c>
      <c r="BF292" s="31" t="str">
        <f t="shared" si="1032"/>
        <v>StoreBEMDetails,0,</v>
      </c>
      <c r="BG292" s="31" t="str">
        <f t="shared" si="1033"/>
        <v>ModelRpt_ALL,1,</v>
      </c>
      <c r="BH292" s="31" t="str">
        <f t="shared" si="1034"/>
        <v>ExportHourlyResults_All,0,</v>
      </c>
      <c r="BI292" s="31" t="str">
        <f t="shared" si="1035"/>
        <v>ComplianceReportPDF,0,</v>
      </c>
      <c r="BJ292" s="31" t="str">
        <f t="shared" si="1036"/>
        <v>ComplianceReportXML,0,</v>
      </c>
      <c r="BK292" s="31" t="str">
        <f t="shared" si="1037"/>
        <v>QuickAnalysis,0,</v>
      </c>
      <c r="BL292" s="31" t="str">
        <f t="shared" si="1038"/>
        <v>PromptUserUMLHWarning,0,</v>
      </c>
      <c r="BM292" s="31" t="str">
        <f t="shared" si="1039"/>
        <v>BypassOpenStudio_all,0,</v>
      </c>
      <c r="BN292" s="31" t="str">
        <f t="shared" si="1040"/>
        <v>BypassOpenStudio_zp,0,</v>
      </c>
      <c r="BO292" s="31" t="str">
        <f t="shared" si="1041"/>
        <v>BypassOpenStudio_zb,0,</v>
      </c>
      <c r="BP292" s="31" t="str">
        <f t="shared" si="1042"/>
        <v>BypassOpenStudio_ap,0,</v>
      </c>
      <c r="BQ292" s="31" t="str">
        <f t="shared" si="1043"/>
        <v>BypassOpenStudio_ab,0,</v>
      </c>
      <c r="BR292" s="31" t="str">
        <f t="shared" si="1044"/>
        <v>BypassOpenStudio_zp,0,</v>
      </c>
      <c r="BS292" s="31" t="str">
        <f t="shared" si="1045"/>
        <v>BypassOpenStudio_zb,0,</v>
      </c>
      <c r="BT292" s="31" t="str">
        <f t="shared" si="1046"/>
        <v>BypassOpenStudio_ap,0,</v>
      </c>
      <c r="BU292" s="31" t="str">
        <f t="shared" si="1047"/>
        <v>BypassOpenStudio_ab,0,</v>
      </c>
    </row>
    <row r="293" spans="1:73" outlineLevel="1" x14ac:dyDescent="0.25">
      <c r="A293" s="39">
        <f t="shared" si="1015"/>
        <v>1</v>
      </c>
      <c r="B293" s="27" t="str">
        <f t="shared" si="1048"/>
        <v>SoftwareSensitivity2016Tests\SimplifiedGeometry\0400016-OffLrg-Baserun_NDL.cibd16</v>
      </c>
      <c r="C293" s="27" t="str">
        <f t="shared" si="1049"/>
        <v>BatchOut_171026_r5178_FinalRel-v3-SSTSG_SSTSG\0400016-OffLrg-Baserun_NDL.cibd16</v>
      </c>
      <c r="D293" s="27" t="str">
        <f t="shared" si="1050"/>
        <v>BatchOut_171026_r5178_FinalRel-v3-SSTSG_SSTSG\XML\</v>
      </c>
      <c r="E293" s="9" t="str">
        <f t="shared" si="1051"/>
        <v>0400016-OffLrg-Baserun_NDL</v>
      </c>
      <c r="F293" s="22"/>
      <c r="G293" s="29"/>
      <c r="H293" s="23" t="str">
        <f t="shared" si="1052"/>
        <v/>
      </c>
      <c r="I293" s="9" t="s">
        <v>11</v>
      </c>
      <c r="J29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3" s="15" t="s">
        <v>1</v>
      </c>
      <c r="L293" s="92">
        <f t="shared" si="1055"/>
        <v>1</v>
      </c>
      <c r="M293" s="91" t="str">
        <f t="shared" si="1053"/>
        <v>0400016-OffLrg-Baserun_NDL</v>
      </c>
      <c r="N293" s="90" t="s">
        <v>192</v>
      </c>
      <c r="O293" s="90" t="str">
        <f t="shared" si="1017"/>
        <v>0400016-OffLrg-Baserun_NDL</v>
      </c>
      <c r="P293" s="92">
        <f t="shared" ref="P293:AB293" si="1083">P292</f>
        <v>1</v>
      </c>
      <c r="Q293" s="92">
        <f t="shared" si="1083"/>
        <v>1</v>
      </c>
      <c r="R293" s="92">
        <f t="shared" si="1083"/>
        <v>0</v>
      </c>
      <c r="S293" s="92">
        <f t="shared" si="1083"/>
        <v>1</v>
      </c>
      <c r="T293" s="92">
        <f t="shared" si="1083"/>
        <v>0</v>
      </c>
      <c r="U293" s="92">
        <f t="shared" si="1083"/>
        <v>8</v>
      </c>
      <c r="V293" s="92">
        <f t="shared" si="1083"/>
        <v>8</v>
      </c>
      <c r="W293" s="92">
        <f t="shared" si="1083"/>
        <v>1</v>
      </c>
      <c r="X293" s="92">
        <f t="shared" si="1083"/>
        <v>0</v>
      </c>
      <c r="Y293" s="92">
        <f t="shared" si="1083"/>
        <v>0</v>
      </c>
      <c r="Z293" s="92">
        <f t="shared" si="1083"/>
        <v>0</v>
      </c>
      <c r="AA293" s="92">
        <f t="shared" si="1083"/>
        <v>0</v>
      </c>
      <c r="AB293" s="92">
        <f t="shared" si="1083"/>
        <v>1</v>
      </c>
      <c r="AC293" s="92">
        <f t="shared" si="1072"/>
        <v>0</v>
      </c>
      <c r="AD293" s="92">
        <f t="shared" si="1072"/>
        <v>1</v>
      </c>
      <c r="AE293" s="92">
        <f t="shared" si="1072"/>
        <v>0</v>
      </c>
      <c r="AF293" s="92">
        <f t="shared" si="1072"/>
        <v>0</v>
      </c>
      <c r="AG293" s="92">
        <f t="shared" si="1072"/>
        <v>0</v>
      </c>
      <c r="AH293" s="92">
        <f t="shared" si="1072"/>
        <v>0</v>
      </c>
      <c r="AI293" s="92">
        <f t="shared" si="1072"/>
        <v>0</v>
      </c>
      <c r="AJ293" s="92">
        <f t="shared" si="1071"/>
        <v>0</v>
      </c>
      <c r="AK293" s="92">
        <f t="shared" si="1071"/>
        <v>0</v>
      </c>
      <c r="AL293" s="92">
        <f t="shared" si="1071"/>
        <v>0</v>
      </c>
      <c r="AM293" s="92">
        <f t="shared" si="1071"/>
        <v>0</v>
      </c>
      <c r="AN293" s="92">
        <f t="shared" si="1071"/>
        <v>0</v>
      </c>
      <c r="AO293" s="92">
        <f t="shared" si="1071"/>
        <v>0</v>
      </c>
      <c r="AP293" s="92">
        <f t="shared" si="1071"/>
        <v>0</v>
      </c>
      <c r="AQ293" s="92">
        <f t="shared" si="1071"/>
        <v>0</v>
      </c>
      <c r="AR293" s="92">
        <f t="shared" si="1071"/>
        <v>0</v>
      </c>
      <c r="AS293" s="31" t="str">
        <f t="shared" si="1019"/>
        <v>SimulationStorage,1,</v>
      </c>
      <c r="AT293" s="31" t="str">
        <f t="shared" si="1020"/>
        <v>AnalysisStorage,1,</v>
      </c>
      <c r="AU293" s="31" t="str">
        <f t="shared" si="1021"/>
        <v>LogRuleEvaluation,0,</v>
      </c>
      <c r="AV293" s="31" t="str">
        <f t="shared" si="1022"/>
        <v>ParallelSimulations,1,</v>
      </c>
      <c r="AW293" s="31" t="str">
        <f t="shared" si="1023"/>
        <v>DurationStats,0,</v>
      </c>
      <c r="AX293" s="31" t="str">
        <f t="shared" si="1024"/>
        <v>AnalysisThruStep,8,</v>
      </c>
      <c r="AY293" s="31" t="str">
        <f t="shared" si="1025"/>
        <v>DontAbortOnErrorsThruStep,8,</v>
      </c>
      <c r="AZ293" s="31" t="str">
        <f t="shared" si="1026"/>
        <v>BypassValidFileChecks,1,</v>
      </c>
      <c r="BA293" s="31" t="str">
        <f t="shared" si="1027"/>
        <v>BypassInputChecks,0,</v>
      </c>
      <c r="BB293" s="31" t="str">
        <f t="shared" si="1028"/>
        <v>BypassUMLHChecks,0,</v>
      </c>
      <c r="BC293" s="31" t="str">
        <f t="shared" si="1029"/>
        <v>BypassCheckSimRules,0,</v>
      </c>
      <c r="BD293" s="31" t="str">
        <f t="shared" si="1030"/>
        <v>BypassCheckCodeRules,0,</v>
      </c>
      <c r="BE293" s="31" t="str">
        <f t="shared" si="1031"/>
        <v>StoreResultsToModelInput,1,</v>
      </c>
      <c r="BF293" s="31" t="str">
        <f t="shared" si="1032"/>
        <v>StoreBEMDetails,0,</v>
      </c>
      <c r="BG293" s="31" t="str">
        <f t="shared" si="1033"/>
        <v>ModelRpt_ALL,1,</v>
      </c>
      <c r="BH293" s="31" t="str">
        <f t="shared" si="1034"/>
        <v>ExportHourlyResults_All,0,</v>
      </c>
      <c r="BI293" s="31" t="str">
        <f t="shared" si="1035"/>
        <v>ComplianceReportPDF,0,</v>
      </c>
      <c r="BJ293" s="31" t="str">
        <f t="shared" si="1036"/>
        <v>ComplianceReportXML,0,</v>
      </c>
      <c r="BK293" s="31" t="str">
        <f t="shared" si="1037"/>
        <v>QuickAnalysis,0,</v>
      </c>
      <c r="BL293" s="31" t="str">
        <f t="shared" si="1038"/>
        <v>PromptUserUMLHWarning,0,</v>
      </c>
      <c r="BM293" s="31" t="str">
        <f t="shared" si="1039"/>
        <v>BypassOpenStudio_all,0,</v>
      </c>
      <c r="BN293" s="31" t="str">
        <f t="shared" si="1040"/>
        <v>BypassOpenStudio_zp,0,</v>
      </c>
      <c r="BO293" s="31" t="str">
        <f t="shared" si="1041"/>
        <v>BypassOpenStudio_zb,0,</v>
      </c>
      <c r="BP293" s="31" t="str">
        <f t="shared" si="1042"/>
        <v>BypassOpenStudio_ap,0,</v>
      </c>
      <c r="BQ293" s="31" t="str">
        <f t="shared" si="1043"/>
        <v>BypassOpenStudio_ab,0,</v>
      </c>
      <c r="BR293" s="31" t="str">
        <f t="shared" si="1044"/>
        <v>BypassOpenStudio_zp,0,</v>
      </c>
      <c r="BS293" s="31" t="str">
        <f t="shared" si="1045"/>
        <v>BypassOpenStudio_zb,0,</v>
      </c>
      <c r="BT293" s="31" t="str">
        <f t="shared" si="1046"/>
        <v>BypassOpenStudio_ap,0,</v>
      </c>
      <c r="BU293" s="31" t="str">
        <f t="shared" si="1047"/>
        <v>BypassOpenStudio_ab,0,</v>
      </c>
    </row>
    <row r="294" spans="1:73" outlineLevel="1" x14ac:dyDescent="0.25">
      <c r="A294" s="39">
        <f t="shared" si="1015"/>
        <v>1</v>
      </c>
      <c r="B294" s="27" t="str">
        <f t="shared" si="1048"/>
        <v>SoftwareSensitivity2016Tests\SimplifiedGeometry\0400016-OffLrg-CRAH_NDL.cibd16</v>
      </c>
      <c r="C294" s="27" t="str">
        <f t="shared" si="1049"/>
        <v>BatchOut_171026_r5178_FinalRel-v3-SSTSG_SSTSG\0400016-OffLrg-CRAH_NDL.cibd16</v>
      </c>
      <c r="D294" s="27" t="str">
        <f t="shared" si="1050"/>
        <v>BatchOut_171026_r5178_FinalRel-v3-SSTSG_SSTSG\XML\</v>
      </c>
      <c r="E294" s="9" t="str">
        <f t="shared" si="1051"/>
        <v>0400016-OffLrg-CRAH_NDL</v>
      </c>
      <c r="F294" s="22"/>
      <c r="G294" s="29"/>
      <c r="H294" s="23" t="str">
        <f t="shared" si="1052"/>
        <v/>
      </c>
      <c r="I294" s="9" t="s">
        <v>11</v>
      </c>
      <c r="J29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4" s="15" t="s">
        <v>1</v>
      </c>
      <c r="L294" s="92">
        <f t="shared" si="1055"/>
        <v>1</v>
      </c>
      <c r="M294" s="91" t="str">
        <f t="shared" si="1053"/>
        <v>0400016-OffLrg-CRAH_NDL</v>
      </c>
      <c r="N294" s="90" t="s">
        <v>193</v>
      </c>
      <c r="O294" s="90" t="str">
        <f t="shared" si="1017"/>
        <v>0400016-OffLrg-CRAH_NDL</v>
      </c>
      <c r="P294" s="92">
        <f t="shared" ref="P294:AB294" si="1084">P293</f>
        <v>1</v>
      </c>
      <c r="Q294" s="92">
        <f t="shared" si="1084"/>
        <v>1</v>
      </c>
      <c r="R294" s="92">
        <f t="shared" si="1084"/>
        <v>0</v>
      </c>
      <c r="S294" s="92">
        <f t="shared" si="1084"/>
        <v>1</v>
      </c>
      <c r="T294" s="92">
        <f t="shared" si="1084"/>
        <v>0</v>
      </c>
      <c r="U294" s="92">
        <f t="shared" si="1084"/>
        <v>8</v>
      </c>
      <c r="V294" s="92">
        <f t="shared" si="1084"/>
        <v>8</v>
      </c>
      <c r="W294" s="92">
        <f t="shared" si="1084"/>
        <v>1</v>
      </c>
      <c r="X294" s="92">
        <f t="shared" si="1084"/>
        <v>0</v>
      </c>
      <c r="Y294" s="92">
        <f t="shared" si="1084"/>
        <v>0</v>
      </c>
      <c r="Z294" s="92">
        <f t="shared" si="1084"/>
        <v>0</v>
      </c>
      <c r="AA294" s="92">
        <f t="shared" si="1084"/>
        <v>0</v>
      </c>
      <c r="AB294" s="92">
        <f t="shared" si="1084"/>
        <v>1</v>
      </c>
      <c r="AC294" s="92">
        <f t="shared" si="1072"/>
        <v>0</v>
      </c>
      <c r="AD294" s="92">
        <f t="shared" si="1072"/>
        <v>1</v>
      </c>
      <c r="AE294" s="92">
        <f t="shared" si="1072"/>
        <v>0</v>
      </c>
      <c r="AF294" s="92">
        <f t="shared" si="1072"/>
        <v>0</v>
      </c>
      <c r="AG294" s="92">
        <f t="shared" si="1072"/>
        <v>0</v>
      </c>
      <c r="AH294" s="92">
        <f t="shared" si="1072"/>
        <v>0</v>
      </c>
      <c r="AI294" s="92">
        <f t="shared" si="1072"/>
        <v>0</v>
      </c>
      <c r="AJ294" s="92">
        <f t="shared" si="1071"/>
        <v>0</v>
      </c>
      <c r="AK294" s="92">
        <f t="shared" si="1071"/>
        <v>0</v>
      </c>
      <c r="AL294" s="92">
        <f t="shared" si="1071"/>
        <v>0</v>
      </c>
      <c r="AM294" s="92">
        <f t="shared" si="1071"/>
        <v>0</v>
      </c>
      <c r="AN294" s="92">
        <f t="shared" si="1071"/>
        <v>0</v>
      </c>
      <c r="AO294" s="92">
        <f t="shared" si="1071"/>
        <v>0</v>
      </c>
      <c r="AP294" s="92">
        <f t="shared" si="1071"/>
        <v>0</v>
      </c>
      <c r="AQ294" s="92">
        <f t="shared" si="1071"/>
        <v>0</v>
      </c>
      <c r="AR294" s="92">
        <f t="shared" si="1071"/>
        <v>0</v>
      </c>
      <c r="AS294" s="31" t="str">
        <f t="shared" si="1019"/>
        <v>SimulationStorage,1,</v>
      </c>
      <c r="AT294" s="31" t="str">
        <f t="shared" si="1020"/>
        <v>AnalysisStorage,1,</v>
      </c>
      <c r="AU294" s="31" t="str">
        <f t="shared" si="1021"/>
        <v>LogRuleEvaluation,0,</v>
      </c>
      <c r="AV294" s="31" t="str">
        <f t="shared" si="1022"/>
        <v>ParallelSimulations,1,</v>
      </c>
      <c r="AW294" s="31" t="str">
        <f t="shared" si="1023"/>
        <v>DurationStats,0,</v>
      </c>
      <c r="AX294" s="31" t="str">
        <f t="shared" si="1024"/>
        <v>AnalysisThruStep,8,</v>
      </c>
      <c r="AY294" s="31" t="str">
        <f t="shared" si="1025"/>
        <v>DontAbortOnErrorsThruStep,8,</v>
      </c>
      <c r="AZ294" s="31" t="str">
        <f t="shared" si="1026"/>
        <v>BypassValidFileChecks,1,</v>
      </c>
      <c r="BA294" s="31" t="str">
        <f t="shared" si="1027"/>
        <v>BypassInputChecks,0,</v>
      </c>
      <c r="BB294" s="31" t="str">
        <f t="shared" si="1028"/>
        <v>BypassUMLHChecks,0,</v>
      </c>
      <c r="BC294" s="31" t="str">
        <f t="shared" si="1029"/>
        <v>BypassCheckSimRules,0,</v>
      </c>
      <c r="BD294" s="31" t="str">
        <f t="shared" si="1030"/>
        <v>BypassCheckCodeRules,0,</v>
      </c>
      <c r="BE294" s="31" t="str">
        <f t="shared" si="1031"/>
        <v>StoreResultsToModelInput,1,</v>
      </c>
      <c r="BF294" s="31" t="str">
        <f t="shared" si="1032"/>
        <v>StoreBEMDetails,0,</v>
      </c>
      <c r="BG294" s="31" t="str">
        <f t="shared" si="1033"/>
        <v>ModelRpt_ALL,1,</v>
      </c>
      <c r="BH294" s="31" t="str">
        <f t="shared" si="1034"/>
        <v>ExportHourlyResults_All,0,</v>
      </c>
      <c r="BI294" s="31" t="str">
        <f t="shared" si="1035"/>
        <v>ComplianceReportPDF,0,</v>
      </c>
      <c r="BJ294" s="31" t="str">
        <f t="shared" si="1036"/>
        <v>ComplianceReportXML,0,</v>
      </c>
      <c r="BK294" s="31" t="str">
        <f t="shared" si="1037"/>
        <v>QuickAnalysis,0,</v>
      </c>
      <c r="BL294" s="31" t="str">
        <f t="shared" si="1038"/>
        <v>PromptUserUMLHWarning,0,</v>
      </c>
      <c r="BM294" s="31" t="str">
        <f t="shared" si="1039"/>
        <v>BypassOpenStudio_all,0,</v>
      </c>
      <c r="BN294" s="31" t="str">
        <f t="shared" si="1040"/>
        <v>BypassOpenStudio_zp,0,</v>
      </c>
      <c r="BO294" s="31" t="str">
        <f t="shared" si="1041"/>
        <v>BypassOpenStudio_zb,0,</v>
      </c>
      <c r="BP294" s="31" t="str">
        <f t="shared" si="1042"/>
        <v>BypassOpenStudio_ap,0,</v>
      </c>
      <c r="BQ294" s="31" t="str">
        <f t="shared" si="1043"/>
        <v>BypassOpenStudio_ab,0,</v>
      </c>
      <c r="BR294" s="31" t="str">
        <f t="shared" si="1044"/>
        <v>BypassOpenStudio_zp,0,</v>
      </c>
      <c r="BS294" s="31" t="str">
        <f t="shared" si="1045"/>
        <v>BypassOpenStudio_zb,0,</v>
      </c>
      <c r="BT294" s="31" t="str">
        <f t="shared" si="1046"/>
        <v>BypassOpenStudio_ap,0,</v>
      </c>
      <c r="BU294" s="31" t="str">
        <f t="shared" si="1047"/>
        <v>BypassOpenStudio_ab,0,</v>
      </c>
    </row>
    <row r="295" spans="1:73" outlineLevel="1" x14ac:dyDescent="0.25">
      <c r="A295" s="39">
        <f t="shared" si="1015"/>
        <v>1</v>
      </c>
      <c r="B295" s="27" t="str">
        <f t="shared" si="1048"/>
        <v>SoftwareSensitivity2016Tests\SimplifiedGeometry\0408416-OffLrg-HVACChillerCOP_NDL.cibd16</v>
      </c>
      <c r="C295" s="27" t="str">
        <f t="shared" si="1049"/>
        <v>BatchOut_171026_r5178_FinalRel-v3-SSTSG_SSTSG\0408416-OffLrg-HVACChillerCOP_NDL.cibd16</v>
      </c>
      <c r="D295" s="27" t="str">
        <f t="shared" si="1050"/>
        <v>BatchOut_171026_r5178_FinalRel-v3-SSTSG_SSTSG\XML\</v>
      </c>
      <c r="E295" s="9" t="str">
        <f t="shared" si="1051"/>
        <v>0408416-OffLrg-HVACChillerCOP_NDL</v>
      </c>
      <c r="F295" s="22"/>
      <c r="G295" s="29"/>
      <c r="H295" s="23" t="str">
        <f t="shared" si="1052"/>
        <v/>
      </c>
      <c r="I295" s="9" t="s">
        <v>11</v>
      </c>
      <c r="J29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5" s="15" t="s">
        <v>1</v>
      </c>
      <c r="L295" s="92">
        <f t="shared" si="1055"/>
        <v>1</v>
      </c>
      <c r="M295" s="91" t="str">
        <f t="shared" si="1053"/>
        <v>0408416-OffLrg-HVACChillerCOP_NDL</v>
      </c>
      <c r="N295" s="90" t="s">
        <v>194</v>
      </c>
      <c r="O295" s="90" t="str">
        <f t="shared" si="1017"/>
        <v>0408416-OffLrg-HVACChillerCOP_NDL</v>
      </c>
      <c r="P295" s="92">
        <f t="shared" ref="P295:AB295" si="1085">P294</f>
        <v>1</v>
      </c>
      <c r="Q295" s="92">
        <f t="shared" si="1085"/>
        <v>1</v>
      </c>
      <c r="R295" s="92">
        <f t="shared" si="1085"/>
        <v>0</v>
      </c>
      <c r="S295" s="92">
        <f t="shared" si="1085"/>
        <v>1</v>
      </c>
      <c r="T295" s="92">
        <f t="shared" si="1085"/>
        <v>0</v>
      </c>
      <c r="U295" s="92">
        <f t="shared" si="1085"/>
        <v>8</v>
      </c>
      <c r="V295" s="92">
        <f t="shared" si="1085"/>
        <v>8</v>
      </c>
      <c r="W295" s="92">
        <f t="shared" si="1085"/>
        <v>1</v>
      </c>
      <c r="X295" s="92">
        <f t="shared" si="1085"/>
        <v>0</v>
      </c>
      <c r="Y295" s="92">
        <f t="shared" si="1085"/>
        <v>0</v>
      </c>
      <c r="Z295" s="92">
        <f t="shared" si="1085"/>
        <v>0</v>
      </c>
      <c r="AA295" s="92">
        <f t="shared" si="1085"/>
        <v>0</v>
      </c>
      <c r="AB295" s="92">
        <f t="shared" si="1085"/>
        <v>1</v>
      </c>
      <c r="AC295" s="92">
        <f t="shared" si="1072"/>
        <v>0</v>
      </c>
      <c r="AD295" s="92">
        <f t="shared" si="1072"/>
        <v>1</v>
      </c>
      <c r="AE295" s="92">
        <f t="shared" si="1072"/>
        <v>0</v>
      </c>
      <c r="AF295" s="92">
        <f t="shared" si="1072"/>
        <v>0</v>
      </c>
      <c r="AG295" s="92">
        <f t="shared" si="1072"/>
        <v>0</v>
      </c>
      <c r="AH295" s="92">
        <f t="shared" si="1072"/>
        <v>0</v>
      </c>
      <c r="AI295" s="92">
        <f t="shared" si="1072"/>
        <v>0</v>
      </c>
      <c r="AJ295" s="92">
        <f t="shared" si="1071"/>
        <v>0</v>
      </c>
      <c r="AK295" s="92">
        <f t="shared" si="1071"/>
        <v>0</v>
      </c>
      <c r="AL295" s="92">
        <f t="shared" si="1071"/>
        <v>0</v>
      </c>
      <c r="AM295" s="92">
        <f t="shared" si="1071"/>
        <v>0</v>
      </c>
      <c r="AN295" s="92">
        <f t="shared" si="1071"/>
        <v>0</v>
      </c>
      <c r="AO295" s="92">
        <f t="shared" si="1071"/>
        <v>0</v>
      </c>
      <c r="AP295" s="92">
        <f t="shared" si="1071"/>
        <v>0</v>
      </c>
      <c r="AQ295" s="92">
        <f t="shared" si="1071"/>
        <v>0</v>
      </c>
      <c r="AR295" s="92">
        <f t="shared" si="1071"/>
        <v>0</v>
      </c>
      <c r="AS295" s="31" t="str">
        <f t="shared" si="1019"/>
        <v>SimulationStorage,1,</v>
      </c>
      <c r="AT295" s="31" t="str">
        <f t="shared" si="1020"/>
        <v>AnalysisStorage,1,</v>
      </c>
      <c r="AU295" s="31" t="str">
        <f t="shared" si="1021"/>
        <v>LogRuleEvaluation,0,</v>
      </c>
      <c r="AV295" s="31" t="str">
        <f t="shared" si="1022"/>
        <v>ParallelSimulations,1,</v>
      </c>
      <c r="AW295" s="31" t="str">
        <f t="shared" si="1023"/>
        <v>DurationStats,0,</v>
      </c>
      <c r="AX295" s="31" t="str">
        <f t="shared" si="1024"/>
        <v>AnalysisThruStep,8,</v>
      </c>
      <c r="AY295" s="31" t="str">
        <f t="shared" si="1025"/>
        <v>DontAbortOnErrorsThruStep,8,</v>
      </c>
      <c r="AZ295" s="31" t="str">
        <f t="shared" si="1026"/>
        <v>BypassValidFileChecks,1,</v>
      </c>
      <c r="BA295" s="31" t="str">
        <f t="shared" si="1027"/>
        <v>BypassInputChecks,0,</v>
      </c>
      <c r="BB295" s="31" t="str">
        <f t="shared" si="1028"/>
        <v>BypassUMLHChecks,0,</v>
      </c>
      <c r="BC295" s="31" t="str">
        <f t="shared" si="1029"/>
        <v>BypassCheckSimRules,0,</v>
      </c>
      <c r="BD295" s="31" t="str">
        <f t="shared" si="1030"/>
        <v>BypassCheckCodeRules,0,</v>
      </c>
      <c r="BE295" s="31" t="str">
        <f t="shared" si="1031"/>
        <v>StoreResultsToModelInput,1,</v>
      </c>
      <c r="BF295" s="31" t="str">
        <f t="shared" si="1032"/>
        <v>StoreBEMDetails,0,</v>
      </c>
      <c r="BG295" s="31" t="str">
        <f t="shared" si="1033"/>
        <v>ModelRpt_ALL,1,</v>
      </c>
      <c r="BH295" s="31" t="str">
        <f t="shared" si="1034"/>
        <v>ExportHourlyResults_All,0,</v>
      </c>
      <c r="BI295" s="31" t="str">
        <f t="shared" si="1035"/>
        <v>ComplianceReportPDF,0,</v>
      </c>
      <c r="BJ295" s="31" t="str">
        <f t="shared" si="1036"/>
        <v>ComplianceReportXML,0,</v>
      </c>
      <c r="BK295" s="31" t="str">
        <f t="shared" si="1037"/>
        <v>QuickAnalysis,0,</v>
      </c>
      <c r="BL295" s="31" t="str">
        <f t="shared" si="1038"/>
        <v>PromptUserUMLHWarning,0,</v>
      </c>
      <c r="BM295" s="31" t="str">
        <f t="shared" si="1039"/>
        <v>BypassOpenStudio_all,0,</v>
      </c>
      <c r="BN295" s="31" t="str">
        <f t="shared" si="1040"/>
        <v>BypassOpenStudio_zp,0,</v>
      </c>
      <c r="BO295" s="31" t="str">
        <f t="shared" si="1041"/>
        <v>BypassOpenStudio_zb,0,</v>
      </c>
      <c r="BP295" s="31" t="str">
        <f t="shared" si="1042"/>
        <v>BypassOpenStudio_ap,0,</v>
      </c>
      <c r="BQ295" s="31" t="str">
        <f t="shared" si="1043"/>
        <v>BypassOpenStudio_ab,0,</v>
      </c>
      <c r="BR295" s="31" t="str">
        <f t="shared" si="1044"/>
        <v>BypassOpenStudio_zp,0,</v>
      </c>
      <c r="BS295" s="31" t="str">
        <f t="shared" si="1045"/>
        <v>BypassOpenStudio_zb,0,</v>
      </c>
      <c r="BT295" s="31" t="str">
        <f t="shared" si="1046"/>
        <v>BypassOpenStudio_ap,0,</v>
      </c>
      <c r="BU295" s="31" t="str">
        <f t="shared" si="1047"/>
        <v>BypassOpenStudio_ab,0,</v>
      </c>
    </row>
    <row r="296" spans="1:73" outlineLevel="1" x14ac:dyDescent="0.25">
      <c r="A296" s="39">
        <f t="shared" si="1015"/>
        <v>1</v>
      </c>
      <c r="B296" s="27" t="str">
        <f t="shared" si="1048"/>
        <v>SoftwareSensitivity2016Tests\SimplifiedGeometry\0408516-OffLrg-HVACChWdeltaT_NDL.cibd16</v>
      </c>
      <c r="C296" s="27" t="str">
        <f t="shared" si="1049"/>
        <v>BatchOut_171026_r5178_FinalRel-v3-SSTSG_SSTSG\0408516-OffLrg-HVACChWdeltaT_NDL.cibd16</v>
      </c>
      <c r="D296" s="27" t="str">
        <f t="shared" si="1050"/>
        <v>BatchOut_171026_r5178_FinalRel-v3-SSTSG_SSTSG\XML\</v>
      </c>
      <c r="E296" s="9" t="str">
        <f t="shared" si="1051"/>
        <v>0408516-OffLrg-HVACChWdeltaT_NDL</v>
      </c>
      <c r="F296" s="22"/>
      <c r="G296" s="29"/>
      <c r="H296" s="23" t="str">
        <f t="shared" si="1052"/>
        <v/>
      </c>
      <c r="I296" s="9" t="s">
        <v>11</v>
      </c>
      <c r="J29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6" s="15" t="s">
        <v>1</v>
      </c>
      <c r="L296" s="92">
        <f t="shared" si="1055"/>
        <v>1</v>
      </c>
      <c r="M296" s="91" t="str">
        <f t="shared" si="1053"/>
        <v>0408516-OffLrg-HVACChWdeltaT_NDL</v>
      </c>
      <c r="N296" s="90" t="s">
        <v>195</v>
      </c>
      <c r="O296" s="90" t="str">
        <f t="shared" si="1017"/>
        <v>0408516-OffLrg-HVACChWdeltaT_NDL</v>
      </c>
      <c r="P296" s="92">
        <f t="shared" ref="P296:AB296" si="1086">P295</f>
        <v>1</v>
      </c>
      <c r="Q296" s="92">
        <f t="shared" si="1086"/>
        <v>1</v>
      </c>
      <c r="R296" s="92">
        <f t="shared" si="1086"/>
        <v>0</v>
      </c>
      <c r="S296" s="92">
        <f t="shared" si="1086"/>
        <v>1</v>
      </c>
      <c r="T296" s="92">
        <f t="shared" si="1086"/>
        <v>0</v>
      </c>
      <c r="U296" s="92">
        <f t="shared" si="1086"/>
        <v>8</v>
      </c>
      <c r="V296" s="92">
        <f t="shared" si="1086"/>
        <v>8</v>
      </c>
      <c r="W296" s="92">
        <f t="shared" si="1086"/>
        <v>1</v>
      </c>
      <c r="X296" s="92">
        <f t="shared" si="1086"/>
        <v>0</v>
      </c>
      <c r="Y296" s="92">
        <f t="shared" si="1086"/>
        <v>0</v>
      </c>
      <c r="Z296" s="92">
        <f t="shared" si="1086"/>
        <v>0</v>
      </c>
      <c r="AA296" s="92">
        <f t="shared" si="1086"/>
        <v>0</v>
      </c>
      <c r="AB296" s="92">
        <f t="shared" si="1086"/>
        <v>1</v>
      </c>
      <c r="AC296" s="92">
        <f t="shared" si="1072"/>
        <v>0</v>
      </c>
      <c r="AD296" s="92">
        <f t="shared" si="1072"/>
        <v>1</v>
      </c>
      <c r="AE296" s="92">
        <f t="shared" si="1072"/>
        <v>0</v>
      </c>
      <c r="AF296" s="92">
        <f t="shared" si="1072"/>
        <v>0</v>
      </c>
      <c r="AG296" s="92">
        <f t="shared" si="1072"/>
        <v>0</v>
      </c>
      <c r="AH296" s="92">
        <f t="shared" si="1072"/>
        <v>0</v>
      </c>
      <c r="AI296" s="92">
        <f t="shared" si="1072"/>
        <v>0</v>
      </c>
      <c r="AJ296" s="92">
        <f t="shared" si="1071"/>
        <v>0</v>
      </c>
      <c r="AK296" s="92">
        <f t="shared" si="1071"/>
        <v>0</v>
      </c>
      <c r="AL296" s="92">
        <f t="shared" si="1071"/>
        <v>0</v>
      </c>
      <c r="AM296" s="92">
        <f t="shared" si="1071"/>
        <v>0</v>
      </c>
      <c r="AN296" s="92">
        <f t="shared" si="1071"/>
        <v>0</v>
      </c>
      <c r="AO296" s="92">
        <f t="shared" si="1071"/>
        <v>0</v>
      </c>
      <c r="AP296" s="92">
        <f t="shared" si="1071"/>
        <v>0</v>
      </c>
      <c r="AQ296" s="92">
        <f t="shared" si="1071"/>
        <v>0</v>
      </c>
      <c r="AR296" s="92">
        <f t="shared" si="1071"/>
        <v>0</v>
      </c>
      <c r="AS296" s="31" t="str">
        <f t="shared" si="1019"/>
        <v>SimulationStorage,1,</v>
      </c>
      <c r="AT296" s="31" t="str">
        <f t="shared" si="1020"/>
        <v>AnalysisStorage,1,</v>
      </c>
      <c r="AU296" s="31" t="str">
        <f t="shared" si="1021"/>
        <v>LogRuleEvaluation,0,</v>
      </c>
      <c r="AV296" s="31" t="str">
        <f t="shared" si="1022"/>
        <v>ParallelSimulations,1,</v>
      </c>
      <c r="AW296" s="31" t="str">
        <f t="shared" si="1023"/>
        <v>DurationStats,0,</v>
      </c>
      <c r="AX296" s="31" t="str">
        <f t="shared" si="1024"/>
        <v>AnalysisThruStep,8,</v>
      </c>
      <c r="AY296" s="31" t="str">
        <f t="shared" si="1025"/>
        <v>DontAbortOnErrorsThruStep,8,</v>
      </c>
      <c r="AZ296" s="31" t="str">
        <f t="shared" si="1026"/>
        <v>BypassValidFileChecks,1,</v>
      </c>
      <c r="BA296" s="31" t="str">
        <f t="shared" si="1027"/>
        <v>BypassInputChecks,0,</v>
      </c>
      <c r="BB296" s="31" t="str">
        <f t="shared" si="1028"/>
        <v>BypassUMLHChecks,0,</v>
      </c>
      <c r="BC296" s="31" t="str">
        <f t="shared" si="1029"/>
        <v>BypassCheckSimRules,0,</v>
      </c>
      <c r="BD296" s="31" t="str">
        <f t="shared" si="1030"/>
        <v>BypassCheckCodeRules,0,</v>
      </c>
      <c r="BE296" s="31" t="str">
        <f t="shared" si="1031"/>
        <v>StoreResultsToModelInput,1,</v>
      </c>
      <c r="BF296" s="31" t="str">
        <f t="shared" si="1032"/>
        <v>StoreBEMDetails,0,</v>
      </c>
      <c r="BG296" s="31" t="str">
        <f t="shared" si="1033"/>
        <v>ModelRpt_ALL,1,</v>
      </c>
      <c r="BH296" s="31" t="str">
        <f t="shared" si="1034"/>
        <v>ExportHourlyResults_All,0,</v>
      </c>
      <c r="BI296" s="31" t="str">
        <f t="shared" si="1035"/>
        <v>ComplianceReportPDF,0,</v>
      </c>
      <c r="BJ296" s="31" t="str">
        <f t="shared" si="1036"/>
        <v>ComplianceReportXML,0,</v>
      </c>
      <c r="BK296" s="31" t="str">
        <f t="shared" si="1037"/>
        <v>QuickAnalysis,0,</v>
      </c>
      <c r="BL296" s="31" t="str">
        <f t="shared" si="1038"/>
        <v>PromptUserUMLHWarning,0,</v>
      </c>
      <c r="BM296" s="31" t="str">
        <f t="shared" si="1039"/>
        <v>BypassOpenStudio_all,0,</v>
      </c>
      <c r="BN296" s="31" t="str">
        <f t="shared" si="1040"/>
        <v>BypassOpenStudio_zp,0,</v>
      </c>
      <c r="BO296" s="31" t="str">
        <f t="shared" si="1041"/>
        <v>BypassOpenStudio_zb,0,</v>
      </c>
      <c r="BP296" s="31" t="str">
        <f t="shared" si="1042"/>
        <v>BypassOpenStudio_ap,0,</v>
      </c>
      <c r="BQ296" s="31" t="str">
        <f t="shared" si="1043"/>
        <v>BypassOpenStudio_ab,0,</v>
      </c>
      <c r="BR296" s="31" t="str">
        <f t="shared" si="1044"/>
        <v>BypassOpenStudio_zp,0,</v>
      </c>
      <c r="BS296" s="31" t="str">
        <f t="shared" si="1045"/>
        <v>BypassOpenStudio_zb,0,</v>
      </c>
      <c r="BT296" s="31" t="str">
        <f t="shared" si="1046"/>
        <v>BypassOpenStudio_ap,0,</v>
      </c>
      <c r="BU296" s="31" t="str">
        <f t="shared" si="1047"/>
        <v>BypassOpenStudio_ab,0,</v>
      </c>
    </row>
    <row r="297" spans="1:73" outlineLevel="1" x14ac:dyDescent="0.25">
      <c r="A297" s="39">
        <f t="shared" si="1015"/>
        <v>1</v>
      </c>
      <c r="B297" s="27" t="str">
        <f t="shared" si="1048"/>
        <v>SoftwareSensitivity2016Tests\SimplifiedGeometry\0408806-OffLrg-HVACChillerCOP_NDL.cibd16</v>
      </c>
      <c r="C297" s="27" t="str">
        <f t="shared" si="1049"/>
        <v>BatchOut_171026_r5178_FinalRel-v3-SSTSG_SSTSG\0408806-OffLrg-HVACChillerCOP_NDL.cibd16</v>
      </c>
      <c r="D297" s="27" t="str">
        <f t="shared" si="1050"/>
        <v>BatchOut_171026_r5178_FinalRel-v3-SSTSG_SSTSG\XML\</v>
      </c>
      <c r="E297" s="9" t="str">
        <f t="shared" si="1051"/>
        <v>0408806-OffLrg-HVACChillerCOP_NDL</v>
      </c>
      <c r="F297" s="22"/>
      <c r="G297" s="29"/>
      <c r="H297" s="23" t="str">
        <f t="shared" si="1052"/>
        <v/>
      </c>
      <c r="I297" s="9" t="s">
        <v>11</v>
      </c>
      <c r="J29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7" s="15" t="s">
        <v>1</v>
      </c>
      <c r="L297" s="92">
        <f t="shared" si="1055"/>
        <v>1</v>
      </c>
      <c r="M297" s="91" t="str">
        <f t="shared" si="1053"/>
        <v>0408806-OffLrg-HVACChillerCOP_NDL</v>
      </c>
      <c r="N297" s="90" t="s">
        <v>196</v>
      </c>
      <c r="O297" s="90" t="str">
        <f t="shared" si="1017"/>
        <v>0408806-OffLrg-HVACChillerCOP_NDL</v>
      </c>
      <c r="P297" s="92">
        <f t="shared" ref="P297:AB297" si="1087">P296</f>
        <v>1</v>
      </c>
      <c r="Q297" s="92">
        <f t="shared" si="1087"/>
        <v>1</v>
      </c>
      <c r="R297" s="92">
        <f t="shared" si="1087"/>
        <v>0</v>
      </c>
      <c r="S297" s="92">
        <f t="shared" si="1087"/>
        <v>1</v>
      </c>
      <c r="T297" s="92">
        <f t="shared" si="1087"/>
        <v>0</v>
      </c>
      <c r="U297" s="92">
        <f t="shared" si="1087"/>
        <v>8</v>
      </c>
      <c r="V297" s="92">
        <f t="shared" si="1087"/>
        <v>8</v>
      </c>
      <c r="W297" s="92">
        <f t="shared" si="1087"/>
        <v>1</v>
      </c>
      <c r="X297" s="92">
        <f t="shared" si="1087"/>
        <v>0</v>
      </c>
      <c r="Y297" s="92">
        <f t="shared" si="1087"/>
        <v>0</v>
      </c>
      <c r="Z297" s="92">
        <f t="shared" si="1087"/>
        <v>0</v>
      </c>
      <c r="AA297" s="92">
        <f t="shared" si="1087"/>
        <v>0</v>
      </c>
      <c r="AB297" s="92">
        <f t="shared" si="1087"/>
        <v>1</v>
      </c>
      <c r="AC297" s="92">
        <f t="shared" si="1072"/>
        <v>0</v>
      </c>
      <c r="AD297" s="92">
        <f t="shared" si="1072"/>
        <v>1</v>
      </c>
      <c r="AE297" s="92">
        <f t="shared" si="1072"/>
        <v>0</v>
      </c>
      <c r="AF297" s="92">
        <f t="shared" si="1072"/>
        <v>0</v>
      </c>
      <c r="AG297" s="92">
        <f t="shared" si="1072"/>
        <v>0</v>
      </c>
      <c r="AH297" s="92">
        <f t="shared" si="1072"/>
        <v>0</v>
      </c>
      <c r="AI297" s="92">
        <f t="shared" si="1072"/>
        <v>0</v>
      </c>
      <c r="AJ297" s="92">
        <f t="shared" ref="AJ297:AR312" si="1088">AJ296</f>
        <v>0</v>
      </c>
      <c r="AK297" s="92">
        <f t="shared" si="1088"/>
        <v>0</v>
      </c>
      <c r="AL297" s="92">
        <f t="shared" si="1088"/>
        <v>0</v>
      </c>
      <c r="AM297" s="92">
        <f t="shared" si="1088"/>
        <v>0</v>
      </c>
      <c r="AN297" s="92">
        <f t="shared" si="1088"/>
        <v>0</v>
      </c>
      <c r="AO297" s="92">
        <f t="shared" si="1088"/>
        <v>0</v>
      </c>
      <c r="AP297" s="92">
        <f t="shared" si="1088"/>
        <v>0</v>
      </c>
      <c r="AQ297" s="92">
        <f t="shared" si="1088"/>
        <v>0</v>
      </c>
      <c r="AR297" s="92">
        <f t="shared" si="1088"/>
        <v>0</v>
      </c>
      <c r="AS297" s="31" t="str">
        <f t="shared" si="1019"/>
        <v>SimulationStorage,1,</v>
      </c>
      <c r="AT297" s="31" t="str">
        <f t="shared" si="1020"/>
        <v>AnalysisStorage,1,</v>
      </c>
      <c r="AU297" s="31" t="str">
        <f t="shared" si="1021"/>
        <v>LogRuleEvaluation,0,</v>
      </c>
      <c r="AV297" s="31" t="str">
        <f t="shared" si="1022"/>
        <v>ParallelSimulations,1,</v>
      </c>
      <c r="AW297" s="31" t="str">
        <f t="shared" si="1023"/>
        <v>DurationStats,0,</v>
      </c>
      <c r="AX297" s="31" t="str">
        <f t="shared" si="1024"/>
        <v>AnalysisThruStep,8,</v>
      </c>
      <c r="AY297" s="31" t="str">
        <f t="shared" si="1025"/>
        <v>DontAbortOnErrorsThruStep,8,</v>
      </c>
      <c r="AZ297" s="31" t="str">
        <f t="shared" si="1026"/>
        <v>BypassValidFileChecks,1,</v>
      </c>
      <c r="BA297" s="31" t="str">
        <f t="shared" si="1027"/>
        <v>BypassInputChecks,0,</v>
      </c>
      <c r="BB297" s="31" t="str">
        <f t="shared" si="1028"/>
        <v>BypassUMLHChecks,0,</v>
      </c>
      <c r="BC297" s="31" t="str">
        <f t="shared" si="1029"/>
        <v>BypassCheckSimRules,0,</v>
      </c>
      <c r="BD297" s="31" t="str">
        <f t="shared" si="1030"/>
        <v>BypassCheckCodeRules,0,</v>
      </c>
      <c r="BE297" s="31" t="str">
        <f t="shared" si="1031"/>
        <v>StoreResultsToModelInput,1,</v>
      </c>
      <c r="BF297" s="31" t="str">
        <f t="shared" si="1032"/>
        <v>StoreBEMDetails,0,</v>
      </c>
      <c r="BG297" s="31" t="str">
        <f t="shared" si="1033"/>
        <v>ModelRpt_ALL,1,</v>
      </c>
      <c r="BH297" s="31" t="str">
        <f t="shared" si="1034"/>
        <v>ExportHourlyResults_All,0,</v>
      </c>
      <c r="BI297" s="31" t="str">
        <f t="shared" si="1035"/>
        <v>ComplianceReportPDF,0,</v>
      </c>
      <c r="BJ297" s="31" t="str">
        <f t="shared" si="1036"/>
        <v>ComplianceReportXML,0,</v>
      </c>
      <c r="BK297" s="31" t="str">
        <f t="shared" si="1037"/>
        <v>QuickAnalysis,0,</v>
      </c>
      <c r="BL297" s="31" t="str">
        <f t="shared" si="1038"/>
        <v>PromptUserUMLHWarning,0,</v>
      </c>
      <c r="BM297" s="31" t="str">
        <f t="shared" si="1039"/>
        <v>BypassOpenStudio_all,0,</v>
      </c>
      <c r="BN297" s="31" t="str">
        <f t="shared" si="1040"/>
        <v>BypassOpenStudio_zp,0,</v>
      </c>
      <c r="BO297" s="31" t="str">
        <f t="shared" si="1041"/>
        <v>BypassOpenStudio_zb,0,</v>
      </c>
      <c r="BP297" s="31" t="str">
        <f t="shared" si="1042"/>
        <v>BypassOpenStudio_ap,0,</v>
      </c>
      <c r="BQ297" s="31" t="str">
        <f t="shared" si="1043"/>
        <v>BypassOpenStudio_ab,0,</v>
      </c>
      <c r="BR297" s="31" t="str">
        <f t="shared" si="1044"/>
        <v>BypassOpenStudio_zp,0,</v>
      </c>
      <c r="BS297" s="31" t="str">
        <f t="shared" si="1045"/>
        <v>BypassOpenStudio_zb,0,</v>
      </c>
      <c r="BT297" s="31" t="str">
        <f t="shared" si="1046"/>
        <v>BypassOpenStudio_ap,0,</v>
      </c>
      <c r="BU297" s="31" t="str">
        <f t="shared" si="1047"/>
        <v>BypassOpenStudio_ab,0,</v>
      </c>
    </row>
    <row r="298" spans="1:73" outlineLevel="1" x14ac:dyDescent="0.25">
      <c r="A298" s="39">
        <f t="shared" si="1015"/>
        <v>1</v>
      </c>
      <c r="B298" s="27" t="str">
        <f t="shared" si="1048"/>
        <v>SoftwareSensitivity2016Tests\SimplifiedGeometry\0408906-OffLrg-HVACChWdeltaT_NDL.cibd16</v>
      </c>
      <c r="C298" s="27" t="str">
        <f t="shared" si="1049"/>
        <v>BatchOut_171026_r5178_FinalRel-v3-SSTSG_SSTSG\0408906-OffLrg-HVACChWdeltaT_NDL.cibd16</v>
      </c>
      <c r="D298" s="27" t="str">
        <f t="shared" si="1050"/>
        <v>BatchOut_171026_r5178_FinalRel-v3-SSTSG_SSTSG\XML\</v>
      </c>
      <c r="E298" s="9" t="str">
        <f t="shared" si="1051"/>
        <v>0408906-OffLrg-HVACChWdeltaT_NDL</v>
      </c>
      <c r="F298" s="22"/>
      <c r="G298" s="29"/>
      <c r="H298" s="23" t="str">
        <f t="shared" si="1052"/>
        <v/>
      </c>
      <c r="I298" s="9" t="s">
        <v>11</v>
      </c>
      <c r="J29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8" s="15" t="s">
        <v>1</v>
      </c>
      <c r="L298" s="92">
        <f t="shared" si="1055"/>
        <v>1</v>
      </c>
      <c r="M298" s="91" t="str">
        <f t="shared" si="1053"/>
        <v>0408906-OffLrg-HVACChWdeltaT_NDL</v>
      </c>
      <c r="N298" s="90" t="s">
        <v>197</v>
      </c>
      <c r="O298" s="90" t="str">
        <f t="shared" si="1017"/>
        <v>0408906-OffLrg-HVACChWdeltaT_NDL</v>
      </c>
      <c r="P298" s="92">
        <f t="shared" ref="P298:AI310" si="1089">P297</f>
        <v>1</v>
      </c>
      <c r="Q298" s="92">
        <f t="shared" si="1089"/>
        <v>1</v>
      </c>
      <c r="R298" s="92">
        <f t="shared" si="1089"/>
        <v>0</v>
      </c>
      <c r="S298" s="92">
        <f t="shared" si="1089"/>
        <v>1</v>
      </c>
      <c r="T298" s="92">
        <f t="shared" si="1089"/>
        <v>0</v>
      </c>
      <c r="U298" s="92">
        <f t="shared" si="1089"/>
        <v>8</v>
      </c>
      <c r="V298" s="92">
        <f t="shared" si="1089"/>
        <v>8</v>
      </c>
      <c r="W298" s="92">
        <f t="shared" si="1089"/>
        <v>1</v>
      </c>
      <c r="X298" s="92">
        <f t="shared" si="1089"/>
        <v>0</v>
      </c>
      <c r="Y298" s="92">
        <f t="shared" si="1089"/>
        <v>0</v>
      </c>
      <c r="Z298" s="92">
        <f t="shared" si="1089"/>
        <v>0</v>
      </c>
      <c r="AA298" s="92">
        <f t="shared" si="1089"/>
        <v>0</v>
      </c>
      <c r="AB298" s="92">
        <f t="shared" si="1089"/>
        <v>1</v>
      </c>
      <c r="AC298" s="92">
        <f t="shared" si="1089"/>
        <v>0</v>
      </c>
      <c r="AD298" s="92">
        <f t="shared" si="1089"/>
        <v>1</v>
      </c>
      <c r="AE298" s="92">
        <f t="shared" si="1089"/>
        <v>0</v>
      </c>
      <c r="AF298" s="92">
        <f t="shared" si="1089"/>
        <v>0</v>
      </c>
      <c r="AG298" s="92">
        <f t="shared" si="1089"/>
        <v>0</v>
      </c>
      <c r="AH298" s="92">
        <f t="shared" si="1089"/>
        <v>0</v>
      </c>
      <c r="AI298" s="92">
        <f t="shared" si="1089"/>
        <v>0</v>
      </c>
      <c r="AJ298" s="92">
        <f t="shared" si="1088"/>
        <v>0</v>
      </c>
      <c r="AK298" s="92">
        <f t="shared" si="1088"/>
        <v>0</v>
      </c>
      <c r="AL298" s="92">
        <f t="shared" si="1088"/>
        <v>0</v>
      </c>
      <c r="AM298" s="92">
        <f t="shared" si="1088"/>
        <v>0</v>
      </c>
      <c r="AN298" s="92">
        <f t="shared" si="1088"/>
        <v>0</v>
      </c>
      <c r="AO298" s="92">
        <f t="shared" si="1088"/>
        <v>0</v>
      </c>
      <c r="AP298" s="92">
        <f t="shared" si="1088"/>
        <v>0</v>
      </c>
      <c r="AQ298" s="92">
        <f t="shared" si="1088"/>
        <v>0</v>
      </c>
      <c r="AR298" s="92">
        <f t="shared" si="1088"/>
        <v>0</v>
      </c>
      <c r="AS298" s="31" t="str">
        <f t="shared" si="1019"/>
        <v>SimulationStorage,1,</v>
      </c>
      <c r="AT298" s="31" t="str">
        <f t="shared" si="1020"/>
        <v>AnalysisStorage,1,</v>
      </c>
      <c r="AU298" s="31" t="str">
        <f t="shared" si="1021"/>
        <v>LogRuleEvaluation,0,</v>
      </c>
      <c r="AV298" s="31" t="str">
        <f t="shared" si="1022"/>
        <v>ParallelSimulations,1,</v>
      </c>
      <c r="AW298" s="31" t="str">
        <f t="shared" si="1023"/>
        <v>DurationStats,0,</v>
      </c>
      <c r="AX298" s="31" t="str">
        <f t="shared" si="1024"/>
        <v>AnalysisThruStep,8,</v>
      </c>
      <c r="AY298" s="31" t="str">
        <f t="shared" si="1025"/>
        <v>DontAbortOnErrorsThruStep,8,</v>
      </c>
      <c r="AZ298" s="31" t="str">
        <f t="shared" si="1026"/>
        <v>BypassValidFileChecks,1,</v>
      </c>
      <c r="BA298" s="31" t="str">
        <f t="shared" si="1027"/>
        <v>BypassInputChecks,0,</v>
      </c>
      <c r="BB298" s="31" t="str">
        <f t="shared" si="1028"/>
        <v>BypassUMLHChecks,0,</v>
      </c>
      <c r="BC298" s="31" t="str">
        <f t="shared" si="1029"/>
        <v>BypassCheckSimRules,0,</v>
      </c>
      <c r="BD298" s="31" t="str">
        <f t="shared" si="1030"/>
        <v>BypassCheckCodeRules,0,</v>
      </c>
      <c r="BE298" s="31" t="str">
        <f t="shared" si="1031"/>
        <v>StoreResultsToModelInput,1,</v>
      </c>
      <c r="BF298" s="31" t="str">
        <f t="shared" si="1032"/>
        <v>StoreBEMDetails,0,</v>
      </c>
      <c r="BG298" s="31" t="str">
        <f t="shared" si="1033"/>
        <v>ModelRpt_ALL,1,</v>
      </c>
      <c r="BH298" s="31" t="str">
        <f t="shared" si="1034"/>
        <v>ExportHourlyResults_All,0,</v>
      </c>
      <c r="BI298" s="31" t="str">
        <f t="shared" si="1035"/>
        <v>ComplianceReportPDF,0,</v>
      </c>
      <c r="BJ298" s="31" t="str">
        <f t="shared" si="1036"/>
        <v>ComplianceReportXML,0,</v>
      </c>
      <c r="BK298" s="31" t="str">
        <f t="shared" si="1037"/>
        <v>QuickAnalysis,0,</v>
      </c>
      <c r="BL298" s="31" t="str">
        <f t="shared" si="1038"/>
        <v>PromptUserUMLHWarning,0,</v>
      </c>
      <c r="BM298" s="31" t="str">
        <f t="shared" si="1039"/>
        <v>BypassOpenStudio_all,0,</v>
      </c>
      <c r="BN298" s="31" t="str">
        <f t="shared" si="1040"/>
        <v>BypassOpenStudio_zp,0,</v>
      </c>
      <c r="BO298" s="31" t="str">
        <f t="shared" si="1041"/>
        <v>BypassOpenStudio_zb,0,</v>
      </c>
      <c r="BP298" s="31" t="str">
        <f t="shared" si="1042"/>
        <v>BypassOpenStudio_ap,0,</v>
      </c>
      <c r="BQ298" s="31" t="str">
        <f t="shared" si="1043"/>
        <v>BypassOpenStudio_ab,0,</v>
      </c>
      <c r="BR298" s="31" t="str">
        <f t="shared" si="1044"/>
        <v>BypassOpenStudio_zp,0,</v>
      </c>
      <c r="BS298" s="31" t="str">
        <f t="shared" si="1045"/>
        <v>BypassOpenStudio_zb,0,</v>
      </c>
      <c r="BT298" s="31" t="str">
        <f t="shared" si="1046"/>
        <v>BypassOpenStudio_ap,0,</v>
      </c>
      <c r="BU298" s="31" t="str">
        <f t="shared" si="1047"/>
        <v>BypassOpenStudio_ab,0,</v>
      </c>
    </row>
    <row r="299" spans="1:73" outlineLevel="1" x14ac:dyDescent="0.25">
      <c r="A299" s="39">
        <f t="shared" si="1015"/>
        <v>1</v>
      </c>
      <c r="B299" s="27" t="str">
        <f t="shared" si="1048"/>
        <v>SoftwareSensitivity2016Tests\SimplifiedGeometry\0413216-OffLrg-CRAC_NDL.cibd16</v>
      </c>
      <c r="C299" s="27" t="str">
        <f t="shared" si="1049"/>
        <v>BatchOut_171026_r5178_FinalRel-v3-SSTSG_SSTSG\0413216-OffLrg-CRAC_NDL.cibd16</v>
      </c>
      <c r="D299" s="27" t="str">
        <f t="shared" si="1050"/>
        <v>BatchOut_171026_r5178_FinalRel-v3-SSTSG_SSTSG\XML\</v>
      </c>
      <c r="E299" s="9" t="str">
        <f t="shared" si="1051"/>
        <v>0413216-OffLrg-CRAC_NDL</v>
      </c>
      <c r="F299" s="22"/>
      <c r="G299" s="29"/>
      <c r="H299" s="23" t="str">
        <f t="shared" si="1052"/>
        <v/>
      </c>
      <c r="I299" s="9" t="s">
        <v>11</v>
      </c>
      <c r="J29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9" s="15" t="s">
        <v>1</v>
      </c>
      <c r="L299" s="92">
        <f t="shared" si="1055"/>
        <v>1</v>
      </c>
      <c r="M299" s="91" t="str">
        <f t="shared" si="1053"/>
        <v>0413216-OffLrg-CRAC_NDL</v>
      </c>
      <c r="N299" s="90" t="s">
        <v>198</v>
      </c>
      <c r="O299" s="90" t="str">
        <f t="shared" si="1017"/>
        <v>0413216-OffLrg-CRAC_NDL</v>
      </c>
      <c r="P299" s="92">
        <f t="shared" si="1089"/>
        <v>1</v>
      </c>
      <c r="Q299" s="92">
        <f t="shared" si="1089"/>
        <v>1</v>
      </c>
      <c r="R299" s="92">
        <f t="shared" si="1089"/>
        <v>0</v>
      </c>
      <c r="S299" s="92">
        <f t="shared" si="1089"/>
        <v>1</v>
      </c>
      <c r="T299" s="92">
        <f t="shared" si="1089"/>
        <v>0</v>
      </c>
      <c r="U299" s="92">
        <f t="shared" si="1089"/>
        <v>8</v>
      </c>
      <c r="V299" s="92">
        <f t="shared" si="1089"/>
        <v>8</v>
      </c>
      <c r="W299" s="92">
        <f t="shared" si="1089"/>
        <v>1</v>
      </c>
      <c r="X299" s="92">
        <f t="shared" si="1089"/>
        <v>0</v>
      </c>
      <c r="Y299" s="92">
        <f t="shared" si="1089"/>
        <v>0</v>
      </c>
      <c r="Z299" s="92">
        <f t="shared" si="1089"/>
        <v>0</v>
      </c>
      <c r="AA299" s="92">
        <f t="shared" si="1089"/>
        <v>0</v>
      </c>
      <c r="AB299" s="92">
        <f t="shared" si="1089"/>
        <v>1</v>
      </c>
      <c r="AC299" s="92">
        <f t="shared" si="1089"/>
        <v>0</v>
      </c>
      <c r="AD299" s="92">
        <f t="shared" si="1089"/>
        <v>1</v>
      </c>
      <c r="AE299" s="92">
        <f t="shared" si="1089"/>
        <v>0</v>
      </c>
      <c r="AF299" s="92">
        <f t="shared" si="1089"/>
        <v>0</v>
      </c>
      <c r="AG299" s="92">
        <f t="shared" si="1089"/>
        <v>0</v>
      </c>
      <c r="AH299" s="92">
        <f t="shared" si="1089"/>
        <v>0</v>
      </c>
      <c r="AI299" s="92">
        <f t="shared" si="1089"/>
        <v>0</v>
      </c>
      <c r="AJ299" s="92">
        <f t="shared" si="1088"/>
        <v>0</v>
      </c>
      <c r="AK299" s="92">
        <f t="shared" si="1088"/>
        <v>0</v>
      </c>
      <c r="AL299" s="92">
        <f t="shared" si="1088"/>
        <v>0</v>
      </c>
      <c r="AM299" s="92">
        <f t="shared" si="1088"/>
        <v>0</v>
      </c>
      <c r="AN299" s="92">
        <f t="shared" si="1088"/>
        <v>0</v>
      </c>
      <c r="AO299" s="92">
        <f t="shared" si="1088"/>
        <v>0</v>
      </c>
      <c r="AP299" s="92">
        <f t="shared" si="1088"/>
        <v>0</v>
      </c>
      <c r="AQ299" s="92">
        <f t="shared" si="1088"/>
        <v>0</v>
      </c>
      <c r="AR299" s="92">
        <f t="shared" si="1088"/>
        <v>0</v>
      </c>
      <c r="AS299" s="31" t="str">
        <f t="shared" si="1019"/>
        <v>SimulationStorage,1,</v>
      </c>
      <c r="AT299" s="31" t="str">
        <f t="shared" si="1020"/>
        <v>AnalysisStorage,1,</v>
      </c>
      <c r="AU299" s="31" t="str">
        <f t="shared" si="1021"/>
        <v>LogRuleEvaluation,0,</v>
      </c>
      <c r="AV299" s="31" t="str">
        <f t="shared" si="1022"/>
        <v>ParallelSimulations,1,</v>
      </c>
      <c r="AW299" s="31" t="str">
        <f t="shared" si="1023"/>
        <v>DurationStats,0,</v>
      </c>
      <c r="AX299" s="31" t="str">
        <f t="shared" si="1024"/>
        <v>AnalysisThruStep,8,</v>
      </c>
      <c r="AY299" s="31" t="str">
        <f t="shared" si="1025"/>
        <v>DontAbortOnErrorsThruStep,8,</v>
      </c>
      <c r="AZ299" s="31" t="str">
        <f t="shared" si="1026"/>
        <v>BypassValidFileChecks,1,</v>
      </c>
      <c r="BA299" s="31" t="str">
        <f t="shared" si="1027"/>
        <v>BypassInputChecks,0,</v>
      </c>
      <c r="BB299" s="31" t="str">
        <f t="shared" si="1028"/>
        <v>BypassUMLHChecks,0,</v>
      </c>
      <c r="BC299" s="31" t="str">
        <f t="shared" si="1029"/>
        <v>BypassCheckSimRules,0,</v>
      </c>
      <c r="BD299" s="31" t="str">
        <f t="shared" si="1030"/>
        <v>BypassCheckCodeRules,0,</v>
      </c>
      <c r="BE299" s="31" t="str">
        <f t="shared" si="1031"/>
        <v>StoreResultsToModelInput,1,</v>
      </c>
      <c r="BF299" s="31" t="str">
        <f t="shared" si="1032"/>
        <v>StoreBEMDetails,0,</v>
      </c>
      <c r="BG299" s="31" t="str">
        <f t="shared" si="1033"/>
        <v>ModelRpt_ALL,1,</v>
      </c>
      <c r="BH299" s="31" t="str">
        <f t="shared" si="1034"/>
        <v>ExportHourlyResults_All,0,</v>
      </c>
      <c r="BI299" s="31" t="str">
        <f t="shared" si="1035"/>
        <v>ComplianceReportPDF,0,</v>
      </c>
      <c r="BJ299" s="31" t="str">
        <f t="shared" si="1036"/>
        <v>ComplianceReportXML,0,</v>
      </c>
      <c r="BK299" s="31" t="str">
        <f t="shared" si="1037"/>
        <v>QuickAnalysis,0,</v>
      </c>
      <c r="BL299" s="31" t="str">
        <f t="shared" si="1038"/>
        <v>PromptUserUMLHWarning,0,</v>
      </c>
      <c r="BM299" s="31" t="str">
        <f t="shared" si="1039"/>
        <v>BypassOpenStudio_all,0,</v>
      </c>
      <c r="BN299" s="31" t="str">
        <f t="shared" si="1040"/>
        <v>BypassOpenStudio_zp,0,</v>
      </c>
      <c r="BO299" s="31" t="str">
        <f t="shared" si="1041"/>
        <v>BypassOpenStudio_zb,0,</v>
      </c>
      <c r="BP299" s="31" t="str">
        <f t="shared" si="1042"/>
        <v>BypassOpenStudio_ap,0,</v>
      </c>
      <c r="BQ299" s="31" t="str">
        <f t="shared" si="1043"/>
        <v>BypassOpenStudio_ab,0,</v>
      </c>
      <c r="BR299" s="31" t="str">
        <f t="shared" si="1044"/>
        <v>BypassOpenStudio_zp,0,</v>
      </c>
      <c r="BS299" s="31" t="str">
        <f t="shared" si="1045"/>
        <v>BypassOpenStudio_zb,0,</v>
      </c>
      <c r="BT299" s="31" t="str">
        <f t="shared" si="1046"/>
        <v>BypassOpenStudio_ap,0,</v>
      </c>
      <c r="BU299" s="31" t="str">
        <f t="shared" si="1047"/>
        <v>BypassOpenStudio_ab,0,</v>
      </c>
    </row>
    <row r="300" spans="1:73" outlineLevel="1" x14ac:dyDescent="0.25">
      <c r="A300" s="39">
        <f t="shared" si="1015"/>
        <v>1</v>
      </c>
      <c r="B300" s="27" t="str">
        <f t="shared" si="1048"/>
        <v>SoftwareSensitivity2016Tests\SimplifiedGeometry\0413306-OffLrg-CRAC_NDL.cibd16</v>
      </c>
      <c r="C300" s="27" t="str">
        <f t="shared" si="1049"/>
        <v>BatchOut_171026_r5178_FinalRel-v3-SSTSG_SSTSG\0413306-OffLrg-CRAC_NDL.cibd16</v>
      </c>
      <c r="D300" s="27" t="str">
        <f t="shared" si="1050"/>
        <v>BatchOut_171026_r5178_FinalRel-v3-SSTSG_SSTSG\XML\</v>
      </c>
      <c r="E300" s="9" t="str">
        <f t="shared" si="1051"/>
        <v>0413306-OffLrg-CRAC_NDL</v>
      </c>
      <c r="F300" s="22"/>
      <c r="G300" s="29"/>
      <c r="H300" s="23" t="str">
        <f t="shared" si="1052"/>
        <v/>
      </c>
      <c r="I300" s="9" t="s">
        <v>11</v>
      </c>
      <c r="J30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0" s="15" t="s">
        <v>1</v>
      </c>
      <c r="L300" s="92">
        <f t="shared" si="1055"/>
        <v>1</v>
      </c>
      <c r="M300" s="91" t="str">
        <f t="shared" si="1053"/>
        <v>0413306-OffLrg-CRAC_NDL</v>
      </c>
      <c r="N300" s="90" t="s">
        <v>199</v>
      </c>
      <c r="O300" s="90" t="str">
        <f t="shared" si="1017"/>
        <v>0413306-OffLrg-CRAC_NDL</v>
      </c>
      <c r="P300" s="92">
        <f t="shared" si="1089"/>
        <v>1</v>
      </c>
      <c r="Q300" s="92">
        <f t="shared" si="1089"/>
        <v>1</v>
      </c>
      <c r="R300" s="92">
        <f t="shared" si="1089"/>
        <v>0</v>
      </c>
      <c r="S300" s="92">
        <f t="shared" si="1089"/>
        <v>1</v>
      </c>
      <c r="T300" s="92">
        <f t="shared" si="1089"/>
        <v>0</v>
      </c>
      <c r="U300" s="92">
        <f t="shared" si="1089"/>
        <v>8</v>
      </c>
      <c r="V300" s="92">
        <f t="shared" si="1089"/>
        <v>8</v>
      </c>
      <c r="W300" s="92">
        <f t="shared" si="1089"/>
        <v>1</v>
      </c>
      <c r="X300" s="92">
        <f t="shared" si="1089"/>
        <v>0</v>
      </c>
      <c r="Y300" s="92">
        <f t="shared" si="1089"/>
        <v>0</v>
      </c>
      <c r="Z300" s="92">
        <f t="shared" si="1089"/>
        <v>0</v>
      </c>
      <c r="AA300" s="92">
        <f t="shared" si="1089"/>
        <v>0</v>
      </c>
      <c r="AB300" s="92">
        <f t="shared" si="1089"/>
        <v>1</v>
      </c>
      <c r="AC300" s="92">
        <f t="shared" si="1089"/>
        <v>0</v>
      </c>
      <c r="AD300" s="92">
        <f t="shared" si="1089"/>
        <v>1</v>
      </c>
      <c r="AE300" s="92">
        <f t="shared" si="1089"/>
        <v>0</v>
      </c>
      <c r="AF300" s="92">
        <f t="shared" si="1089"/>
        <v>0</v>
      </c>
      <c r="AG300" s="92">
        <f t="shared" si="1089"/>
        <v>0</v>
      </c>
      <c r="AH300" s="92">
        <f t="shared" si="1089"/>
        <v>0</v>
      </c>
      <c r="AI300" s="92">
        <f t="shared" si="1089"/>
        <v>0</v>
      </c>
      <c r="AJ300" s="92">
        <f t="shared" si="1088"/>
        <v>0</v>
      </c>
      <c r="AK300" s="92">
        <f t="shared" si="1088"/>
        <v>0</v>
      </c>
      <c r="AL300" s="92">
        <f t="shared" si="1088"/>
        <v>0</v>
      </c>
      <c r="AM300" s="92">
        <f t="shared" si="1088"/>
        <v>0</v>
      </c>
      <c r="AN300" s="92">
        <f t="shared" si="1088"/>
        <v>0</v>
      </c>
      <c r="AO300" s="92">
        <f t="shared" si="1088"/>
        <v>0</v>
      </c>
      <c r="AP300" s="92">
        <f t="shared" si="1088"/>
        <v>0</v>
      </c>
      <c r="AQ300" s="92">
        <f t="shared" si="1088"/>
        <v>0</v>
      </c>
      <c r="AR300" s="92">
        <f t="shared" si="1088"/>
        <v>0</v>
      </c>
      <c r="AS300" s="31" t="str">
        <f t="shared" si="1019"/>
        <v>SimulationStorage,1,</v>
      </c>
      <c r="AT300" s="31" t="str">
        <f t="shared" si="1020"/>
        <v>AnalysisStorage,1,</v>
      </c>
      <c r="AU300" s="31" t="str">
        <f t="shared" si="1021"/>
        <v>LogRuleEvaluation,0,</v>
      </c>
      <c r="AV300" s="31" t="str">
        <f t="shared" si="1022"/>
        <v>ParallelSimulations,1,</v>
      </c>
      <c r="AW300" s="31" t="str">
        <f t="shared" si="1023"/>
        <v>DurationStats,0,</v>
      </c>
      <c r="AX300" s="31" t="str">
        <f t="shared" si="1024"/>
        <v>AnalysisThruStep,8,</v>
      </c>
      <c r="AY300" s="31" t="str">
        <f t="shared" si="1025"/>
        <v>DontAbortOnErrorsThruStep,8,</v>
      </c>
      <c r="AZ300" s="31" t="str">
        <f t="shared" si="1026"/>
        <v>BypassValidFileChecks,1,</v>
      </c>
      <c r="BA300" s="31" t="str">
        <f t="shared" si="1027"/>
        <v>BypassInputChecks,0,</v>
      </c>
      <c r="BB300" s="31" t="str">
        <f t="shared" si="1028"/>
        <v>BypassUMLHChecks,0,</v>
      </c>
      <c r="BC300" s="31" t="str">
        <f t="shared" si="1029"/>
        <v>BypassCheckSimRules,0,</v>
      </c>
      <c r="BD300" s="31" t="str">
        <f t="shared" si="1030"/>
        <v>BypassCheckCodeRules,0,</v>
      </c>
      <c r="BE300" s="31" t="str">
        <f t="shared" si="1031"/>
        <v>StoreResultsToModelInput,1,</v>
      </c>
      <c r="BF300" s="31" t="str">
        <f t="shared" si="1032"/>
        <v>StoreBEMDetails,0,</v>
      </c>
      <c r="BG300" s="31" t="str">
        <f t="shared" si="1033"/>
        <v>ModelRpt_ALL,1,</v>
      </c>
      <c r="BH300" s="31" t="str">
        <f t="shared" si="1034"/>
        <v>ExportHourlyResults_All,0,</v>
      </c>
      <c r="BI300" s="31" t="str">
        <f t="shared" si="1035"/>
        <v>ComplianceReportPDF,0,</v>
      </c>
      <c r="BJ300" s="31" t="str">
        <f t="shared" si="1036"/>
        <v>ComplianceReportXML,0,</v>
      </c>
      <c r="BK300" s="31" t="str">
        <f t="shared" si="1037"/>
        <v>QuickAnalysis,0,</v>
      </c>
      <c r="BL300" s="31" t="str">
        <f t="shared" si="1038"/>
        <v>PromptUserUMLHWarning,0,</v>
      </c>
      <c r="BM300" s="31" t="str">
        <f t="shared" si="1039"/>
        <v>BypassOpenStudio_all,0,</v>
      </c>
      <c r="BN300" s="31" t="str">
        <f t="shared" si="1040"/>
        <v>BypassOpenStudio_zp,0,</v>
      </c>
      <c r="BO300" s="31" t="str">
        <f t="shared" si="1041"/>
        <v>BypassOpenStudio_zb,0,</v>
      </c>
      <c r="BP300" s="31" t="str">
        <f t="shared" si="1042"/>
        <v>BypassOpenStudio_ap,0,</v>
      </c>
      <c r="BQ300" s="31" t="str">
        <f t="shared" si="1043"/>
        <v>BypassOpenStudio_ab,0,</v>
      </c>
      <c r="BR300" s="31" t="str">
        <f t="shared" si="1044"/>
        <v>BypassOpenStudio_zp,0,</v>
      </c>
      <c r="BS300" s="31" t="str">
        <f t="shared" si="1045"/>
        <v>BypassOpenStudio_zb,0,</v>
      </c>
      <c r="BT300" s="31" t="str">
        <f t="shared" si="1046"/>
        <v>BypassOpenStudio_ap,0,</v>
      </c>
      <c r="BU300" s="31" t="str">
        <f t="shared" si="1047"/>
        <v>BypassOpenStudio_ab,0,</v>
      </c>
    </row>
    <row r="301" spans="1:73" outlineLevel="1" x14ac:dyDescent="0.25">
      <c r="A301" s="39">
        <f t="shared" si="1015"/>
        <v>1</v>
      </c>
      <c r="B301" s="27" t="str">
        <f t="shared" si="1048"/>
        <v>SoftwareSensitivity2016Tests\SimplifiedGeometry\0500006-RetlMed-Baseline_NDL.cibd16</v>
      </c>
      <c r="C301" s="27" t="str">
        <f t="shared" si="1049"/>
        <v>BatchOut_171026_r5178_FinalRel-v3-SSTSG_SSTSG\0500006-RetlMed-Baseline_NDL.cibd16</v>
      </c>
      <c r="D301" s="27" t="str">
        <f t="shared" si="1050"/>
        <v>BatchOut_171026_r5178_FinalRel-v3-SSTSG_SSTSG\XML\</v>
      </c>
      <c r="E301" s="9" t="str">
        <f t="shared" si="1051"/>
        <v>0500006-RetlMed-Baseline_NDL</v>
      </c>
      <c r="F301" s="22"/>
      <c r="G301" s="29"/>
      <c r="H301" s="23" t="str">
        <f t="shared" si="1052"/>
        <v/>
      </c>
      <c r="I301" s="9" t="s">
        <v>11</v>
      </c>
      <c r="J30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1" s="15" t="s">
        <v>1</v>
      </c>
      <c r="L301" s="92">
        <f t="shared" si="1055"/>
        <v>1</v>
      </c>
      <c r="M301" s="91" t="str">
        <f t="shared" si="1053"/>
        <v>0500006-RetlMed-Baseline_NDL</v>
      </c>
      <c r="N301" s="90" t="s">
        <v>200</v>
      </c>
      <c r="O301" s="90" t="str">
        <f t="shared" si="1017"/>
        <v>0500006-RetlMed-Baseline_NDL</v>
      </c>
      <c r="P301" s="92">
        <f t="shared" si="1089"/>
        <v>1</v>
      </c>
      <c r="Q301" s="92">
        <f t="shared" si="1089"/>
        <v>1</v>
      </c>
      <c r="R301" s="92">
        <f t="shared" si="1089"/>
        <v>0</v>
      </c>
      <c r="S301" s="92">
        <f t="shared" si="1089"/>
        <v>1</v>
      </c>
      <c r="T301" s="92">
        <f t="shared" si="1089"/>
        <v>0</v>
      </c>
      <c r="U301" s="92">
        <f t="shared" si="1089"/>
        <v>8</v>
      </c>
      <c r="V301" s="92">
        <f t="shared" si="1089"/>
        <v>8</v>
      </c>
      <c r="W301" s="92">
        <f t="shared" si="1089"/>
        <v>1</v>
      </c>
      <c r="X301" s="92">
        <f t="shared" si="1089"/>
        <v>0</v>
      </c>
      <c r="Y301" s="92">
        <f t="shared" si="1089"/>
        <v>0</v>
      </c>
      <c r="Z301" s="92">
        <f t="shared" si="1089"/>
        <v>0</v>
      </c>
      <c r="AA301" s="92">
        <f t="shared" si="1089"/>
        <v>0</v>
      </c>
      <c r="AB301" s="92">
        <f t="shared" si="1089"/>
        <v>1</v>
      </c>
      <c r="AC301" s="92">
        <f t="shared" si="1089"/>
        <v>0</v>
      </c>
      <c r="AD301" s="92">
        <f t="shared" si="1089"/>
        <v>1</v>
      </c>
      <c r="AE301" s="92">
        <f t="shared" si="1089"/>
        <v>0</v>
      </c>
      <c r="AF301" s="92">
        <f t="shared" si="1089"/>
        <v>0</v>
      </c>
      <c r="AG301" s="92">
        <f t="shared" si="1089"/>
        <v>0</v>
      </c>
      <c r="AH301" s="92">
        <f t="shared" si="1089"/>
        <v>0</v>
      </c>
      <c r="AI301" s="92">
        <f t="shared" si="1089"/>
        <v>0</v>
      </c>
      <c r="AJ301" s="92">
        <f t="shared" si="1088"/>
        <v>0</v>
      </c>
      <c r="AK301" s="92">
        <f t="shared" si="1088"/>
        <v>0</v>
      </c>
      <c r="AL301" s="92">
        <f t="shared" si="1088"/>
        <v>0</v>
      </c>
      <c r="AM301" s="92">
        <f t="shared" si="1088"/>
        <v>0</v>
      </c>
      <c r="AN301" s="92">
        <f t="shared" si="1088"/>
        <v>0</v>
      </c>
      <c r="AO301" s="92">
        <f t="shared" si="1088"/>
        <v>0</v>
      </c>
      <c r="AP301" s="92">
        <f t="shared" si="1088"/>
        <v>0</v>
      </c>
      <c r="AQ301" s="92">
        <f t="shared" si="1088"/>
        <v>0</v>
      </c>
      <c r="AR301" s="92">
        <f t="shared" si="1088"/>
        <v>0</v>
      </c>
      <c r="AS301" s="31" t="str">
        <f t="shared" si="1019"/>
        <v>SimulationStorage,1,</v>
      </c>
      <c r="AT301" s="31" t="str">
        <f t="shared" si="1020"/>
        <v>AnalysisStorage,1,</v>
      </c>
      <c r="AU301" s="31" t="str">
        <f t="shared" si="1021"/>
        <v>LogRuleEvaluation,0,</v>
      </c>
      <c r="AV301" s="31" t="str">
        <f t="shared" si="1022"/>
        <v>ParallelSimulations,1,</v>
      </c>
      <c r="AW301" s="31" t="str">
        <f t="shared" si="1023"/>
        <v>DurationStats,0,</v>
      </c>
      <c r="AX301" s="31" t="str">
        <f t="shared" si="1024"/>
        <v>AnalysisThruStep,8,</v>
      </c>
      <c r="AY301" s="31" t="str">
        <f t="shared" si="1025"/>
        <v>DontAbortOnErrorsThruStep,8,</v>
      </c>
      <c r="AZ301" s="31" t="str">
        <f t="shared" si="1026"/>
        <v>BypassValidFileChecks,1,</v>
      </c>
      <c r="BA301" s="31" t="str">
        <f t="shared" si="1027"/>
        <v>BypassInputChecks,0,</v>
      </c>
      <c r="BB301" s="31" t="str">
        <f t="shared" si="1028"/>
        <v>BypassUMLHChecks,0,</v>
      </c>
      <c r="BC301" s="31" t="str">
        <f t="shared" si="1029"/>
        <v>BypassCheckSimRules,0,</v>
      </c>
      <c r="BD301" s="31" t="str">
        <f t="shared" si="1030"/>
        <v>BypassCheckCodeRules,0,</v>
      </c>
      <c r="BE301" s="31" t="str">
        <f t="shared" si="1031"/>
        <v>StoreResultsToModelInput,1,</v>
      </c>
      <c r="BF301" s="31" t="str">
        <f t="shared" si="1032"/>
        <v>StoreBEMDetails,0,</v>
      </c>
      <c r="BG301" s="31" t="str">
        <f t="shared" si="1033"/>
        <v>ModelRpt_ALL,1,</v>
      </c>
      <c r="BH301" s="31" t="str">
        <f t="shared" si="1034"/>
        <v>ExportHourlyResults_All,0,</v>
      </c>
      <c r="BI301" s="31" t="str">
        <f t="shared" si="1035"/>
        <v>ComplianceReportPDF,0,</v>
      </c>
      <c r="BJ301" s="31" t="str">
        <f t="shared" si="1036"/>
        <v>ComplianceReportXML,0,</v>
      </c>
      <c r="BK301" s="31" t="str">
        <f t="shared" si="1037"/>
        <v>QuickAnalysis,0,</v>
      </c>
      <c r="BL301" s="31" t="str">
        <f t="shared" si="1038"/>
        <v>PromptUserUMLHWarning,0,</v>
      </c>
      <c r="BM301" s="31" t="str">
        <f t="shared" si="1039"/>
        <v>BypassOpenStudio_all,0,</v>
      </c>
      <c r="BN301" s="31" t="str">
        <f t="shared" si="1040"/>
        <v>BypassOpenStudio_zp,0,</v>
      </c>
      <c r="BO301" s="31" t="str">
        <f t="shared" si="1041"/>
        <v>BypassOpenStudio_zb,0,</v>
      </c>
      <c r="BP301" s="31" t="str">
        <f t="shared" si="1042"/>
        <v>BypassOpenStudio_ap,0,</v>
      </c>
      <c r="BQ301" s="31" t="str">
        <f t="shared" si="1043"/>
        <v>BypassOpenStudio_ab,0,</v>
      </c>
      <c r="BR301" s="31" t="str">
        <f t="shared" si="1044"/>
        <v>BypassOpenStudio_zp,0,</v>
      </c>
      <c r="BS301" s="31" t="str">
        <f t="shared" si="1045"/>
        <v>BypassOpenStudio_zb,0,</v>
      </c>
      <c r="BT301" s="31" t="str">
        <f t="shared" si="1046"/>
        <v>BypassOpenStudio_ap,0,</v>
      </c>
      <c r="BU301" s="31" t="str">
        <f t="shared" si="1047"/>
        <v>BypassOpenStudio_ab,0,</v>
      </c>
    </row>
    <row r="302" spans="1:73" outlineLevel="1" x14ac:dyDescent="0.25">
      <c r="A302" s="39">
        <f t="shared" si="1015"/>
        <v>1</v>
      </c>
      <c r="B302" s="27" t="str">
        <f t="shared" si="1048"/>
        <v>SoftwareSensitivity2016Tests\SimplifiedGeometry\0500006-RetlMed-SG-Baseline.cibd16</v>
      </c>
      <c r="C302" s="27" t="str">
        <f t="shared" si="1049"/>
        <v>BatchOut_171026_r5178_FinalRel-v3-SSTSG_SSTSG\0500006-RetlMed-SG-Baseline.cibd16</v>
      </c>
      <c r="D302" s="27" t="str">
        <f t="shared" si="1050"/>
        <v>BatchOut_171026_r5178_FinalRel-v3-SSTSG_SSTSG\XML\</v>
      </c>
      <c r="E302" s="9" t="str">
        <f t="shared" si="1051"/>
        <v>0500006-RetlMed-SG-Baseline</v>
      </c>
      <c r="F302" s="22"/>
      <c r="G302" s="29"/>
      <c r="H302" s="23" t="str">
        <f t="shared" si="1052"/>
        <v/>
      </c>
      <c r="I302" s="9" t="s">
        <v>11</v>
      </c>
      <c r="J30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2" s="15" t="s">
        <v>1</v>
      </c>
      <c r="L302" s="92">
        <f t="shared" si="1055"/>
        <v>1</v>
      </c>
      <c r="M302" s="91" t="str">
        <f t="shared" si="1053"/>
        <v>0500006-RetlMed-SG-Baseline</v>
      </c>
      <c r="N302" s="90" t="s">
        <v>201</v>
      </c>
      <c r="O302" s="90" t="str">
        <f t="shared" si="1017"/>
        <v>0500006-RetlMed-SG-Baseline</v>
      </c>
      <c r="P302" s="92">
        <f t="shared" si="1089"/>
        <v>1</v>
      </c>
      <c r="Q302" s="92">
        <f t="shared" si="1089"/>
        <v>1</v>
      </c>
      <c r="R302" s="92">
        <f t="shared" si="1089"/>
        <v>0</v>
      </c>
      <c r="S302" s="92">
        <f t="shared" si="1089"/>
        <v>1</v>
      </c>
      <c r="T302" s="92">
        <f t="shared" si="1089"/>
        <v>0</v>
      </c>
      <c r="U302" s="92">
        <f t="shared" si="1089"/>
        <v>8</v>
      </c>
      <c r="V302" s="92">
        <f t="shared" si="1089"/>
        <v>8</v>
      </c>
      <c r="W302" s="92">
        <f t="shared" si="1089"/>
        <v>1</v>
      </c>
      <c r="X302" s="92">
        <f t="shared" si="1089"/>
        <v>0</v>
      </c>
      <c r="Y302" s="92">
        <f t="shared" si="1089"/>
        <v>0</v>
      </c>
      <c r="Z302" s="92">
        <f t="shared" si="1089"/>
        <v>0</v>
      </c>
      <c r="AA302" s="92">
        <f t="shared" si="1089"/>
        <v>0</v>
      </c>
      <c r="AB302" s="92">
        <f t="shared" si="1089"/>
        <v>1</v>
      </c>
      <c r="AC302" s="92">
        <f t="shared" si="1089"/>
        <v>0</v>
      </c>
      <c r="AD302" s="92">
        <f t="shared" si="1089"/>
        <v>1</v>
      </c>
      <c r="AE302" s="92">
        <f t="shared" si="1089"/>
        <v>0</v>
      </c>
      <c r="AF302" s="92">
        <f t="shared" si="1089"/>
        <v>0</v>
      </c>
      <c r="AG302" s="92">
        <f t="shared" si="1089"/>
        <v>0</v>
      </c>
      <c r="AH302" s="92">
        <f t="shared" si="1089"/>
        <v>0</v>
      </c>
      <c r="AI302" s="92">
        <f t="shared" si="1089"/>
        <v>0</v>
      </c>
      <c r="AJ302" s="92">
        <f t="shared" si="1088"/>
        <v>0</v>
      </c>
      <c r="AK302" s="92">
        <f t="shared" si="1088"/>
        <v>0</v>
      </c>
      <c r="AL302" s="92">
        <f t="shared" si="1088"/>
        <v>0</v>
      </c>
      <c r="AM302" s="92">
        <f t="shared" si="1088"/>
        <v>0</v>
      </c>
      <c r="AN302" s="92">
        <f t="shared" si="1088"/>
        <v>0</v>
      </c>
      <c r="AO302" s="92">
        <f t="shared" si="1088"/>
        <v>0</v>
      </c>
      <c r="AP302" s="92">
        <f t="shared" si="1088"/>
        <v>0</v>
      </c>
      <c r="AQ302" s="92">
        <f t="shared" si="1088"/>
        <v>0</v>
      </c>
      <c r="AR302" s="92">
        <f t="shared" si="1088"/>
        <v>0</v>
      </c>
      <c r="AS302" s="31" t="str">
        <f t="shared" si="1019"/>
        <v>SimulationStorage,1,</v>
      </c>
      <c r="AT302" s="31" t="str">
        <f t="shared" si="1020"/>
        <v>AnalysisStorage,1,</v>
      </c>
      <c r="AU302" s="31" t="str">
        <f t="shared" si="1021"/>
        <v>LogRuleEvaluation,0,</v>
      </c>
      <c r="AV302" s="31" t="str">
        <f t="shared" si="1022"/>
        <v>ParallelSimulations,1,</v>
      </c>
      <c r="AW302" s="31" t="str">
        <f t="shared" si="1023"/>
        <v>DurationStats,0,</v>
      </c>
      <c r="AX302" s="31" t="str">
        <f t="shared" si="1024"/>
        <v>AnalysisThruStep,8,</v>
      </c>
      <c r="AY302" s="31" t="str">
        <f t="shared" si="1025"/>
        <v>DontAbortOnErrorsThruStep,8,</v>
      </c>
      <c r="AZ302" s="31" t="str">
        <f t="shared" si="1026"/>
        <v>BypassValidFileChecks,1,</v>
      </c>
      <c r="BA302" s="31" t="str">
        <f t="shared" si="1027"/>
        <v>BypassInputChecks,0,</v>
      </c>
      <c r="BB302" s="31" t="str">
        <f t="shared" si="1028"/>
        <v>BypassUMLHChecks,0,</v>
      </c>
      <c r="BC302" s="31" t="str">
        <f t="shared" si="1029"/>
        <v>BypassCheckSimRules,0,</v>
      </c>
      <c r="BD302" s="31" t="str">
        <f t="shared" si="1030"/>
        <v>BypassCheckCodeRules,0,</v>
      </c>
      <c r="BE302" s="31" t="str">
        <f t="shared" si="1031"/>
        <v>StoreResultsToModelInput,1,</v>
      </c>
      <c r="BF302" s="31" t="str">
        <f t="shared" si="1032"/>
        <v>StoreBEMDetails,0,</v>
      </c>
      <c r="BG302" s="31" t="str">
        <f t="shared" si="1033"/>
        <v>ModelRpt_ALL,1,</v>
      </c>
      <c r="BH302" s="31" t="str">
        <f t="shared" si="1034"/>
        <v>ExportHourlyResults_All,0,</v>
      </c>
      <c r="BI302" s="31" t="str">
        <f t="shared" si="1035"/>
        <v>ComplianceReportPDF,0,</v>
      </c>
      <c r="BJ302" s="31" t="str">
        <f t="shared" si="1036"/>
        <v>ComplianceReportXML,0,</v>
      </c>
      <c r="BK302" s="31" t="str">
        <f t="shared" si="1037"/>
        <v>QuickAnalysis,0,</v>
      </c>
      <c r="BL302" s="31" t="str">
        <f t="shared" si="1038"/>
        <v>PromptUserUMLHWarning,0,</v>
      </c>
      <c r="BM302" s="31" t="str">
        <f t="shared" si="1039"/>
        <v>BypassOpenStudio_all,0,</v>
      </c>
      <c r="BN302" s="31" t="str">
        <f t="shared" si="1040"/>
        <v>BypassOpenStudio_zp,0,</v>
      </c>
      <c r="BO302" s="31" t="str">
        <f t="shared" si="1041"/>
        <v>BypassOpenStudio_zb,0,</v>
      </c>
      <c r="BP302" s="31" t="str">
        <f t="shared" si="1042"/>
        <v>BypassOpenStudio_ap,0,</v>
      </c>
      <c r="BQ302" s="31" t="str">
        <f t="shared" si="1043"/>
        <v>BypassOpenStudio_ab,0,</v>
      </c>
      <c r="BR302" s="31" t="str">
        <f t="shared" si="1044"/>
        <v>BypassOpenStudio_zp,0,</v>
      </c>
      <c r="BS302" s="31" t="str">
        <f t="shared" si="1045"/>
        <v>BypassOpenStudio_zb,0,</v>
      </c>
      <c r="BT302" s="31" t="str">
        <f t="shared" si="1046"/>
        <v>BypassOpenStudio_ap,0,</v>
      </c>
      <c r="BU302" s="31" t="str">
        <f t="shared" si="1047"/>
        <v>BypassOpenStudio_ab,0,</v>
      </c>
    </row>
    <row r="303" spans="1:73" outlineLevel="1" x14ac:dyDescent="0.25">
      <c r="A303" s="39">
        <f t="shared" si="1015"/>
        <v>1</v>
      </c>
      <c r="B303" s="27" t="str">
        <f t="shared" si="1048"/>
        <v>SoftwareSensitivity2016Tests\SimplifiedGeometry\0500015-RetlMed-Baseline_NDL.cibd16</v>
      </c>
      <c r="C303" s="27" t="str">
        <f t="shared" si="1049"/>
        <v>BatchOut_171026_r5178_FinalRel-v3-SSTSG_SSTSG\0500015-RetlMed-Baseline_NDL.cibd16</v>
      </c>
      <c r="D303" s="27" t="str">
        <f t="shared" si="1050"/>
        <v>BatchOut_171026_r5178_FinalRel-v3-SSTSG_SSTSG\XML\</v>
      </c>
      <c r="E303" s="9" t="str">
        <f t="shared" si="1051"/>
        <v>0500015-RetlMed-Baseline_NDL</v>
      </c>
      <c r="F303" s="22"/>
      <c r="G303" s="29"/>
      <c r="H303" s="23" t="str">
        <f t="shared" si="1052"/>
        <v/>
      </c>
      <c r="I303" s="9" t="s">
        <v>11</v>
      </c>
      <c r="J30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3" s="15" t="s">
        <v>1</v>
      </c>
      <c r="L303" s="92">
        <f t="shared" si="1055"/>
        <v>1</v>
      </c>
      <c r="M303" s="91" t="str">
        <f t="shared" si="1053"/>
        <v>0500015-RetlMed-Baseline_NDL</v>
      </c>
      <c r="N303" s="90" t="s">
        <v>202</v>
      </c>
      <c r="O303" s="90" t="str">
        <f t="shared" si="1017"/>
        <v>0500015-RetlMed-Baseline_NDL</v>
      </c>
      <c r="P303" s="92">
        <f t="shared" si="1089"/>
        <v>1</v>
      </c>
      <c r="Q303" s="92">
        <f t="shared" si="1089"/>
        <v>1</v>
      </c>
      <c r="R303" s="92">
        <f t="shared" si="1089"/>
        <v>0</v>
      </c>
      <c r="S303" s="92">
        <f t="shared" si="1089"/>
        <v>1</v>
      </c>
      <c r="T303" s="92">
        <f t="shared" si="1089"/>
        <v>0</v>
      </c>
      <c r="U303" s="92">
        <f t="shared" si="1089"/>
        <v>8</v>
      </c>
      <c r="V303" s="92">
        <f t="shared" si="1089"/>
        <v>8</v>
      </c>
      <c r="W303" s="92">
        <f t="shared" si="1089"/>
        <v>1</v>
      </c>
      <c r="X303" s="92">
        <f t="shared" si="1089"/>
        <v>0</v>
      </c>
      <c r="Y303" s="92">
        <f t="shared" si="1089"/>
        <v>0</v>
      </c>
      <c r="Z303" s="92">
        <f t="shared" si="1089"/>
        <v>0</v>
      </c>
      <c r="AA303" s="92">
        <f t="shared" si="1089"/>
        <v>0</v>
      </c>
      <c r="AB303" s="92">
        <f t="shared" si="1089"/>
        <v>1</v>
      </c>
      <c r="AC303" s="92">
        <f t="shared" si="1089"/>
        <v>0</v>
      </c>
      <c r="AD303" s="92">
        <f t="shared" si="1089"/>
        <v>1</v>
      </c>
      <c r="AE303" s="92">
        <f t="shared" si="1089"/>
        <v>0</v>
      </c>
      <c r="AF303" s="92">
        <f t="shared" si="1089"/>
        <v>0</v>
      </c>
      <c r="AG303" s="92">
        <f t="shared" si="1089"/>
        <v>0</v>
      </c>
      <c r="AH303" s="92">
        <f t="shared" si="1089"/>
        <v>0</v>
      </c>
      <c r="AI303" s="92">
        <f t="shared" si="1089"/>
        <v>0</v>
      </c>
      <c r="AJ303" s="92">
        <f t="shared" si="1088"/>
        <v>0</v>
      </c>
      <c r="AK303" s="92">
        <f t="shared" si="1088"/>
        <v>0</v>
      </c>
      <c r="AL303" s="92">
        <f t="shared" si="1088"/>
        <v>0</v>
      </c>
      <c r="AM303" s="92">
        <f t="shared" si="1088"/>
        <v>0</v>
      </c>
      <c r="AN303" s="92">
        <f t="shared" si="1088"/>
        <v>0</v>
      </c>
      <c r="AO303" s="92">
        <f t="shared" si="1088"/>
        <v>0</v>
      </c>
      <c r="AP303" s="92">
        <f t="shared" si="1088"/>
        <v>0</v>
      </c>
      <c r="AQ303" s="92">
        <f t="shared" si="1088"/>
        <v>0</v>
      </c>
      <c r="AR303" s="92">
        <f t="shared" si="1088"/>
        <v>0</v>
      </c>
      <c r="AS303" s="31" t="str">
        <f t="shared" si="1019"/>
        <v>SimulationStorage,1,</v>
      </c>
      <c r="AT303" s="31" t="str">
        <f t="shared" si="1020"/>
        <v>AnalysisStorage,1,</v>
      </c>
      <c r="AU303" s="31" t="str">
        <f t="shared" si="1021"/>
        <v>LogRuleEvaluation,0,</v>
      </c>
      <c r="AV303" s="31" t="str">
        <f t="shared" si="1022"/>
        <v>ParallelSimulations,1,</v>
      </c>
      <c r="AW303" s="31" t="str">
        <f t="shared" si="1023"/>
        <v>DurationStats,0,</v>
      </c>
      <c r="AX303" s="31" t="str">
        <f t="shared" si="1024"/>
        <v>AnalysisThruStep,8,</v>
      </c>
      <c r="AY303" s="31" t="str">
        <f t="shared" si="1025"/>
        <v>DontAbortOnErrorsThruStep,8,</v>
      </c>
      <c r="AZ303" s="31" t="str">
        <f t="shared" si="1026"/>
        <v>BypassValidFileChecks,1,</v>
      </c>
      <c r="BA303" s="31" t="str">
        <f t="shared" si="1027"/>
        <v>BypassInputChecks,0,</v>
      </c>
      <c r="BB303" s="31" t="str">
        <f t="shared" si="1028"/>
        <v>BypassUMLHChecks,0,</v>
      </c>
      <c r="BC303" s="31" t="str">
        <f t="shared" si="1029"/>
        <v>BypassCheckSimRules,0,</v>
      </c>
      <c r="BD303" s="31" t="str">
        <f t="shared" si="1030"/>
        <v>BypassCheckCodeRules,0,</v>
      </c>
      <c r="BE303" s="31" t="str">
        <f t="shared" si="1031"/>
        <v>StoreResultsToModelInput,1,</v>
      </c>
      <c r="BF303" s="31" t="str">
        <f t="shared" si="1032"/>
        <v>StoreBEMDetails,0,</v>
      </c>
      <c r="BG303" s="31" t="str">
        <f t="shared" si="1033"/>
        <v>ModelRpt_ALL,1,</v>
      </c>
      <c r="BH303" s="31" t="str">
        <f t="shared" si="1034"/>
        <v>ExportHourlyResults_All,0,</v>
      </c>
      <c r="BI303" s="31" t="str">
        <f t="shared" si="1035"/>
        <v>ComplianceReportPDF,0,</v>
      </c>
      <c r="BJ303" s="31" t="str">
        <f t="shared" si="1036"/>
        <v>ComplianceReportXML,0,</v>
      </c>
      <c r="BK303" s="31" t="str">
        <f t="shared" si="1037"/>
        <v>QuickAnalysis,0,</v>
      </c>
      <c r="BL303" s="31" t="str">
        <f t="shared" si="1038"/>
        <v>PromptUserUMLHWarning,0,</v>
      </c>
      <c r="BM303" s="31" t="str">
        <f t="shared" si="1039"/>
        <v>BypassOpenStudio_all,0,</v>
      </c>
      <c r="BN303" s="31" t="str">
        <f t="shared" si="1040"/>
        <v>BypassOpenStudio_zp,0,</v>
      </c>
      <c r="BO303" s="31" t="str">
        <f t="shared" si="1041"/>
        <v>BypassOpenStudio_zb,0,</v>
      </c>
      <c r="BP303" s="31" t="str">
        <f t="shared" si="1042"/>
        <v>BypassOpenStudio_ap,0,</v>
      </c>
      <c r="BQ303" s="31" t="str">
        <f t="shared" si="1043"/>
        <v>BypassOpenStudio_ab,0,</v>
      </c>
      <c r="BR303" s="31" t="str">
        <f t="shared" si="1044"/>
        <v>BypassOpenStudio_zp,0,</v>
      </c>
      <c r="BS303" s="31" t="str">
        <f t="shared" si="1045"/>
        <v>BypassOpenStudio_zb,0,</v>
      </c>
      <c r="BT303" s="31" t="str">
        <f t="shared" si="1046"/>
        <v>BypassOpenStudio_ap,0,</v>
      </c>
      <c r="BU303" s="31" t="str">
        <f t="shared" si="1047"/>
        <v>BypassOpenStudio_ab,0,</v>
      </c>
    </row>
    <row r="304" spans="1:73" outlineLevel="1" x14ac:dyDescent="0.25">
      <c r="A304" s="39">
        <f t="shared" si="1015"/>
        <v>1</v>
      </c>
      <c r="B304" s="27" t="str">
        <f t="shared" si="1048"/>
        <v>SoftwareSensitivity2016Tests\SimplifiedGeometry\0511015-RetlMed-SG-EnvRoofInsulation.cibd16</v>
      </c>
      <c r="C304" s="27" t="str">
        <f t="shared" si="1049"/>
        <v>BatchOut_171026_r5178_FinalRel-v3-SSTSG_SSTSG\0511015-RetlMed-SG-EnvRoofInsulation.cibd16</v>
      </c>
      <c r="D304" s="27" t="str">
        <f t="shared" si="1050"/>
        <v>BatchOut_171026_r5178_FinalRel-v3-SSTSG_SSTSG\XML\</v>
      </c>
      <c r="E304" s="9" t="str">
        <f t="shared" si="1051"/>
        <v>0511015-RetlMed-SG-EnvRoofInsulation</v>
      </c>
      <c r="F304" s="22"/>
      <c r="G304" s="29"/>
      <c r="H304" s="23" t="str">
        <f t="shared" si="1052"/>
        <v/>
      </c>
      <c r="I304" s="9" t="s">
        <v>11</v>
      </c>
      <c r="J30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4" s="15" t="s">
        <v>1</v>
      </c>
      <c r="L304" s="92">
        <f t="shared" si="1055"/>
        <v>1</v>
      </c>
      <c r="M304" s="91" t="str">
        <f t="shared" si="1053"/>
        <v>0511015-RetlMed-SG-EnvRoofInsulation</v>
      </c>
      <c r="N304" s="90" t="s">
        <v>204</v>
      </c>
      <c r="O304" s="90" t="str">
        <f t="shared" si="1017"/>
        <v>0511015-RetlMed-SG-EnvRoofInsulation</v>
      </c>
      <c r="P304" s="92">
        <f t="shared" si="1089"/>
        <v>1</v>
      </c>
      <c r="Q304" s="92">
        <f t="shared" si="1089"/>
        <v>1</v>
      </c>
      <c r="R304" s="92">
        <f t="shared" si="1089"/>
        <v>0</v>
      </c>
      <c r="S304" s="92">
        <f t="shared" si="1089"/>
        <v>1</v>
      </c>
      <c r="T304" s="92">
        <f t="shared" si="1089"/>
        <v>0</v>
      </c>
      <c r="U304" s="92">
        <f t="shared" si="1089"/>
        <v>8</v>
      </c>
      <c r="V304" s="92">
        <f t="shared" si="1089"/>
        <v>8</v>
      </c>
      <c r="W304" s="92">
        <f t="shared" si="1089"/>
        <v>1</v>
      </c>
      <c r="X304" s="92">
        <f t="shared" si="1089"/>
        <v>0</v>
      </c>
      <c r="Y304" s="92">
        <f t="shared" si="1089"/>
        <v>0</v>
      </c>
      <c r="Z304" s="92">
        <f t="shared" si="1089"/>
        <v>0</v>
      </c>
      <c r="AA304" s="92">
        <f t="shared" si="1089"/>
        <v>0</v>
      </c>
      <c r="AB304" s="92">
        <f t="shared" si="1089"/>
        <v>1</v>
      </c>
      <c r="AC304" s="92">
        <f t="shared" si="1089"/>
        <v>0</v>
      </c>
      <c r="AD304" s="92">
        <f t="shared" si="1089"/>
        <v>1</v>
      </c>
      <c r="AE304" s="92">
        <f t="shared" si="1089"/>
        <v>0</v>
      </c>
      <c r="AF304" s="92">
        <f t="shared" si="1089"/>
        <v>0</v>
      </c>
      <c r="AG304" s="92">
        <f t="shared" si="1089"/>
        <v>0</v>
      </c>
      <c r="AH304" s="92">
        <f t="shared" si="1089"/>
        <v>0</v>
      </c>
      <c r="AI304" s="92">
        <f t="shared" si="1089"/>
        <v>0</v>
      </c>
      <c r="AJ304" s="92">
        <f t="shared" si="1088"/>
        <v>0</v>
      </c>
      <c r="AK304" s="92">
        <f t="shared" si="1088"/>
        <v>0</v>
      </c>
      <c r="AL304" s="92">
        <f t="shared" si="1088"/>
        <v>0</v>
      </c>
      <c r="AM304" s="92">
        <f t="shared" si="1088"/>
        <v>0</v>
      </c>
      <c r="AN304" s="92">
        <f t="shared" si="1088"/>
        <v>0</v>
      </c>
      <c r="AO304" s="92">
        <f t="shared" si="1088"/>
        <v>0</v>
      </c>
      <c r="AP304" s="92">
        <f t="shared" si="1088"/>
        <v>0</v>
      </c>
      <c r="AQ304" s="92">
        <f t="shared" si="1088"/>
        <v>0</v>
      </c>
      <c r="AR304" s="92">
        <f t="shared" si="1088"/>
        <v>0</v>
      </c>
      <c r="AS304" s="31" t="str">
        <f t="shared" si="1019"/>
        <v>SimulationStorage,1,</v>
      </c>
      <c r="AT304" s="31" t="str">
        <f t="shared" si="1020"/>
        <v>AnalysisStorage,1,</v>
      </c>
      <c r="AU304" s="31" t="str">
        <f t="shared" si="1021"/>
        <v>LogRuleEvaluation,0,</v>
      </c>
      <c r="AV304" s="31" t="str">
        <f t="shared" si="1022"/>
        <v>ParallelSimulations,1,</v>
      </c>
      <c r="AW304" s="31" t="str">
        <f t="shared" si="1023"/>
        <v>DurationStats,0,</v>
      </c>
      <c r="AX304" s="31" t="str">
        <f t="shared" si="1024"/>
        <v>AnalysisThruStep,8,</v>
      </c>
      <c r="AY304" s="31" t="str">
        <f t="shared" si="1025"/>
        <v>DontAbortOnErrorsThruStep,8,</v>
      </c>
      <c r="AZ304" s="31" t="str">
        <f t="shared" si="1026"/>
        <v>BypassValidFileChecks,1,</v>
      </c>
      <c r="BA304" s="31" t="str">
        <f t="shared" si="1027"/>
        <v>BypassInputChecks,0,</v>
      </c>
      <c r="BB304" s="31" t="str">
        <f t="shared" si="1028"/>
        <v>BypassUMLHChecks,0,</v>
      </c>
      <c r="BC304" s="31" t="str">
        <f t="shared" si="1029"/>
        <v>BypassCheckSimRules,0,</v>
      </c>
      <c r="BD304" s="31" t="str">
        <f t="shared" si="1030"/>
        <v>BypassCheckCodeRules,0,</v>
      </c>
      <c r="BE304" s="31" t="str">
        <f t="shared" si="1031"/>
        <v>StoreResultsToModelInput,1,</v>
      </c>
      <c r="BF304" s="31" t="str">
        <f t="shared" si="1032"/>
        <v>StoreBEMDetails,0,</v>
      </c>
      <c r="BG304" s="31" t="str">
        <f t="shared" si="1033"/>
        <v>ModelRpt_ALL,1,</v>
      </c>
      <c r="BH304" s="31" t="str">
        <f t="shared" si="1034"/>
        <v>ExportHourlyResults_All,0,</v>
      </c>
      <c r="BI304" s="31" t="str">
        <f t="shared" si="1035"/>
        <v>ComplianceReportPDF,0,</v>
      </c>
      <c r="BJ304" s="31" t="str">
        <f t="shared" si="1036"/>
        <v>ComplianceReportXML,0,</v>
      </c>
      <c r="BK304" s="31" t="str">
        <f t="shared" si="1037"/>
        <v>QuickAnalysis,0,</v>
      </c>
      <c r="BL304" s="31" t="str">
        <f t="shared" si="1038"/>
        <v>PromptUserUMLHWarning,0,</v>
      </c>
      <c r="BM304" s="31" t="str">
        <f t="shared" si="1039"/>
        <v>BypassOpenStudio_all,0,</v>
      </c>
      <c r="BN304" s="31" t="str">
        <f t="shared" si="1040"/>
        <v>BypassOpenStudio_zp,0,</v>
      </c>
      <c r="BO304" s="31" t="str">
        <f t="shared" si="1041"/>
        <v>BypassOpenStudio_zb,0,</v>
      </c>
      <c r="BP304" s="31" t="str">
        <f t="shared" si="1042"/>
        <v>BypassOpenStudio_ap,0,</v>
      </c>
      <c r="BQ304" s="31" t="str">
        <f t="shared" si="1043"/>
        <v>BypassOpenStudio_ab,0,</v>
      </c>
      <c r="BR304" s="31" t="str">
        <f t="shared" si="1044"/>
        <v>BypassOpenStudio_zp,0,</v>
      </c>
      <c r="BS304" s="31" t="str">
        <f t="shared" si="1045"/>
        <v>BypassOpenStudio_zb,0,</v>
      </c>
      <c r="BT304" s="31" t="str">
        <f t="shared" si="1046"/>
        <v>BypassOpenStudio_ap,0,</v>
      </c>
      <c r="BU304" s="31" t="str">
        <f t="shared" si="1047"/>
        <v>BypassOpenStudio_ab,0,</v>
      </c>
    </row>
    <row r="305" spans="1:73" outlineLevel="1" x14ac:dyDescent="0.25">
      <c r="A305" s="39">
        <f t="shared" si="1015"/>
        <v>1</v>
      </c>
      <c r="B305" s="27" t="str">
        <f t="shared" si="1048"/>
        <v>SoftwareSensitivity2016Tests\SimplifiedGeometry\0511315-RetlMed-SG-EnvWallInsulation.cibd16</v>
      </c>
      <c r="C305" s="27" t="str">
        <f t="shared" si="1049"/>
        <v>BatchOut_171026_r5178_FinalRel-v3-SSTSG_SSTSG\0511315-RetlMed-SG-EnvWallInsulation.cibd16</v>
      </c>
      <c r="D305" s="27" t="str">
        <f t="shared" si="1050"/>
        <v>BatchOut_171026_r5178_FinalRel-v3-SSTSG_SSTSG\XML\</v>
      </c>
      <c r="E305" s="9" t="str">
        <f t="shared" si="1051"/>
        <v>0511315-RetlMed-SG-EnvWallInsulation</v>
      </c>
      <c r="F305" s="22"/>
      <c r="G305" s="29"/>
      <c r="H305" s="23" t="str">
        <f t="shared" si="1052"/>
        <v/>
      </c>
      <c r="I305" s="9" t="s">
        <v>11</v>
      </c>
      <c r="J30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5" s="15" t="s">
        <v>1</v>
      </c>
      <c r="L305" s="92">
        <f t="shared" si="1055"/>
        <v>1</v>
      </c>
      <c r="M305" s="91" t="str">
        <f t="shared" si="1053"/>
        <v>0511315-RetlMed-SG-EnvWallInsulation</v>
      </c>
      <c r="N305" s="90" t="s">
        <v>205</v>
      </c>
      <c r="O305" s="90" t="str">
        <f t="shared" si="1017"/>
        <v>0511315-RetlMed-SG-EnvWallInsulation</v>
      </c>
      <c r="P305" s="92">
        <f t="shared" si="1089"/>
        <v>1</v>
      </c>
      <c r="Q305" s="92">
        <f t="shared" si="1089"/>
        <v>1</v>
      </c>
      <c r="R305" s="92">
        <f t="shared" si="1089"/>
        <v>0</v>
      </c>
      <c r="S305" s="92">
        <f t="shared" si="1089"/>
        <v>1</v>
      </c>
      <c r="T305" s="92">
        <f t="shared" si="1089"/>
        <v>0</v>
      </c>
      <c r="U305" s="92">
        <f t="shared" si="1089"/>
        <v>8</v>
      </c>
      <c r="V305" s="92">
        <f t="shared" si="1089"/>
        <v>8</v>
      </c>
      <c r="W305" s="92">
        <f t="shared" si="1089"/>
        <v>1</v>
      </c>
      <c r="X305" s="92">
        <f t="shared" si="1089"/>
        <v>0</v>
      </c>
      <c r="Y305" s="92">
        <f t="shared" si="1089"/>
        <v>0</v>
      </c>
      <c r="Z305" s="92">
        <f t="shared" si="1089"/>
        <v>0</v>
      </c>
      <c r="AA305" s="92">
        <f t="shared" si="1089"/>
        <v>0</v>
      </c>
      <c r="AB305" s="92">
        <f t="shared" si="1089"/>
        <v>1</v>
      </c>
      <c r="AC305" s="92">
        <f t="shared" si="1089"/>
        <v>0</v>
      </c>
      <c r="AD305" s="92">
        <f t="shared" si="1089"/>
        <v>1</v>
      </c>
      <c r="AE305" s="92">
        <f t="shared" si="1089"/>
        <v>0</v>
      </c>
      <c r="AF305" s="92">
        <f t="shared" si="1089"/>
        <v>0</v>
      </c>
      <c r="AG305" s="92">
        <f t="shared" si="1089"/>
        <v>0</v>
      </c>
      <c r="AH305" s="92">
        <f t="shared" si="1089"/>
        <v>0</v>
      </c>
      <c r="AI305" s="92">
        <f t="shared" si="1089"/>
        <v>0</v>
      </c>
      <c r="AJ305" s="92">
        <f t="shared" si="1088"/>
        <v>0</v>
      </c>
      <c r="AK305" s="92">
        <f t="shared" si="1088"/>
        <v>0</v>
      </c>
      <c r="AL305" s="92">
        <f t="shared" si="1088"/>
        <v>0</v>
      </c>
      <c r="AM305" s="92">
        <f t="shared" si="1088"/>
        <v>0</v>
      </c>
      <c r="AN305" s="92">
        <f t="shared" si="1088"/>
        <v>0</v>
      </c>
      <c r="AO305" s="92">
        <f t="shared" si="1088"/>
        <v>0</v>
      </c>
      <c r="AP305" s="92">
        <f t="shared" si="1088"/>
        <v>0</v>
      </c>
      <c r="AQ305" s="92">
        <f t="shared" si="1088"/>
        <v>0</v>
      </c>
      <c r="AR305" s="92">
        <f t="shared" si="1088"/>
        <v>0</v>
      </c>
      <c r="AS305" s="31" t="str">
        <f t="shared" si="1019"/>
        <v>SimulationStorage,1,</v>
      </c>
      <c r="AT305" s="31" t="str">
        <f t="shared" si="1020"/>
        <v>AnalysisStorage,1,</v>
      </c>
      <c r="AU305" s="31" t="str">
        <f t="shared" si="1021"/>
        <v>LogRuleEvaluation,0,</v>
      </c>
      <c r="AV305" s="31" t="str">
        <f t="shared" si="1022"/>
        <v>ParallelSimulations,1,</v>
      </c>
      <c r="AW305" s="31" t="str">
        <f t="shared" si="1023"/>
        <v>DurationStats,0,</v>
      </c>
      <c r="AX305" s="31" t="str">
        <f t="shared" si="1024"/>
        <v>AnalysisThruStep,8,</v>
      </c>
      <c r="AY305" s="31" t="str">
        <f t="shared" si="1025"/>
        <v>DontAbortOnErrorsThruStep,8,</v>
      </c>
      <c r="AZ305" s="31" t="str">
        <f t="shared" si="1026"/>
        <v>BypassValidFileChecks,1,</v>
      </c>
      <c r="BA305" s="31" t="str">
        <f t="shared" si="1027"/>
        <v>BypassInputChecks,0,</v>
      </c>
      <c r="BB305" s="31" t="str">
        <f t="shared" si="1028"/>
        <v>BypassUMLHChecks,0,</v>
      </c>
      <c r="BC305" s="31" t="str">
        <f t="shared" si="1029"/>
        <v>BypassCheckSimRules,0,</v>
      </c>
      <c r="BD305" s="31" t="str">
        <f t="shared" si="1030"/>
        <v>BypassCheckCodeRules,0,</v>
      </c>
      <c r="BE305" s="31" t="str">
        <f t="shared" si="1031"/>
        <v>StoreResultsToModelInput,1,</v>
      </c>
      <c r="BF305" s="31" t="str">
        <f t="shared" si="1032"/>
        <v>StoreBEMDetails,0,</v>
      </c>
      <c r="BG305" s="31" t="str">
        <f t="shared" si="1033"/>
        <v>ModelRpt_ALL,1,</v>
      </c>
      <c r="BH305" s="31" t="str">
        <f t="shared" si="1034"/>
        <v>ExportHourlyResults_All,0,</v>
      </c>
      <c r="BI305" s="31" t="str">
        <f t="shared" si="1035"/>
        <v>ComplianceReportPDF,0,</v>
      </c>
      <c r="BJ305" s="31" t="str">
        <f t="shared" si="1036"/>
        <v>ComplianceReportXML,0,</v>
      </c>
      <c r="BK305" s="31" t="str">
        <f t="shared" si="1037"/>
        <v>QuickAnalysis,0,</v>
      </c>
      <c r="BL305" s="31" t="str">
        <f t="shared" si="1038"/>
        <v>PromptUserUMLHWarning,0,</v>
      </c>
      <c r="BM305" s="31" t="str">
        <f t="shared" si="1039"/>
        <v>BypassOpenStudio_all,0,</v>
      </c>
      <c r="BN305" s="31" t="str">
        <f t="shared" si="1040"/>
        <v>BypassOpenStudio_zp,0,</v>
      </c>
      <c r="BO305" s="31" t="str">
        <f t="shared" si="1041"/>
        <v>BypassOpenStudio_zb,0,</v>
      </c>
      <c r="BP305" s="31" t="str">
        <f t="shared" si="1042"/>
        <v>BypassOpenStudio_ap,0,</v>
      </c>
      <c r="BQ305" s="31" t="str">
        <f t="shared" si="1043"/>
        <v>BypassOpenStudio_ab,0,</v>
      </c>
      <c r="BR305" s="31" t="str">
        <f t="shared" si="1044"/>
        <v>BypassOpenStudio_zp,0,</v>
      </c>
      <c r="BS305" s="31" t="str">
        <f t="shared" si="1045"/>
        <v>BypassOpenStudio_zb,0,</v>
      </c>
      <c r="BT305" s="31" t="str">
        <f t="shared" si="1046"/>
        <v>BypassOpenStudio_ap,0,</v>
      </c>
      <c r="BU305" s="31" t="str">
        <f t="shared" si="1047"/>
        <v>BypassOpenStudio_ab,0,</v>
      </c>
    </row>
    <row r="306" spans="1:73" outlineLevel="1" x14ac:dyDescent="0.25">
      <c r="A306" s="39">
        <f t="shared" si="1015"/>
        <v>1</v>
      </c>
      <c r="B306" s="27" t="str">
        <f t="shared" si="1048"/>
        <v>SoftwareSensitivity2016Tests\SimplifiedGeometry\0511615-RetlMed-SG-SRR5.cibd16</v>
      </c>
      <c r="C306" s="27" t="str">
        <f t="shared" si="1049"/>
        <v>BatchOut_171026_r5178_FinalRel-v3-SSTSG_SSTSG\0511615-RetlMed-SG-SRR5.cibd16</v>
      </c>
      <c r="D306" s="27" t="str">
        <f t="shared" si="1050"/>
        <v>BatchOut_171026_r5178_FinalRel-v3-SSTSG_SSTSG\XML\</v>
      </c>
      <c r="E306" s="9" t="str">
        <f t="shared" si="1051"/>
        <v>0511615-RetlMed-SG-SRR5</v>
      </c>
      <c r="F306" s="22"/>
      <c r="G306" s="29"/>
      <c r="H306" s="23" t="str">
        <f t="shared" si="1052"/>
        <v/>
      </c>
      <c r="I306" s="9" t="s">
        <v>11</v>
      </c>
      <c r="J30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6" s="15" t="s">
        <v>1</v>
      </c>
      <c r="L306" s="92">
        <f t="shared" si="1055"/>
        <v>1</v>
      </c>
      <c r="M306" s="91" t="str">
        <f t="shared" si="1053"/>
        <v>0511615-RetlMed-SG-SRR5</v>
      </c>
      <c r="N306" s="90" t="s">
        <v>206</v>
      </c>
      <c r="O306" s="90" t="str">
        <f t="shared" si="1017"/>
        <v>0511615-RetlMed-SG-SRR5</v>
      </c>
      <c r="P306" s="92">
        <f t="shared" si="1089"/>
        <v>1</v>
      </c>
      <c r="Q306" s="92">
        <f t="shared" si="1089"/>
        <v>1</v>
      </c>
      <c r="R306" s="92">
        <f t="shared" si="1089"/>
        <v>0</v>
      </c>
      <c r="S306" s="92">
        <f t="shared" si="1089"/>
        <v>1</v>
      </c>
      <c r="T306" s="92">
        <f t="shared" si="1089"/>
        <v>0</v>
      </c>
      <c r="U306" s="92">
        <f t="shared" si="1089"/>
        <v>8</v>
      </c>
      <c r="V306" s="92">
        <f t="shared" si="1089"/>
        <v>8</v>
      </c>
      <c r="W306" s="92">
        <f t="shared" si="1089"/>
        <v>1</v>
      </c>
      <c r="X306" s="92">
        <f t="shared" si="1089"/>
        <v>0</v>
      </c>
      <c r="Y306" s="92">
        <f t="shared" si="1089"/>
        <v>0</v>
      </c>
      <c r="Z306" s="92">
        <f t="shared" si="1089"/>
        <v>0</v>
      </c>
      <c r="AA306" s="92">
        <f t="shared" si="1089"/>
        <v>0</v>
      </c>
      <c r="AB306" s="92">
        <f t="shared" si="1089"/>
        <v>1</v>
      </c>
      <c r="AC306" s="92">
        <f t="shared" si="1089"/>
        <v>0</v>
      </c>
      <c r="AD306" s="92">
        <f t="shared" si="1089"/>
        <v>1</v>
      </c>
      <c r="AE306" s="92">
        <f t="shared" si="1089"/>
        <v>0</v>
      </c>
      <c r="AF306" s="92">
        <f t="shared" si="1089"/>
        <v>0</v>
      </c>
      <c r="AG306" s="92">
        <f t="shared" si="1089"/>
        <v>0</v>
      </c>
      <c r="AH306" s="92">
        <f t="shared" si="1089"/>
        <v>0</v>
      </c>
      <c r="AI306" s="92">
        <f t="shared" si="1089"/>
        <v>0</v>
      </c>
      <c r="AJ306" s="92">
        <f t="shared" si="1088"/>
        <v>0</v>
      </c>
      <c r="AK306" s="92">
        <f t="shared" si="1088"/>
        <v>0</v>
      </c>
      <c r="AL306" s="92">
        <f t="shared" si="1088"/>
        <v>0</v>
      </c>
      <c r="AM306" s="92">
        <f t="shared" si="1088"/>
        <v>0</v>
      </c>
      <c r="AN306" s="92">
        <f t="shared" si="1088"/>
        <v>0</v>
      </c>
      <c r="AO306" s="92">
        <f t="shared" si="1088"/>
        <v>0</v>
      </c>
      <c r="AP306" s="92">
        <f t="shared" si="1088"/>
        <v>0</v>
      </c>
      <c r="AQ306" s="92">
        <f t="shared" si="1088"/>
        <v>0</v>
      </c>
      <c r="AR306" s="92">
        <f t="shared" si="1088"/>
        <v>0</v>
      </c>
      <c r="AS306" s="31" t="str">
        <f t="shared" si="1019"/>
        <v>SimulationStorage,1,</v>
      </c>
      <c r="AT306" s="31" t="str">
        <f t="shared" si="1020"/>
        <v>AnalysisStorage,1,</v>
      </c>
      <c r="AU306" s="31" t="str">
        <f t="shared" si="1021"/>
        <v>LogRuleEvaluation,0,</v>
      </c>
      <c r="AV306" s="31" t="str">
        <f t="shared" si="1022"/>
        <v>ParallelSimulations,1,</v>
      </c>
      <c r="AW306" s="31" t="str">
        <f t="shared" si="1023"/>
        <v>DurationStats,0,</v>
      </c>
      <c r="AX306" s="31" t="str">
        <f t="shared" si="1024"/>
        <v>AnalysisThruStep,8,</v>
      </c>
      <c r="AY306" s="31" t="str">
        <f t="shared" si="1025"/>
        <v>DontAbortOnErrorsThruStep,8,</v>
      </c>
      <c r="AZ306" s="31" t="str">
        <f t="shared" si="1026"/>
        <v>BypassValidFileChecks,1,</v>
      </c>
      <c r="BA306" s="31" t="str">
        <f t="shared" si="1027"/>
        <v>BypassInputChecks,0,</v>
      </c>
      <c r="BB306" s="31" t="str">
        <f t="shared" si="1028"/>
        <v>BypassUMLHChecks,0,</v>
      </c>
      <c r="BC306" s="31" t="str">
        <f t="shared" si="1029"/>
        <v>BypassCheckSimRules,0,</v>
      </c>
      <c r="BD306" s="31" t="str">
        <f t="shared" si="1030"/>
        <v>BypassCheckCodeRules,0,</v>
      </c>
      <c r="BE306" s="31" t="str">
        <f t="shared" si="1031"/>
        <v>StoreResultsToModelInput,1,</v>
      </c>
      <c r="BF306" s="31" t="str">
        <f t="shared" si="1032"/>
        <v>StoreBEMDetails,0,</v>
      </c>
      <c r="BG306" s="31" t="str">
        <f t="shared" si="1033"/>
        <v>ModelRpt_ALL,1,</v>
      </c>
      <c r="BH306" s="31" t="str">
        <f t="shared" si="1034"/>
        <v>ExportHourlyResults_All,0,</v>
      </c>
      <c r="BI306" s="31" t="str">
        <f t="shared" si="1035"/>
        <v>ComplianceReportPDF,0,</v>
      </c>
      <c r="BJ306" s="31" t="str">
        <f t="shared" si="1036"/>
        <v>ComplianceReportXML,0,</v>
      </c>
      <c r="BK306" s="31" t="str">
        <f t="shared" si="1037"/>
        <v>QuickAnalysis,0,</v>
      </c>
      <c r="BL306" s="31" t="str">
        <f t="shared" si="1038"/>
        <v>PromptUserUMLHWarning,0,</v>
      </c>
      <c r="BM306" s="31" t="str">
        <f t="shared" si="1039"/>
        <v>BypassOpenStudio_all,0,</v>
      </c>
      <c r="BN306" s="31" t="str">
        <f t="shared" si="1040"/>
        <v>BypassOpenStudio_zp,0,</v>
      </c>
      <c r="BO306" s="31" t="str">
        <f t="shared" si="1041"/>
        <v>BypassOpenStudio_zb,0,</v>
      </c>
      <c r="BP306" s="31" t="str">
        <f t="shared" si="1042"/>
        <v>BypassOpenStudio_ap,0,</v>
      </c>
      <c r="BQ306" s="31" t="str">
        <f t="shared" si="1043"/>
        <v>BypassOpenStudio_ab,0,</v>
      </c>
      <c r="BR306" s="31" t="str">
        <f t="shared" si="1044"/>
        <v>BypassOpenStudio_zp,0,</v>
      </c>
      <c r="BS306" s="31" t="str">
        <f t="shared" si="1045"/>
        <v>BypassOpenStudio_zb,0,</v>
      </c>
      <c r="BT306" s="31" t="str">
        <f t="shared" si="1046"/>
        <v>BypassOpenStudio_ap,0,</v>
      </c>
      <c r="BU306" s="31" t="str">
        <f t="shared" si="1047"/>
        <v>BypassOpenStudio_ab,0,</v>
      </c>
    </row>
    <row r="307" spans="1:73" outlineLevel="1" x14ac:dyDescent="0.25">
      <c r="A307" s="39">
        <f t="shared" si="1015"/>
        <v>1</v>
      </c>
      <c r="B307" s="27" t="str">
        <f t="shared" si="1048"/>
        <v>SoftwareSensitivity2016Tests\SimplifiedGeometry\0511806-RetlMed-SG-SRR5.cibd16</v>
      </c>
      <c r="C307" s="27" t="str">
        <f t="shared" si="1049"/>
        <v>BatchOut_171026_r5178_FinalRel-v3-SSTSG_SSTSG\0511806-RetlMed-SG-SRR5.cibd16</v>
      </c>
      <c r="D307" s="27" t="str">
        <f t="shared" si="1050"/>
        <v>BatchOut_171026_r5178_FinalRel-v3-SSTSG_SSTSG\XML\</v>
      </c>
      <c r="E307" s="9" t="str">
        <f t="shared" si="1051"/>
        <v>0511806-RetlMed-SG-SRR5</v>
      </c>
      <c r="F307" s="22"/>
      <c r="G307" s="29"/>
      <c r="H307" s="23" t="str">
        <f t="shared" si="1052"/>
        <v/>
      </c>
      <c r="I307" s="9" t="s">
        <v>11</v>
      </c>
      <c r="J30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7" s="15" t="s">
        <v>1</v>
      </c>
      <c r="L307" s="92">
        <f t="shared" si="1055"/>
        <v>1</v>
      </c>
      <c r="M307" s="91" t="str">
        <f t="shared" si="1053"/>
        <v>0511806-RetlMed-SG-SRR5</v>
      </c>
      <c r="N307" s="90" t="s">
        <v>207</v>
      </c>
      <c r="O307" s="90" t="str">
        <f t="shared" si="1017"/>
        <v>0511806-RetlMed-SG-SRR5</v>
      </c>
      <c r="P307" s="92">
        <f t="shared" si="1089"/>
        <v>1</v>
      </c>
      <c r="Q307" s="92">
        <f t="shared" si="1089"/>
        <v>1</v>
      </c>
      <c r="R307" s="92">
        <f t="shared" si="1089"/>
        <v>0</v>
      </c>
      <c r="S307" s="92">
        <f t="shared" si="1089"/>
        <v>1</v>
      </c>
      <c r="T307" s="92">
        <f t="shared" si="1089"/>
        <v>0</v>
      </c>
      <c r="U307" s="92">
        <f t="shared" si="1089"/>
        <v>8</v>
      </c>
      <c r="V307" s="92">
        <f t="shared" si="1089"/>
        <v>8</v>
      </c>
      <c r="W307" s="92">
        <f t="shared" si="1089"/>
        <v>1</v>
      </c>
      <c r="X307" s="92">
        <f t="shared" si="1089"/>
        <v>0</v>
      </c>
      <c r="Y307" s="92">
        <f t="shared" si="1089"/>
        <v>0</v>
      </c>
      <c r="Z307" s="92">
        <f t="shared" si="1089"/>
        <v>0</v>
      </c>
      <c r="AA307" s="92">
        <f t="shared" si="1089"/>
        <v>0</v>
      </c>
      <c r="AB307" s="92">
        <f t="shared" si="1089"/>
        <v>1</v>
      </c>
      <c r="AC307" s="92">
        <f t="shared" si="1089"/>
        <v>0</v>
      </c>
      <c r="AD307" s="92">
        <f t="shared" si="1089"/>
        <v>1</v>
      </c>
      <c r="AE307" s="92">
        <f t="shared" si="1089"/>
        <v>0</v>
      </c>
      <c r="AF307" s="92">
        <f t="shared" si="1089"/>
        <v>0</v>
      </c>
      <c r="AG307" s="92">
        <f t="shared" si="1089"/>
        <v>0</v>
      </c>
      <c r="AH307" s="92">
        <f t="shared" si="1089"/>
        <v>0</v>
      </c>
      <c r="AI307" s="92">
        <f t="shared" si="1089"/>
        <v>0</v>
      </c>
      <c r="AJ307" s="92">
        <f t="shared" si="1088"/>
        <v>0</v>
      </c>
      <c r="AK307" s="92">
        <f t="shared" si="1088"/>
        <v>0</v>
      </c>
      <c r="AL307" s="92">
        <f t="shared" si="1088"/>
        <v>0</v>
      </c>
      <c r="AM307" s="92">
        <f t="shared" si="1088"/>
        <v>0</v>
      </c>
      <c r="AN307" s="92">
        <f t="shared" si="1088"/>
        <v>0</v>
      </c>
      <c r="AO307" s="92">
        <f t="shared" si="1088"/>
        <v>0</v>
      </c>
      <c r="AP307" s="92">
        <f t="shared" si="1088"/>
        <v>0</v>
      </c>
      <c r="AQ307" s="92">
        <f t="shared" si="1088"/>
        <v>0</v>
      </c>
      <c r="AR307" s="92">
        <f t="shared" si="1088"/>
        <v>0</v>
      </c>
      <c r="AS307" s="31" t="str">
        <f t="shared" si="1019"/>
        <v>SimulationStorage,1,</v>
      </c>
      <c r="AT307" s="31" t="str">
        <f t="shared" si="1020"/>
        <v>AnalysisStorage,1,</v>
      </c>
      <c r="AU307" s="31" t="str">
        <f t="shared" si="1021"/>
        <v>LogRuleEvaluation,0,</v>
      </c>
      <c r="AV307" s="31" t="str">
        <f t="shared" si="1022"/>
        <v>ParallelSimulations,1,</v>
      </c>
      <c r="AW307" s="31" t="str">
        <f t="shared" si="1023"/>
        <v>DurationStats,0,</v>
      </c>
      <c r="AX307" s="31" t="str">
        <f t="shared" si="1024"/>
        <v>AnalysisThruStep,8,</v>
      </c>
      <c r="AY307" s="31" t="str">
        <f t="shared" si="1025"/>
        <v>DontAbortOnErrorsThruStep,8,</v>
      </c>
      <c r="AZ307" s="31" t="str">
        <f t="shared" si="1026"/>
        <v>BypassValidFileChecks,1,</v>
      </c>
      <c r="BA307" s="31" t="str">
        <f t="shared" si="1027"/>
        <v>BypassInputChecks,0,</v>
      </c>
      <c r="BB307" s="31" t="str">
        <f t="shared" si="1028"/>
        <v>BypassUMLHChecks,0,</v>
      </c>
      <c r="BC307" s="31" t="str">
        <f t="shared" si="1029"/>
        <v>BypassCheckSimRules,0,</v>
      </c>
      <c r="BD307" s="31" t="str">
        <f t="shared" si="1030"/>
        <v>BypassCheckCodeRules,0,</v>
      </c>
      <c r="BE307" s="31" t="str">
        <f t="shared" si="1031"/>
        <v>StoreResultsToModelInput,1,</v>
      </c>
      <c r="BF307" s="31" t="str">
        <f t="shared" si="1032"/>
        <v>StoreBEMDetails,0,</v>
      </c>
      <c r="BG307" s="31" t="str">
        <f t="shared" si="1033"/>
        <v>ModelRpt_ALL,1,</v>
      </c>
      <c r="BH307" s="31" t="str">
        <f t="shared" si="1034"/>
        <v>ExportHourlyResults_All,0,</v>
      </c>
      <c r="BI307" s="31" t="str">
        <f t="shared" si="1035"/>
        <v>ComplianceReportPDF,0,</v>
      </c>
      <c r="BJ307" s="31" t="str">
        <f t="shared" si="1036"/>
        <v>ComplianceReportXML,0,</v>
      </c>
      <c r="BK307" s="31" t="str">
        <f t="shared" si="1037"/>
        <v>QuickAnalysis,0,</v>
      </c>
      <c r="BL307" s="31" t="str">
        <f t="shared" si="1038"/>
        <v>PromptUserUMLHWarning,0,</v>
      </c>
      <c r="BM307" s="31" t="str">
        <f t="shared" si="1039"/>
        <v>BypassOpenStudio_all,0,</v>
      </c>
      <c r="BN307" s="31" t="str">
        <f t="shared" si="1040"/>
        <v>BypassOpenStudio_zp,0,</v>
      </c>
      <c r="BO307" s="31" t="str">
        <f t="shared" si="1041"/>
        <v>BypassOpenStudio_zb,0,</v>
      </c>
      <c r="BP307" s="31" t="str">
        <f t="shared" si="1042"/>
        <v>BypassOpenStudio_ap,0,</v>
      </c>
      <c r="BQ307" s="31" t="str">
        <f t="shared" si="1043"/>
        <v>BypassOpenStudio_ab,0,</v>
      </c>
      <c r="BR307" s="31" t="str">
        <f t="shared" si="1044"/>
        <v>BypassOpenStudio_zp,0,</v>
      </c>
      <c r="BS307" s="31" t="str">
        <f t="shared" si="1045"/>
        <v>BypassOpenStudio_zb,0,</v>
      </c>
      <c r="BT307" s="31" t="str">
        <f t="shared" si="1046"/>
        <v>BypassOpenStudio_ap,0,</v>
      </c>
      <c r="BU307" s="31" t="str">
        <f t="shared" si="1047"/>
        <v>BypassOpenStudio_ab,0,</v>
      </c>
    </row>
    <row r="308" spans="1:73" outlineLevel="1" x14ac:dyDescent="0.25">
      <c r="A308" s="39">
        <f t="shared" si="1015"/>
        <v>1</v>
      </c>
      <c r="B308" s="27" t="str">
        <f t="shared" si="1048"/>
        <v>SoftwareSensitivity2016Tests\SimplifiedGeometry\0511915-RetlMed-SG-SRR1.cibd16</v>
      </c>
      <c r="C308" s="27" t="str">
        <f t="shared" si="1049"/>
        <v>BatchOut_171026_r5178_FinalRel-v3-SSTSG_SSTSG\0511915-RetlMed-SG-SRR1.cibd16</v>
      </c>
      <c r="D308" s="27" t="str">
        <f t="shared" si="1050"/>
        <v>BatchOut_171026_r5178_FinalRel-v3-SSTSG_SSTSG\XML\</v>
      </c>
      <c r="E308" s="9" t="str">
        <f t="shared" si="1051"/>
        <v>0511915-RetlMed-SG-SRR1</v>
      </c>
      <c r="F308" s="22"/>
      <c r="G308" s="29"/>
      <c r="H308" s="23" t="str">
        <f t="shared" si="1052"/>
        <v/>
      </c>
      <c r="I308" s="9" t="s">
        <v>11</v>
      </c>
      <c r="J30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8" s="15" t="s">
        <v>1</v>
      </c>
      <c r="L308" s="92">
        <f t="shared" si="1055"/>
        <v>1</v>
      </c>
      <c r="M308" s="91" t="str">
        <f t="shared" si="1053"/>
        <v>0511915-RetlMed-SG-SRR1</v>
      </c>
      <c r="N308" s="90" t="s">
        <v>208</v>
      </c>
      <c r="O308" s="90" t="str">
        <f t="shared" si="1017"/>
        <v>0511915-RetlMed-SG-SRR1</v>
      </c>
      <c r="P308" s="92">
        <f t="shared" si="1089"/>
        <v>1</v>
      </c>
      <c r="Q308" s="92">
        <f t="shared" si="1089"/>
        <v>1</v>
      </c>
      <c r="R308" s="92">
        <f t="shared" si="1089"/>
        <v>0</v>
      </c>
      <c r="S308" s="92">
        <f t="shared" si="1089"/>
        <v>1</v>
      </c>
      <c r="T308" s="92">
        <f t="shared" si="1089"/>
        <v>0</v>
      </c>
      <c r="U308" s="92">
        <f t="shared" si="1089"/>
        <v>8</v>
      </c>
      <c r="V308" s="92">
        <f t="shared" si="1089"/>
        <v>8</v>
      </c>
      <c r="W308" s="92">
        <f t="shared" si="1089"/>
        <v>1</v>
      </c>
      <c r="X308" s="92">
        <f t="shared" si="1089"/>
        <v>0</v>
      </c>
      <c r="Y308" s="92">
        <f t="shared" si="1089"/>
        <v>0</v>
      </c>
      <c r="Z308" s="92">
        <f t="shared" si="1089"/>
        <v>0</v>
      </c>
      <c r="AA308" s="92">
        <f t="shared" si="1089"/>
        <v>0</v>
      </c>
      <c r="AB308" s="92">
        <f t="shared" si="1089"/>
        <v>1</v>
      </c>
      <c r="AC308" s="92">
        <f t="shared" si="1089"/>
        <v>0</v>
      </c>
      <c r="AD308" s="92">
        <f t="shared" si="1089"/>
        <v>1</v>
      </c>
      <c r="AE308" s="92">
        <f t="shared" si="1089"/>
        <v>0</v>
      </c>
      <c r="AF308" s="92">
        <f t="shared" si="1089"/>
        <v>0</v>
      </c>
      <c r="AG308" s="92">
        <f t="shared" si="1089"/>
        <v>0</v>
      </c>
      <c r="AH308" s="92">
        <f t="shared" si="1089"/>
        <v>0</v>
      </c>
      <c r="AI308" s="92">
        <f t="shared" si="1089"/>
        <v>0</v>
      </c>
      <c r="AJ308" s="92">
        <f t="shared" si="1088"/>
        <v>0</v>
      </c>
      <c r="AK308" s="92">
        <f t="shared" si="1088"/>
        <v>0</v>
      </c>
      <c r="AL308" s="92">
        <f t="shared" si="1088"/>
        <v>0</v>
      </c>
      <c r="AM308" s="92">
        <f t="shared" si="1088"/>
        <v>0</v>
      </c>
      <c r="AN308" s="92">
        <f t="shared" si="1088"/>
        <v>0</v>
      </c>
      <c r="AO308" s="92">
        <f t="shared" si="1088"/>
        <v>0</v>
      </c>
      <c r="AP308" s="92">
        <f t="shared" si="1088"/>
        <v>0</v>
      </c>
      <c r="AQ308" s="92">
        <f t="shared" si="1088"/>
        <v>0</v>
      </c>
      <c r="AR308" s="92">
        <f t="shared" si="1088"/>
        <v>0</v>
      </c>
      <c r="AS308" s="31" t="str">
        <f t="shared" si="1019"/>
        <v>SimulationStorage,1,</v>
      </c>
      <c r="AT308" s="31" t="str">
        <f t="shared" si="1020"/>
        <v>AnalysisStorage,1,</v>
      </c>
      <c r="AU308" s="31" t="str">
        <f t="shared" si="1021"/>
        <v>LogRuleEvaluation,0,</v>
      </c>
      <c r="AV308" s="31" t="str">
        <f t="shared" si="1022"/>
        <v>ParallelSimulations,1,</v>
      </c>
      <c r="AW308" s="31" t="str">
        <f t="shared" si="1023"/>
        <v>DurationStats,0,</v>
      </c>
      <c r="AX308" s="31" t="str">
        <f t="shared" si="1024"/>
        <v>AnalysisThruStep,8,</v>
      </c>
      <c r="AY308" s="31" t="str">
        <f t="shared" si="1025"/>
        <v>DontAbortOnErrorsThruStep,8,</v>
      </c>
      <c r="AZ308" s="31" t="str">
        <f t="shared" si="1026"/>
        <v>BypassValidFileChecks,1,</v>
      </c>
      <c r="BA308" s="31" t="str">
        <f t="shared" si="1027"/>
        <v>BypassInputChecks,0,</v>
      </c>
      <c r="BB308" s="31" t="str">
        <f t="shared" si="1028"/>
        <v>BypassUMLHChecks,0,</v>
      </c>
      <c r="BC308" s="31" t="str">
        <f t="shared" si="1029"/>
        <v>BypassCheckSimRules,0,</v>
      </c>
      <c r="BD308" s="31" t="str">
        <f t="shared" si="1030"/>
        <v>BypassCheckCodeRules,0,</v>
      </c>
      <c r="BE308" s="31" t="str">
        <f t="shared" si="1031"/>
        <v>StoreResultsToModelInput,1,</v>
      </c>
      <c r="BF308" s="31" t="str">
        <f t="shared" si="1032"/>
        <v>StoreBEMDetails,0,</v>
      </c>
      <c r="BG308" s="31" t="str">
        <f t="shared" si="1033"/>
        <v>ModelRpt_ALL,1,</v>
      </c>
      <c r="BH308" s="31" t="str">
        <f t="shared" si="1034"/>
        <v>ExportHourlyResults_All,0,</v>
      </c>
      <c r="BI308" s="31" t="str">
        <f t="shared" si="1035"/>
        <v>ComplianceReportPDF,0,</v>
      </c>
      <c r="BJ308" s="31" t="str">
        <f t="shared" si="1036"/>
        <v>ComplianceReportXML,0,</v>
      </c>
      <c r="BK308" s="31" t="str">
        <f t="shared" si="1037"/>
        <v>QuickAnalysis,0,</v>
      </c>
      <c r="BL308" s="31" t="str">
        <f t="shared" si="1038"/>
        <v>PromptUserUMLHWarning,0,</v>
      </c>
      <c r="BM308" s="31" t="str">
        <f t="shared" si="1039"/>
        <v>BypassOpenStudio_all,0,</v>
      </c>
      <c r="BN308" s="31" t="str">
        <f t="shared" si="1040"/>
        <v>BypassOpenStudio_zp,0,</v>
      </c>
      <c r="BO308" s="31" t="str">
        <f t="shared" si="1041"/>
        <v>BypassOpenStudio_zb,0,</v>
      </c>
      <c r="BP308" s="31" t="str">
        <f t="shared" si="1042"/>
        <v>BypassOpenStudio_ap,0,</v>
      </c>
      <c r="BQ308" s="31" t="str">
        <f t="shared" si="1043"/>
        <v>BypassOpenStudio_ab,0,</v>
      </c>
      <c r="BR308" s="31" t="str">
        <f t="shared" si="1044"/>
        <v>BypassOpenStudio_zp,0,</v>
      </c>
      <c r="BS308" s="31" t="str">
        <f t="shared" si="1045"/>
        <v>BypassOpenStudio_zb,0,</v>
      </c>
      <c r="BT308" s="31" t="str">
        <f t="shared" si="1046"/>
        <v>BypassOpenStudio_ap,0,</v>
      </c>
      <c r="BU308" s="31" t="str">
        <f t="shared" si="1047"/>
        <v>BypassOpenStudio_ab,0,</v>
      </c>
    </row>
    <row r="309" spans="1:73" outlineLevel="1" x14ac:dyDescent="0.25">
      <c r="A309" s="39">
        <f t="shared" si="1015"/>
        <v>1</v>
      </c>
      <c r="B309" s="27" t="str">
        <f t="shared" si="1048"/>
        <v>SoftwareSensitivity2016Tests\SimplifiedGeometry\0512106-RetlMed-SG-SRR1.cibd16</v>
      </c>
      <c r="C309" s="27" t="str">
        <f t="shared" si="1049"/>
        <v>BatchOut_171026_r5178_FinalRel-v3-SSTSG_SSTSG\0512106-RetlMed-SG-SRR1.cibd16</v>
      </c>
      <c r="D309" s="27" t="str">
        <f t="shared" si="1050"/>
        <v>BatchOut_171026_r5178_FinalRel-v3-SSTSG_SSTSG\XML\</v>
      </c>
      <c r="E309" s="9" t="str">
        <f t="shared" si="1051"/>
        <v>0512106-RetlMed-SG-SRR1</v>
      </c>
      <c r="F309" s="22"/>
      <c r="G309" s="29"/>
      <c r="H309" s="23" t="str">
        <f t="shared" si="1052"/>
        <v/>
      </c>
      <c r="I309" s="9" t="s">
        <v>11</v>
      </c>
      <c r="J30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9" s="15" t="s">
        <v>1</v>
      </c>
      <c r="L309" s="92">
        <f t="shared" si="1055"/>
        <v>1</v>
      </c>
      <c r="M309" s="91" t="str">
        <f t="shared" si="1053"/>
        <v>0512106-RetlMed-SG-SRR1</v>
      </c>
      <c r="N309" s="90" t="s">
        <v>209</v>
      </c>
      <c r="O309" s="90" t="str">
        <f t="shared" si="1017"/>
        <v>0512106-RetlMed-SG-SRR1</v>
      </c>
      <c r="P309" s="92">
        <f t="shared" si="1089"/>
        <v>1</v>
      </c>
      <c r="Q309" s="92">
        <f t="shared" si="1089"/>
        <v>1</v>
      </c>
      <c r="R309" s="92">
        <f t="shared" si="1089"/>
        <v>0</v>
      </c>
      <c r="S309" s="92">
        <f t="shared" si="1089"/>
        <v>1</v>
      </c>
      <c r="T309" s="92">
        <f t="shared" si="1089"/>
        <v>0</v>
      </c>
      <c r="U309" s="92">
        <f t="shared" si="1089"/>
        <v>8</v>
      </c>
      <c r="V309" s="92">
        <f t="shared" si="1089"/>
        <v>8</v>
      </c>
      <c r="W309" s="92">
        <f t="shared" si="1089"/>
        <v>1</v>
      </c>
      <c r="X309" s="92">
        <f t="shared" si="1089"/>
        <v>0</v>
      </c>
      <c r="Y309" s="92">
        <f t="shared" si="1089"/>
        <v>0</v>
      </c>
      <c r="Z309" s="92">
        <f t="shared" si="1089"/>
        <v>0</v>
      </c>
      <c r="AA309" s="92">
        <f t="shared" si="1089"/>
        <v>0</v>
      </c>
      <c r="AB309" s="92">
        <f t="shared" si="1089"/>
        <v>1</v>
      </c>
      <c r="AC309" s="92">
        <f t="shared" si="1089"/>
        <v>0</v>
      </c>
      <c r="AD309" s="92">
        <f t="shared" si="1089"/>
        <v>1</v>
      </c>
      <c r="AE309" s="92">
        <f t="shared" si="1089"/>
        <v>0</v>
      </c>
      <c r="AF309" s="92">
        <f t="shared" si="1089"/>
        <v>0</v>
      </c>
      <c r="AG309" s="92">
        <f t="shared" si="1089"/>
        <v>0</v>
      </c>
      <c r="AH309" s="92">
        <f t="shared" si="1089"/>
        <v>0</v>
      </c>
      <c r="AI309" s="92">
        <f t="shared" si="1089"/>
        <v>0</v>
      </c>
      <c r="AJ309" s="92">
        <f t="shared" si="1088"/>
        <v>0</v>
      </c>
      <c r="AK309" s="92">
        <f t="shared" si="1088"/>
        <v>0</v>
      </c>
      <c r="AL309" s="92">
        <f t="shared" si="1088"/>
        <v>0</v>
      </c>
      <c r="AM309" s="92">
        <f t="shared" si="1088"/>
        <v>0</v>
      </c>
      <c r="AN309" s="92">
        <f t="shared" si="1088"/>
        <v>0</v>
      </c>
      <c r="AO309" s="92">
        <f t="shared" si="1088"/>
        <v>0</v>
      </c>
      <c r="AP309" s="92">
        <f t="shared" si="1088"/>
        <v>0</v>
      </c>
      <c r="AQ309" s="92">
        <f t="shared" si="1088"/>
        <v>0</v>
      </c>
      <c r="AR309" s="92">
        <f t="shared" si="1088"/>
        <v>0</v>
      </c>
      <c r="AS309" s="31" t="str">
        <f t="shared" si="1019"/>
        <v>SimulationStorage,1,</v>
      </c>
      <c r="AT309" s="31" t="str">
        <f t="shared" si="1020"/>
        <v>AnalysisStorage,1,</v>
      </c>
      <c r="AU309" s="31" t="str">
        <f t="shared" si="1021"/>
        <v>LogRuleEvaluation,0,</v>
      </c>
      <c r="AV309" s="31" t="str">
        <f t="shared" si="1022"/>
        <v>ParallelSimulations,1,</v>
      </c>
      <c r="AW309" s="31" t="str">
        <f t="shared" si="1023"/>
        <v>DurationStats,0,</v>
      </c>
      <c r="AX309" s="31" t="str">
        <f t="shared" si="1024"/>
        <v>AnalysisThruStep,8,</v>
      </c>
      <c r="AY309" s="31" t="str">
        <f t="shared" si="1025"/>
        <v>DontAbortOnErrorsThruStep,8,</v>
      </c>
      <c r="AZ309" s="31" t="str">
        <f t="shared" si="1026"/>
        <v>BypassValidFileChecks,1,</v>
      </c>
      <c r="BA309" s="31" t="str">
        <f t="shared" si="1027"/>
        <v>BypassInputChecks,0,</v>
      </c>
      <c r="BB309" s="31" t="str">
        <f t="shared" si="1028"/>
        <v>BypassUMLHChecks,0,</v>
      </c>
      <c r="BC309" s="31" t="str">
        <f t="shared" si="1029"/>
        <v>BypassCheckSimRules,0,</v>
      </c>
      <c r="BD309" s="31" t="str">
        <f t="shared" si="1030"/>
        <v>BypassCheckCodeRules,0,</v>
      </c>
      <c r="BE309" s="31" t="str">
        <f t="shared" si="1031"/>
        <v>StoreResultsToModelInput,1,</v>
      </c>
      <c r="BF309" s="31" t="str">
        <f t="shared" si="1032"/>
        <v>StoreBEMDetails,0,</v>
      </c>
      <c r="BG309" s="31" t="str">
        <f t="shared" si="1033"/>
        <v>ModelRpt_ALL,1,</v>
      </c>
      <c r="BH309" s="31" t="str">
        <f t="shared" si="1034"/>
        <v>ExportHourlyResults_All,0,</v>
      </c>
      <c r="BI309" s="31" t="str">
        <f t="shared" si="1035"/>
        <v>ComplianceReportPDF,0,</v>
      </c>
      <c r="BJ309" s="31" t="str">
        <f t="shared" si="1036"/>
        <v>ComplianceReportXML,0,</v>
      </c>
      <c r="BK309" s="31" t="str">
        <f t="shared" si="1037"/>
        <v>QuickAnalysis,0,</v>
      </c>
      <c r="BL309" s="31" t="str">
        <f t="shared" si="1038"/>
        <v>PromptUserUMLHWarning,0,</v>
      </c>
      <c r="BM309" s="31" t="str">
        <f t="shared" si="1039"/>
        <v>BypassOpenStudio_all,0,</v>
      </c>
      <c r="BN309" s="31" t="str">
        <f t="shared" si="1040"/>
        <v>BypassOpenStudio_zp,0,</v>
      </c>
      <c r="BO309" s="31" t="str">
        <f t="shared" si="1041"/>
        <v>BypassOpenStudio_zb,0,</v>
      </c>
      <c r="BP309" s="31" t="str">
        <f t="shared" si="1042"/>
        <v>BypassOpenStudio_ap,0,</v>
      </c>
      <c r="BQ309" s="31" t="str">
        <f t="shared" si="1043"/>
        <v>BypassOpenStudio_ab,0,</v>
      </c>
      <c r="BR309" s="31" t="str">
        <f t="shared" si="1044"/>
        <v>BypassOpenStudio_zp,0,</v>
      </c>
      <c r="BS309" s="31" t="str">
        <f t="shared" si="1045"/>
        <v>BypassOpenStudio_zb,0,</v>
      </c>
      <c r="BT309" s="31" t="str">
        <f t="shared" si="1046"/>
        <v>BypassOpenStudio_ap,0,</v>
      </c>
      <c r="BU309" s="31" t="str">
        <f t="shared" si="1047"/>
        <v>BypassOpenStudio_ab,0,</v>
      </c>
    </row>
    <row r="310" spans="1:73" outlineLevel="1" x14ac:dyDescent="0.25">
      <c r="A310" s="39">
        <f t="shared" si="1015"/>
        <v>1</v>
      </c>
      <c r="B310" s="27" t="str">
        <f t="shared" si="1048"/>
        <v>SoftwareSensitivity2016Tests\SimplifiedGeometry\0512215-RetlMed-SG-SkyU.cibd16</v>
      </c>
      <c r="C310" s="27" t="str">
        <f t="shared" si="1049"/>
        <v>BatchOut_171026_r5178_FinalRel-v3-SSTSG_SSTSG\0512215-RetlMed-SG-SkyU.cibd16</v>
      </c>
      <c r="D310" s="27" t="str">
        <f t="shared" si="1050"/>
        <v>BatchOut_171026_r5178_FinalRel-v3-SSTSG_SSTSG\XML\</v>
      </c>
      <c r="E310" s="9" t="str">
        <f t="shared" si="1051"/>
        <v>0512215-RetlMed-SG-SkyU</v>
      </c>
      <c r="F310" s="22"/>
      <c r="G310" s="29"/>
      <c r="H310" s="23" t="str">
        <f t="shared" si="1052"/>
        <v/>
      </c>
      <c r="I310" s="9" t="s">
        <v>11</v>
      </c>
      <c r="J31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0" s="15" t="s">
        <v>1</v>
      </c>
      <c r="L310" s="92">
        <f t="shared" si="1055"/>
        <v>1</v>
      </c>
      <c r="M310" s="91" t="str">
        <f t="shared" si="1053"/>
        <v>0512215-RetlMed-SG-SkyU</v>
      </c>
      <c r="N310" s="90" t="s">
        <v>210</v>
      </c>
      <c r="O310" s="90" t="str">
        <f t="shared" si="1017"/>
        <v>0512215-RetlMed-SG-SkyU</v>
      </c>
      <c r="P310" s="92">
        <f t="shared" si="1089"/>
        <v>1</v>
      </c>
      <c r="Q310" s="92">
        <f t="shared" si="1089"/>
        <v>1</v>
      </c>
      <c r="R310" s="92">
        <f t="shared" si="1089"/>
        <v>0</v>
      </c>
      <c r="S310" s="92">
        <f t="shared" si="1089"/>
        <v>1</v>
      </c>
      <c r="T310" s="92">
        <f t="shared" si="1089"/>
        <v>0</v>
      </c>
      <c r="U310" s="92">
        <f t="shared" si="1089"/>
        <v>8</v>
      </c>
      <c r="V310" s="92">
        <f t="shared" si="1089"/>
        <v>8</v>
      </c>
      <c r="W310" s="92">
        <f t="shared" si="1089"/>
        <v>1</v>
      </c>
      <c r="X310" s="92">
        <f t="shared" si="1089"/>
        <v>0</v>
      </c>
      <c r="Y310" s="92">
        <f t="shared" si="1089"/>
        <v>0</v>
      </c>
      <c r="Z310" s="92">
        <f t="shared" si="1089"/>
        <v>0</v>
      </c>
      <c r="AA310" s="92">
        <f t="shared" si="1089"/>
        <v>0</v>
      </c>
      <c r="AB310" s="92">
        <f t="shared" si="1089"/>
        <v>1</v>
      </c>
      <c r="AC310" s="92">
        <f t="shared" si="1089"/>
        <v>0</v>
      </c>
      <c r="AD310" s="92">
        <f t="shared" si="1089"/>
        <v>1</v>
      </c>
      <c r="AE310" s="92">
        <f t="shared" ref="AE310:AI310" si="1090">AE309</f>
        <v>0</v>
      </c>
      <c r="AF310" s="92">
        <f t="shared" si="1090"/>
        <v>0</v>
      </c>
      <c r="AG310" s="92">
        <f t="shared" si="1090"/>
        <v>0</v>
      </c>
      <c r="AH310" s="92">
        <f t="shared" si="1090"/>
        <v>0</v>
      </c>
      <c r="AI310" s="92">
        <f t="shared" si="1090"/>
        <v>0</v>
      </c>
      <c r="AJ310" s="92">
        <f t="shared" si="1088"/>
        <v>0</v>
      </c>
      <c r="AK310" s="92">
        <f t="shared" si="1088"/>
        <v>0</v>
      </c>
      <c r="AL310" s="92">
        <f t="shared" si="1088"/>
        <v>0</v>
      </c>
      <c r="AM310" s="92">
        <f t="shared" si="1088"/>
        <v>0</v>
      </c>
      <c r="AN310" s="92">
        <f t="shared" si="1088"/>
        <v>0</v>
      </c>
      <c r="AO310" s="92">
        <f t="shared" si="1088"/>
        <v>0</v>
      </c>
      <c r="AP310" s="92">
        <f t="shared" si="1088"/>
        <v>0</v>
      </c>
      <c r="AQ310" s="92">
        <f t="shared" si="1088"/>
        <v>0</v>
      </c>
      <c r="AR310" s="92">
        <f t="shared" si="1088"/>
        <v>0</v>
      </c>
      <c r="AS310" s="31" t="str">
        <f t="shared" si="1019"/>
        <v>SimulationStorage,1,</v>
      </c>
      <c r="AT310" s="31" t="str">
        <f t="shared" si="1020"/>
        <v>AnalysisStorage,1,</v>
      </c>
      <c r="AU310" s="31" t="str">
        <f t="shared" si="1021"/>
        <v>LogRuleEvaluation,0,</v>
      </c>
      <c r="AV310" s="31" t="str">
        <f t="shared" si="1022"/>
        <v>ParallelSimulations,1,</v>
      </c>
      <c r="AW310" s="31" t="str">
        <f t="shared" si="1023"/>
        <v>DurationStats,0,</v>
      </c>
      <c r="AX310" s="31" t="str">
        <f t="shared" si="1024"/>
        <v>AnalysisThruStep,8,</v>
      </c>
      <c r="AY310" s="31" t="str">
        <f t="shared" si="1025"/>
        <v>DontAbortOnErrorsThruStep,8,</v>
      </c>
      <c r="AZ310" s="31" t="str">
        <f t="shared" si="1026"/>
        <v>BypassValidFileChecks,1,</v>
      </c>
      <c r="BA310" s="31" t="str">
        <f t="shared" si="1027"/>
        <v>BypassInputChecks,0,</v>
      </c>
      <c r="BB310" s="31" t="str">
        <f t="shared" si="1028"/>
        <v>BypassUMLHChecks,0,</v>
      </c>
      <c r="BC310" s="31" t="str">
        <f t="shared" si="1029"/>
        <v>BypassCheckSimRules,0,</v>
      </c>
      <c r="BD310" s="31" t="str">
        <f t="shared" si="1030"/>
        <v>BypassCheckCodeRules,0,</v>
      </c>
      <c r="BE310" s="31" t="str">
        <f t="shared" si="1031"/>
        <v>StoreResultsToModelInput,1,</v>
      </c>
      <c r="BF310" s="31" t="str">
        <f t="shared" si="1032"/>
        <v>StoreBEMDetails,0,</v>
      </c>
      <c r="BG310" s="31" t="str">
        <f t="shared" si="1033"/>
        <v>ModelRpt_ALL,1,</v>
      </c>
      <c r="BH310" s="31" t="str">
        <f t="shared" si="1034"/>
        <v>ExportHourlyResults_All,0,</v>
      </c>
      <c r="BI310" s="31" t="str">
        <f t="shared" si="1035"/>
        <v>ComplianceReportPDF,0,</v>
      </c>
      <c r="BJ310" s="31" t="str">
        <f t="shared" si="1036"/>
        <v>ComplianceReportXML,0,</v>
      </c>
      <c r="BK310" s="31" t="str">
        <f t="shared" si="1037"/>
        <v>QuickAnalysis,0,</v>
      </c>
      <c r="BL310" s="31" t="str">
        <f t="shared" si="1038"/>
        <v>PromptUserUMLHWarning,0,</v>
      </c>
      <c r="BM310" s="31" t="str">
        <f t="shared" si="1039"/>
        <v>BypassOpenStudio_all,0,</v>
      </c>
      <c r="BN310" s="31" t="str">
        <f t="shared" si="1040"/>
        <v>BypassOpenStudio_zp,0,</v>
      </c>
      <c r="BO310" s="31" t="str">
        <f t="shared" si="1041"/>
        <v>BypassOpenStudio_zb,0,</v>
      </c>
      <c r="BP310" s="31" t="str">
        <f t="shared" si="1042"/>
        <v>BypassOpenStudio_ap,0,</v>
      </c>
      <c r="BQ310" s="31" t="str">
        <f t="shared" si="1043"/>
        <v>BypassOpenStudio_ab,0,</v>
      </c>
      <c r="BR310" s="31" t="str">
        <f t="shared" si="1044"/>
        <v>BypassOpenStudio_zp,0,</v>
      </c>
      <c r="BS310" s="31" t="str">
        <f t="shared" si="1045"/>
        <v>BypassOpenStudio_zb,0,</v>
      </c>
      <c r="BT310" s="31" t="str">
        <f t="shared" si="1046"/>
        <v>BypassOpenStudio_ap,0,</v>
      </c>
      <c r="BU310" s="31" t="str">
        <f t="shared" si="1047"/>
        <v>BypassOpenStudio_ab,0,</v>
      </c>
    </row>
    <row r="311" spans="1:73" outlineLevel="1" x14ac:dyDescent="0.25">
      <c r="A311" s="39">
        <f t="shared" si="1015"/>
        <v>1</v>
      </c>
      <c r="B311" s="27" t="str">
        <f t="shared" si="1048"/>
        <v>SoftwareSensitivity2016Tests\SimplifiedGeometry\0512406-RetlMed-SG-SkyU.cibd16</v>
      </c>
      <c r="C311" s="27" t="str">
        <f t="shared" si="1049"/>
        <v>BatchOut_171026_r5178_FinalRel-v3-SSTSG_SSTSG\0512406-RetlMed-SG-SkyU.cibd16</v>
      </c>
      <c r="D311" s="27" t="str">
        <f t="shared" si="1050"/>
        <v>BatchOut_171026_r5178_FinalRel-v3-SSTSG_SSTSG\XML\</v>
      </c>
      <c r="E311" s="9" t="str">
        <f t="shared" si="1051"/>
        <v>0512406-RetlMed-SG-SkyU</v>
      </c>
      <c r="F311" s="22"/>
      <c r="G311" s="29"/>
      <c r="H311" s="23" t="str">
        <f t="shared" si="1052"/>
        <v/>
      </c>
      <c r="I311" s="9" t="s">
        <v>11</v>
      </c>
      <c r="J31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1" s="15" t="s">
        <v>1</v>
      </c>
      <c r="L311" s="92">
        <f t="shared" si="1055"/>
        <v>1</v>
      </c>
      <c r="M311" s="91" t="str">
        <f t="shared" si="1053"/>
        <v>0512406-RetlMed-SG-SkyU</v>
      </c>
      <c r="N311" s="90" t="s">
        <v>211</v>
      </c>
      <c r="O311" s="90" t="str">
        <f t="shared" si="1017"/>
        <v>0512406-RetlMed-SG-SkyU</v>
      </c>
      <c r="P311" s="92">
        <f t="shared" ref="P311:AI323" si="1091">P310</f>
        <v>1</v>
      </c>
      <c r="Q311" s="92">
        <f t="shared" si="1091"/>
        <v>1</v>
      </c>
      <c r="R311" s="92">
        <f t="shared" si="1091"/>
        <v>0</v>
      </c>
      <c r="S311" s="92">
        <f t="shared" si="1091"/>
        <v>1</v>
      </c>
      <c r="T311" s="92">
        <f t="shared" si="1091"/>
        <v>0</v>
      </c>
      <c r="U311" s="92">
        <f t="shared" si="1091"/>
        <v>8</v>
      </c>
      <c r="V311" s="92">
        <f t="shared" si="1091"/>
        <v>8</v>
      </c>
      <c r="W311" s="92">
        <f t="shared" si="1091"/>
        <v>1</v>
      </c>
      <c r="X311" s="92">
        <f t="shared" si="1091"/>
        <v>0</v>
      </c>
      <c r="Y311" s="92">
        <f t="shared" si="1091"/>
        <v>0</v>
      </c>
      <c r="Z311" s="92">
        <f t="shared" si="1091"/>
        <v>0</v>
      </c>
      <c r="AA311" s="92">
        <f t="shared" si="1091"/>
        <v>0</v>
      </c>
      <c r="AB311" s="92">
        <f t="shared" si="1091"/>
        <v>1</v>
      </c>
      <c r="AC311" s="92">
        <f t="shared" si="1091"/>
        <v>0</v>
      </c>
      <c r="AD311" s="92">
        <f t="shared" si="1091"/>
        <v>1</v>
      </c>
      <c r="AE311" s="92">
        <f t="shared" si="1091"/>
        <v>0</v>
      </c>
      <c r="AF311" s="92">
        <f t="shared" si="1091"/>
        <v>0</v>
      </c>
      <c r="AG311" s="92">
        <f t="shared" si="1091"/>
        <v>0</v>
      </c>
      <c r="AH311" s="92">
        <f t="shared" si="1091"/>
        <v>0</v>
      </c>
      <c r="AI311" s="92">
        <f t="shared" si="1091"/>
        <v>0</v>
      </c>
      <c r="AJ311" s="92">
        <f t="shared" si="1088"/>
        <v>0</v>
      </c>
      <c r="AK311" s="92">
        <f t="shared" si="1088"/>
        <v>0</v>
      </c>
      <c r="AL311" s="92">
        <f t="shared" si="1088"/>
        <v>0</v>
      </c>
      <c r="AM311" s="92">
        <f t="shared" si="1088"/>
        <v>0</v>
      </c>
      <c r="AN311" s="92">
        <f t="shared" si="1088"/>
        <v>0</v>
      </c>
      <c r="AO311" s="92">
        <f t="shared" si="1088"/>
        <v>0</v>
      </c>
      <c r="AP311" s="92">
        <f t="shared" si="1088"/>
        <v>0</v>
      </c>
      <c r="AQ311" s="92">
        <f t="shared" si="1088"/>
        <v>0</v>
      </c>
      <c r="AR311" s="92">
        <f t="shared" si="1088"/>
        <v>0</v>
      </c>
      <c r="AS311" s="31" t="str">
        <f t="shared" si="1019"/>
        <v>SimulationStorage,1,</v>
      </c>
      <c r="AT311" s="31" t="str">
        <f t="shared" si="1020"/>
        <v>AnalysisStorage,1,</v>
      </c>
      <c r="AU311" s="31" t="str">
        <f t="shared" si="1021"/>
        <v>LogRuleEvaluation,0,</v>
      </c>
      <c r="AV311" s="31" t="str">
        <f t="shared" si="1022"/>
        <v>ParallelSimulations,1,</v>
      </c>
      <c r="AW311" s="31" t="str">
        <f t="shared" si="1023"/>
        <v>DurationStats,0,</v>
      </c>
      <c r="AX311" s="31" t="str">
        <f t="shared" si="1024"/>
        <v>AnalysisThruStep,8,</v>
      </c>
      <c r="AY311" s="31" t="str">
        <f t="shared" si="1025"/>
        <v>DontAbortOnErrorsThruStep,8,</v>
      </c>
      <c r="AZ311" s="31" t="str">
        <f t="shared" si="1026"/>
        <v>BypassValidFileChecks,1,</v>
      </c>
      <c r="BA311" s="31" t="str">
        <f t="shared" si="1027"/>
        <v>BypassInputChecks,0,</v>
      </c>
      <c r="BB311" s="31" t="str">
        <f t="shared" si="1028"/>
        <v>BypassUMLHChecks,0,</v>
      </c>
      <c r="BC311" s="31" t="str">
        <f t="shared" si="1029"/>
        <v>BypassCheckSimRules,0,</v>
      </c>
      <c r="BD311" s="31" t="str">
        <f t="shared" si="1030"/>
        <v>BypassCheckCodeRules,0,</v>
      </c>
      <c r="BE311" s="31" t="str">
        <f t="shared" si="1031"/>
        <v>StoreResultsToModelInput,1,</v>
      </c>
      <c r="BF311" s="31" t="str">
        <f t="shared" si="1032"/>
        <v>StoreBEMDetails,0,</v>
      </c>
      <c r="BG311" s="31" t="str">
        <f t="shared" si="1033"/>
        <v>ModelRpt_ALL,1,</v>
      </c>
      <c r="BH311" s="31" t="str">
        <f t="shared" si="1034"/>
        <v>ExportHourlyResults_All,0,</v>
      </c>
      <c r="BI311" s="31" t="str">
        <f t="shared" si="1035"/>
        <v>ComplianceReportPDF,0,</v>
      </c>
      <c r="BJ311" s="31" t="str">
        <f t="shared" si="1036"/>
        <v>ComplianceReportXML,0,</v>
      </c>
      <c r="BK311" s="31" t="str">
        <f t="shared" si="1037"/>
        <v>QuickAnalysis,0,</v>
      </c>
      <c r="BL311" s="31" t="str">
        <f t="shared" si="1038"/>
        <v>PromptUserUMLHWarning,0,</v>
      </c>
      <c r="BM311" s="31" t="str">
        <f t="shared" si="1039"/>
        <v>BypassOpenStudio_all,0,</v>
      </c>
      <c r="BN311" s="31" t="str">
        <f t="shared" si="1040"/>
        <v>BypassOpenStudio_zp,0,</v>
      </c>
      <c r="BO311" s="31" t="str">
        <f t="shared" si="1041"/>
        <v>BypassOpenStudio_zb,0,</v>
      </c>
      <c r="BP311" s="31" t="str">
        <f t="shared" si="1042"/>
        <v>BypassOpenStudio_ap,0,</v>
      </c>
      <c r="BQ311" s="31" t="str">
        <f t="shared" si="1043"/>
        <v>BypassOpenStudio_ab,0,</v>
      </c>
      <c r="BR311" s="31" t="str">
        <f t="shared" si="1044"/>
        <v>BypassOpenStudio_zp,0,</v>
      </c>
      <c r="BS311" s="31" t="str">
        <f t="shared" si="1045"/>
        <v>BypassOpenStudio_zb,0,</v>
      </c>
      <c r="BT311" s="31" t="str">
        <f t="shared" si="1046"/>
        <v>BypassOpenStudio_ap,0,</v>
      </c>
      <c r="BU311" s="31" t="str">
        <f t="shared" si="1047"/>
        <v>BypassOpenStudio_ab,0,</v>
      </c>
    </row>
    <row r="312" spans="1:73" outlineLevel="1" x14ac:dyDescent="0.25">
      <c r="A312" s="39">
        <f t="shared" si="1015"/>
        <v>1</v>
      </c>
      <c r="B312" s="27" t="str">
        <f t="shared" si="1048"/>
        <v>SoftwareSensitivity2016Tests\SimplifiedGeometry\0512815-RetlMed-SZVAV_NDL.cibd16</v>
      </c>
      <c r="C312" s="27" t="str">
        <f t="shared" si="1049"/>
        <v>BatchOut_171026_r5178_FinalRel-v3-SSTSG_SSTSG\0512815-RetlMed-SZVAV_NDL.cibd16</v>
      </c>
      <c r="D312" s="27" t="str">
        <f t="shared" si="1050"/>
        <v>BatchOut_171026_r5178_FinalRel-v3-SSTSG_SSTSG\XML\</v>
      </c>
      <c r="E312" s="9" t="str">
        <f t="shared" si="1051"/>
        <v>0512815-RetlMed-SZVAV_NDL</v>
      </c>
      <c r="F312" s="22"/>
      <c r="G312" s="29"/>
      <c r="H312" s="23" t="str">
        <f t="shared" si="1052"/>
        <v/>
      </c>
      <c r="I312" s="9" t="s">
        <v>11</v>
      </c>
      <c r="J31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2" s="15" t="s">
        <v>1</v>
      </c>
      <c r="L312" s="92">
        <f t="shared" si="1055"/>
        <v>1</v>
      </c>
      <c r="M312" s="91" t="str">
        <f t="shared" si="1053"/>
        <v>0512815-RetlMed-SZVAV_NDL</v>
      </c>
      <c r="N312" s="90" t="s">
        <v>212</v>
      </c>
      <c r="O312" s="90" t="str">
        <f t="shared" si="1017"/>
        <v>0512815-RetlMed-SZVAV_NDL</v>
      </c>
      <c r="P312" s="92">
        <f t="shared" si="1091"/>
        <v>1</v>
      </c>
      <c r="Q312" s="92">
        <f t="shared" si="1091"/>
        <v>1</v>
      </c>
      <c r="R312" s="92">
        <f t="shared" si="1091"/>
        <v>0</v>
      </c>
      <c r="S312" s="92">
        <f t="shared" si="1091"/>
        <v>1</v>
      </c>
      <c r="T312" s="92">
        <f t="shared" si="1091"/>
        <v>0</v>
      </c>
      <c r="U312" s="92">
        <f t="shared" si="1091"/>
        <v>8</v>
      </c>
      <c r="V312" s="92">
        <f t="shared" si="1091"/>
        <v>8</v>
      </c>
      <c r="W312" s="92">
        <f t="shared" si="1091"/>
        <v>1</v>
      </c>
      <c r="X312" s="92">
        <f t="shared" si="1091"/>
        <v>0</v>
      </c>
      <c r="Y312" s="92">
        <f t="shared" si="1091"/>
        <v>0</v>
      </c>
      <c r="Z312" s="92">
        <f t="shared" si="1091"/>
        <v>0</v>
      </c>
      <c r="AA312" s="92">
        <f t="shared" si="1091"/>
        <v>0</v>
      </c>
      <c r="AB312" s="92">
        <f t="shared" si="1091"/>
        <v>1</v>
      </c>
      <c r="AC312" s="92">
        <f t="shared" si="1091"/>
        <v>0</v>
      </c>
      <c r="AD312" s="92">
        <f t="shared" si="1091"/>
        <v>1</v>
      </c>
      <c r="AE312" s="92">
        <f t="shared" si="1091"/>
        <v>0</v>
      </c>
      <c r="AF312" s="92">
        <f t="shared" si="1091"/>
        <v>0</v>
      </c>
      <c r="AG312" s="92">
        <f t="shared" si="1091"/>
        <v>0</v>
      </c>
      <c r="AH312" s="92">
        <f t="shared" si="1091"/>
        <v>0</v>
      </c>
      <c r="AI312" s="92">
        <f t="shared" si="1091"/>
        <v>0</v>
      </c>
      <c r="AJ312" s="92">
        <f t="shared" si="1088"/>
        <v>0</v>
      </c>
      <c r="AK312" s="92">
        <f t="shared" si="1088"/>
        <v>0</v>
      </c>
      <c r="AL312" s="92">
        <f t="shared" si="1088"/>
        <v>0</v>
      </c>
      <c r="AM312" s="92">
        <f t="shared" si="1088"/>
        <v>0</v>
      </c>
      <c r="AN312" s="92">
        <f t="shared" si="1088"/>
        <v>0</v>
      </c>
      <c r="AO312" s="92">
        <f t="shared" si="1088"/>
        <v>0</v>
      </c>
      <c r="AP312" s="92">
        <f t="shared" si="1088"/>
        <v>0</v>
      </c>
      <c r="AQ312" s="92">
        <f t="shared" si="1088"/>
        <v>0</v>
      </c>
      <c r="AR312" s="92">
        <f t="shared" si="1088"/>
        <v>0</v>
      </c>
      <c r="AS312" s="31" t="str">
        <f t="shared" si="1019"/>
        <v>SimulationStorage,1,</v>
      </c>
      <c r="AT312" s="31" t="str">
        <f t="shared" si="1020"/>
        <v>AnalysisStorage,1,</v>
      </c>
      <c r="AU312" s="31" t="str">
        <f t="shared" si="1021"/>
        <v>LogRuleEvaluation,0,</v>
      </c>
      <c r="AV312" s="31" t="str">
        <f t="shared" si="1022"/>
        <v>ParallelSimulations,1,</v>
      </c>
      <c r="AW312" s="31" t="str">
        <f t="shared" si="1023"/>
        <v>DurationStats,0,</v>
      </c>
      <c r="AX312" s="31" t="str">
        <f t="shared" si="1024"/>
        <v>AnalysisThruStep,8,</v>
      </c>
      <c r="AY312" s="31" t="str">
        <f t="shared" si="1025"/>
        <v>DontAbortOnErrorsThruStep,8,</v>
      </c>
      <c r="AZ312" s="31" t="str">
        <f t="shared" si="1026"/>
        <v>BypassValidFileChecks,1,</v>
      </c>
      <c r="BA312" s="31" t="str">
        <f t="shared" si="1027"/>
        <v>BypassInputChecks,0,</v>
      </c>
      <c r="BB312" s="31" t="str">
        <f t="shared" si="1028"/>
        <v>BypassUMLHChecks,0,</v>
      </c>
      <c r="BC312" s="31" t="str">
        <f t="shared" si="1029"/>
        <v>BypassCheckSimRules,0,</v>
      </c>
      <c r="BD312" s="31" t="str">
        <f t="shared" si="1030"/>
        <v>BypassCheckCodeRules,0,</v>
      </c>
      <c r="BE312" s="31" t="str">
        <f t="shared" si="1031"/>
        <v>StoreResultsToModelInput,1,</v>
      </c>
      <c r="BF312" s="31" t="str">
        <f t="shared" si="1032"/>
        <v>StoreBEMDetails,0,</v>
      </c>
      <c r="BG312" s="31" t="str">
        <f t="shared" si="1033"/>
        <v>ModelRpt_ALL,1,</v>
      </c>
      <c r="BH312" s="31" t="str">
        <f t="shared" si="1034"/>
        <v>ExportHourlyResults_All,0,</v>
      </c>
      <c r="BI312" s="31" t="str">
        <f t="shared" si="1035"/>
        <v>ComplianceReportPDF,0,</v>
      </c>
      <c r="BJ312" s="31" t="str">
        <f t="shared" si="1036"/>
        <v>ComplianceReportXML,0,</v>
      </c>
      <c r="BK312" s="31" t="str">
        <f t="shared" si="1037"/>
        <v>QuickAnalysis,0,</v>
      </c>
      <c r="BL312" s="31" t="str">
        <f t="shared" si="1038"/>
        <v>PromptUserUMLHWarning,0,</v>
      </c>
      <c r="BM312" s="31" t="str">
        <f t="shared" si="1039"/>
        <v>BypassOpenStudio_all,0,</v>
      </c>
      <c r="BN312" s="31" t="str">
        <f t="shared" si="1040"/>
        <v>BypassOpenStudio_zp,0,</v>
      </c>
      <c r="BO312" s="31" t="str">
        <f t="shared" si="1041"/>
        <v>BypassOpenStudio_zb,0,</v>
      </c>
      <c r="BP312" s="31" t="str">
        <f t="shared" si="1042"/>
        <v>BypassOpenStudio_ap,0,</v>
      </c>
      <c r="BQ312" s="31" t="str">
        <f t="shared" si="1043"/>
        <v>BypassOpenStudio_ab,0,</v>
      </c>
      <c r="BR312" s="31" t="str">
        <f t="shared" si="1044"/>
        <v>BypassOpenStudio_zp,0,</v>
      </c>
      <c r="BS312" s="31" t="str">
        <f t="shared" si="1045"/>
        <v>BypassOpenStudio_zb,0,</v>
      </c>
      <c r="BT312" s="31" t="str">
        <f t="shared" si="1046"/>
        <v>BypassOpenStudio_ap,0,</v>
      </c>
      <c r="BU312" s="31" t="str">
        <f t="shared" si="1047"/>
        <v>BypassOpenStudio_ab,0,</v>
      </c>
    </row>
    <row r="313" spans="1:73" outlineLevel="1" x14ac:dyDescent="0.25">
      <c r="A313" s="39">
        <f t="shared" si="1015"/>
        <v>1</v>
      </c>
      <c r="B313" s="27" t="str">
        <f t="shared" si="1048"/>
        <v>SoftwareSensitivity2016Tests\SimplifiedGeometry\0513006-RetlMed-SZVAV_NDL.cibd16</v>
      </c>
      <c r="C313" s="27" t="str">
        <f t="shared" si="1049"/>
        <v>BatchOut_171026_r5178_FinalRel-v3-SSTSG_SSTSG\0513006-RetlMed-SZVAV_NDL.cibd16</v>
      </c>
      <c r="D313" s="27" t="str">
        <f t="shared" si="1050"/>
        <v>BatchOut_171026_r5178_FinalRel-v3-SSTSG_SSTSG\XML\</v>
      </c>
      <c r="E313" s="9" t="str">
        <f t="shared" si="1051"/>
        <v>0513006-RetlMed-SZVAV_NDL</v>
      </c>
      <c r="F313" s="22"/>
      <c r="G313" s="29"/>
      <c r="H313" s="23" t="str">
        <f t="shared" si="1052"/>
        <v/>
      </c>
      <c r="I313" s="9" t="s">
        <v>11</v>
      </c>
      <c r="J31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3" s="15" t="s">
        <v>1</v>
      </c>
      <c r="L313" s="92">
        <f t="shared" si="1055"/>
        <v>1</v>
      </c>
      <c r="M313" s="91" t="str">
        <f t="shared" si="1053"/>
        <v>0513006-RetlMed-SZVAV_NDL</v>
      </c>
      <c r="N313" s="90" t="s">
        <v>213</v>
      </c>
      <c r="O313" s="90" t="str">
        <f t="shared" si="1017"/>
        <v>0513006-RetlMed-SZVAV_NDL</v>
      </c>
      <c r="P313" s="92">
        <f t="shared" si="1091"/>
        <v>1</v>
      </c>
      <c r="Q313" s="92">
        <f t="shared" si="1091"/>
        <v>1</v>
      </c>
      <c r="R313" s="92">
        <f t="shared" si="1091"/>
        <v>0</v>
      </c>
      <c r="S313" s="92">
        <f t="shared" si="1091"/>
        <v>1</v>
      </c>
      <c r="T313" s="92">
        <f t="shared" si="1091"/>
        <v>0</v>
      </c>
      <c r="U313" s="92">
        <f t="shared" si="1091"/>
        <v>8</v>
      </c>
      <c r="V313" s="92">
        <f t="shared" si="1091"/>
        <v>8</v>
      </c>
      <c r="W313" s="92">
        <f t="shared" si="1091"/>
        <v>1</v>
      </c>
      <c r="X313" s="92">
        <f t="shared" si="1091"/>
        <v>0</v>
      </c>
      <c r="Y313" s="92">
        <f t="shared" si="1091"/>
        <v>0</v>
      </c>
      <c r="Z313" s="92">
        <f t="shared" si="1091"/>
        <v>0</v>
      </c>
      <c r="AA313" s="92">
        <f t="shared" si="1091"/>
        <v>0</v>
      </c>
      <c r="AB313" s="92">
        <f t="shared" si="1091"/>
        <v>1</v>
      </c>
      <c r="AC313" s="92">
        <f t="shared" si="1091"/>
        <v>0</v>
      </c>
      <c r="AD313" s="92">
        <f t="shared" si="1091"/>
        <v>1</v>
      </c>
      <c r="AE313" s="92">
        <f t="shared" si="1091"/>
        <v>0</v>
      </c>
      <c r="AF313" s="92">
        <f t="shared" si="1091"/>
        <v>0</v>
      </c>
      <c r="AG313" s="92">
        <f t="shared" si="1091"/>
        <v>0</v>
      </c>
      <c r="AH313" s="92">
        <f t="shared" si="1091"/>
        <v>0</v>
      </c>
      <c r="AI313" s="92">
        <f t="shared" si="1091"/>
        <v>0</v>
      </c>
      <c r="AJ313" s="92">
        <f t="shared" ref="AJ313:AR328" si="1092">AJ312</f>
        <v>0</v>
      </c>
      <c r="AK313" s="92">
        <f t="shared" si="1092"/>
        <v>0</v>
      </c>
      <c r="AL313" s="92">
        <f t="shared" si="1092"/>
        <v>0</v>
      </c>
      <c r="AM313" s="92">
        <f t="shared" si="1092"/>
        <v>0</v>
      </c>
      <c r="AN313" s="92">
        <f t="shared" si="1092"/>
        <v>0</v>
      </c>
      <c r="AO313" s="92">
        <f t="shared" si="1092"/>
        <v>0</v>
      </c>
      <c r="AP313" s="92">
        <f t="shared" si="1092"/>
        <v>0</v>
      </c>
      <c r="AQ313" s="92">
        <f t="shared" si="1092"/>
        <v>0</v>
      </c>
      <c r="AR313" s="92">
        <f t="shared" si="1092"/>
        <v>0</v>
      </c>
      <c r="AS313" s="31" t="str">
        <f t="shared" si="1019"/>
        <v>SimulationStorage,1,</v>
      </c>
      <c r="AT313" s="31" t="str">
        <f t="shared" si="1020"/>
        <v>AnalysisStorage,1,</v>
      </c>
      <c r="AU313" s="31" t="str">
        <f t="shared" si="1021"/>
        <v>LogRuleEvaluation,0,</v>
      </c>
      <c r="AV313" s="31" t="str">
        <f t="shared" si="1022"/>
        <v>ParallelSimulations,1,</v>
      </c>
      <c r="AW313" s="31" t="str">
        <f t="shared" si="1023"/>
        <v>DurationStats,0,</v>
      </c>
      <c r="AX313" s="31" t="str">
        <f t="shared" si="1024"/>
        <v>AnalysisThruStep,8,</v>
      </c>
      <c r="AY313" s="31" t="str">
        <f t="shared" si="1025"/>
        <v>DontAbortOnErrorsThruStep,8,</v>
      </c>
      <c r="AZ313" s="31" t="str">
        <f t="shared" si="1026"/>
        <v>BypassValidFileChecks,1,</v>
      </c>
      <c r="BA313" s="31" t="str">
        <f t="shared" si="1027"/>
        <v>BypassInputChecks,0,</v>
      </c>
      <c r="BB313" s="31" t="str">
        <f t="shared" si="1028"/>
        <v>BypassUMLHChecks,0,</v>
      </c>
      <c r="BC313" s="31" t="str">
        <f t="shared" si="1029"/>
        <v>BypassCheckSimRules,0,</v>
      </c>
      <c r="BD313" s="31" t="str">
        <f t="shared" si="1030"/>
        <v>BypassCheckCodeRules,0,</v>
      </c>
      <c r="BE313" s="31" t="str">
        <f t="shared" si="1031"/>
        <v>StoreResultsToModelInput,1,</v>
      </c>
      <c r="BF313" s="31" t="str">
        <f t="shared" si="1032"/>
        <v>StoreBEMDetails,0,</v>
      </c>
      <c r="BG313" s="31" t="str">
        <f t="shared" si="1033"/>
        <v>ModelRpt_ALL,1,</v>
      </c>
      <c r="BH313" s="31" t="str">
        <f t="shared" si="1034"/>
        <v>ExportHourlyResults_All,0,</v>
      </c>
      <c r="BI313" s="31" t="str">
        <f t="shared" si="1035"/>
        <v>ComplianceReportPDF,0,</v>
      </c>
      <c r="BJ313" s="31" t="str">
        <f t="shared" si="1036"/>
        <v>ComplianceReportXML,0,</v>
      </c>
      <c r="BK313" s="31" t="str">
        <f t="shared" si="1037"/>
        <v>QuickAnalysis,0,</v>
      </c>
      <c r="BL313" s="31" t="str">
        <f t="shared" si="1038"/>
        <v>PromptUserUMLHWarning,0,</v>
      </c>
      <c r="BM313" s="31" t="str">
        <f t="shared" si="1039"/>
        <v>BypassOpenStudio_all,0,</v>
      </c>
      <c r="BN313" s="31" t="str">
        <f t="shared" si="1040"/>
        <v>BypassOpenStudio_zp,0,</v>
      </c>
      <c r="BO313" s="31" t="str">
        <f t="shared" si="1041"/>
        <v>BypassOpenStudio_zb,0,</v>
      </c>
      <c r="BP313" s="31" t="str">
        <f t="shared" si="1042"/>
        <v>BypassOpenStudio_ap,0,</v>
      </c>
      <c r="BQ313" s="31" t="str">
        <f t="shared" si="1043"/>
        <v>BypassOpenStudio_ab,0,</v>
      </c>
      <c r="BR313" s="31" t="str">
        <f t="shared" si="1044"/>
        <v>BypassOpenStudio_zp,0,</v>
      </c>
      <c r="BS313" s="31" t="str">
        <f t="shared" si="1045"/>
        <v>BypassOpenStudio_zb,0,</v>
      </c>
      <c r="BT313" s="31" t="str">
        <f t="shared" si="1046"/>
        <v>BypassOpenStudio_ap,0,</v>
      </c>
      <c r="BU313" s="31" t="str">
        <f t="shared" si="1047"/>
        <v>BypassOpenStudio_ab,0,</v>
      </c>
    </row>
    <row r="314" spans="1:73" outlineLevel="1" x14ac:dyDescent="0.25">
      <c r="A314" s="39">
        <f t="shared" si="1015"/>
        <v>1</v>
      </c>
      <c r="B314" s="27" t="str">
        <f t="shared" si="1048"/>
        <v>SoftwareSensitivity2016Tests\SimplifiedGeometry\1000006-RetlStrp-BaselinePSZ_NDL.cibd16</v>
      </c>
      <c r="C314" s="27" t="str">
        <f t="shared" si="1049"/>
        <v>BatchOut_171026_r5178_FinalRel-v3-SSTSG_SSTSG\1000006-RetlStrp-BaselinePSZ_NDL.cibd16</v>
      </c>
      <c r="D314" s="27" t="str">
        <f t="shared" si="1050"/>
        <v>BatchOut_171026_r5178_FinalRel-v3-SSTSG_SSTSG\XML\</v>
      </c>
      <c r="E314" s="9" t="str">
        <f t="shared" si="1051"/>
        <v>1000006-RetlStrp-BaselinePSZ_NDL</v>
      </c>
      <c r="F314" s="22"/>
      <c r="G314" s="29"/>
      <c r="H314" s="23" t="str">
        <f t="shared" si="1052"/>
        <v/>
      </c>
      <c r="I314" s="9" t="s">
        <v>11</v>
      </c>
      <c r="J31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4" s="15" t="s">
        <v>1</v>
      </c>
      <c r="L314" s="92">
        <f t="shared" si="1055"/>
        <v>1</v>
      </c>
      <c r="M314" s="91" t="str">
        <f t="shared" si="1053"/>
        <v>1000006-RetlStrp-BaselinePSZ_NDL</v>
      </c>
      <c r="N314" s="90" t="s">
        <v>214</v>
      </c>
      <c r="O314" s="90" t="str">
        <f t="shared" si="1017"/>
        <v>1000006-RetlStrp-BaselinePSZ_NDL</v>
      </c>
      <c r="P314" s="92">
        <f t="shared" si="1091"/>
        <v>1</v>
      </c>
      <c r="Q314" s="92">
        <f t="shared" si="1091"/>
        <v>1</v>
      </c>
      <c r="R314" s="92">
        <f t="shared" si="1091"/>
        <v>0</v>
      </c>
      <c r="S314" s="92">
        <f t="shared" si="1091"/>
        <v>1</v>
      </c>
      <c r="T314" s="92">
        <f t="shared" si="1091"/>
        <v>0</v>
      </c>
      <c r="U314" s="92">
        <f t="shared" si="1091"/>
        <v>8</v>
      </c>
      <c r="V314" s="92">
        <f t="shared" si="1091"/>
        <v>8</v>
      </c>
      <c r="W314" s="92">
        <f t="shared" si="1091"/>
        <v>1</v>
      </c>
      <c r="X314" s="92">
        <f t="shared" si="1091"/>
        <v>0</v>
      </c>
      <c r="Y314" s="92">
        <f t="shared" si="1091"/>
        <v>0</v>
      </c>
      <c r="Z314" s="92">
        <f t="shared" si="1091"/>
        <v>0</v>
      </c>
      <c r="AA314" s="92">
        <f t="shared" si="1091"/>
        <v>0</v>
      </c>
      <c r="AB314" s="92">
        <f t="shared" si="1091"/>
        <v>1</v>
      </c>
      <c r="AC314" s="92">
        <f t="shared" si="1091"/>
        <v>0</v>
      </c>
      <c r="AD314" s="92">
        <f t="shared" si="1091"/>
        <v>1</v>
      </c>
      <c r="AE314" s="92">
        <f t="shared" si="1091"/>
        <v>0</v>
      </c>
      <c r="AF314" s="92">
        <f t="shared" si="1091"/>
        <v>0</v>
      </c>
      <c r="AG314" s="92">
        <f t="shared" si="1091"/>
        <v>0</v>
      </c>
      <c r="AH314" s="92">
        <f t="shared" si="1091"/>
        <v>0</v>
      </c>
      <c r="AI314" s="92">
        <f t="shared" si="1091"/>
        <v>0</v>
      </c>
      <c r="AJ314" s="92">
        <f t="shared" si="1092"/>
        <v>0</v>
      </c>
      <c r="AK314" s="92">
        <f t="shared" si="1092"/>
        <v>0</v>
      </c>
      <c r="AL314" s="92">
        <f t="shared" si="1092"/>
        <v>0</v>
      </c>
      <c r="AM314" s="92">
        <f t="shared" si="1092"/>
        <v>0</v>
      </c>
      <c r="AN314" s="92">
        <f t="shared" si="1092"/>
        <v>0</v>
      </c>
      <c r="AO314" s="92">
        <f t="shared" si="1092"/>
        <v>0</v>
      </c>
      <c r="AP314" s="92">
        <f t="shared" si="1092"/>
        <v>0</v>
      </c>
      <c r="AQ314" s="92">
        <f t="shared" si="1092"/>
        <v>0</v>
      </c>
      <c r="AR314" s="92">
        <f t="shared" si="1092"/>
        <v>0</v>
      </c>
      <c r="AS314" s="31" t="str">
        <f t="shared" si="1019"/>
        <v>SimulationStorage,1,</v>
      </c>
      <c r="AT314" s="31" t="str">
        <f t="shared" si="1020"/>
        <v>AnalysisStorage,1,</v>
      </c>
      <c r="AU314" s="31" t="str">
        <f t="shared" si="1021"/>
        <v>LogRuleEvaluation,0,</v>
      </c>
      <c r="AV314" s="31" t="str">
        <f t="shared" si="1022"/>
        <v>ParallelSimulations,1,</v>
      </c>
      <c r="AW314" s="31" t="str">
        <f t="shared" si="1023"/>
        <v>DurationStats,0,</v>
      </c>
      <c r="AX314" s="31" t="str">
        <f t="shared" si="1024"/>
        <v>AnalysisThruStep,8,</v>
      </c>
      <c r="AY314" s="31" t="str">
        <f t="shared" si="1025"/>
        <v>DontAbortOnErrorsThruStep,8,</v>
      </c>
      <c r="AZ314" s="31" t="str">
        <f t="shared" si="1026"/>
        <v>BypassValidFileChecks,1,</v>
      </c>
      <c r="BA314" s="31" t="str">
        <f t="shared" si="1027"/>
        <v>BypassInputChecks,0,</v>
      </c>
      <c r="BB314" s="31" t="str">
        <f t="shared" si="1028"/>
        <v>BypassUMLHChecks,0,</v>
      </c>
      <c r="BC314" s="31" t="str">
        <f t="shared" si="1029"/>
        <v>BypassCheckSimRules,0,</v>
      </c>
      <c r="BD314" s="31" t="str">
        <f t="shared" si="1030"/>
        <v>BypassCheckCodeRules,0,</v>
      </c>
      <c r="BE314" s="31" t="str">
        <f t="shared" si="1031"/>
        <v>StoreResultsToModelInput,1,</v>
      </c>
      <c r="BF314" s="31" t="str">
        <f t="shared" si="1032"/>
        <v>StoreBEMDetails,0,</v>
      </c>
      <c r="BG314" s="31" t="str">
        <f t="shared" si="1033"/>
        <v>ModelRpt_ALL,1,</v>
      </c>
      <c r="BH314" s="31" t="str">
        <f t="shared" si="1034"/>
        <v>ExportHourlyResults_All,0,</v>
      </c>
      <c r="BI314" s="31" t="str">
        <f t="shared" si="1035"/>
        <v>ComplianceReportPDF,0,</v>
      </c>
      <c r="BJ314" s="31" t="str">
        <f t="shared" si="1036"/>
        <v>ComplianceReportXML,0,</v>
      </c>
      <c r="BK314" s="31" t="str">
        <f t="shared" si="1037"/>
        <v>QuickAnalysis,0,</v>
      </c>
      <c r="BL314" s="31" t="str">
        <f t="shared" si="1038"/>
        <v>PromptUserUMLHWarning,0,</v>
      </c>
      <c r="BM314" s="31" t="str">
        <f t="shared" si="1039"/>
        <v>BypassOpenStudio_all,0,</v>
      </c>
      <c r="BN314" s="31" t="str">
        <f t="shared" si="1040"/>
        <v>BypassOpenStudio_zp,0,</v>
      </c>
      <c r="BO314" s="31" t="str">
        <f t="shared" si="1041"/>
        <v>BypassOpenStudio_zb,0,</v>
      </c>
      <c r="BP314" s="31" t="str">
        <f t="shared" si="1042"/>
        <v>BypassOpenStudio_ap,0,</v>
      </c>
      <c r="BQ314" s="31" t="str">
        <f t="shared" si="1043"/>
        <v>BypassOpenStudio_ab,0,</v>
      </c>
      <c r="BR314" s="31" t="str">
        <f t="shared" si="1044"/>
        <v>BypassOpenStudio_zp,0,</v>
      </c>
      <c r="BS314" s="31" t="str">
        <f t="shared" si="1045"/>
        <v>BypassOpenStudio_zb,0,</v>
      </c>
      <c r="BT314" s="31" t="str">
        <f t="shared" si="1046"/>
        <v>BypassOpenStudio_ap,0,</v>
      </c>
      <c r="BU314" s="31" t="str">
        <f t="shared" si="1047"/>
        <v>BypassOpenStudio_ab,0,</v>
      </c>
    </row>
    <row r="315" spans="1:73" outlineLevel="1" x14ac:dyDescent="0.25">
      <c r="A315" s="39">
        <f t="shared" si="1015"/>
        <v>1</v>
      </c>
      <c r="B315" s="27" t="str">
        <f t="shared" si="1048"/>
        <v>SoftwareSensitivity2016Tests\SimplifiedGeometry\1000006-RetlStrp-BaselinePTAC_NDL.cibd16</v>
      </c>
      <c r="C315" s="27" t="str">
        <f t="shared" si="1049"/>
        <v>BatchOut_171026_r5178_FinalRel-v3-SSTSG_SSTSG\1000006-RetlStrp-BaselinePTAC_NDL.cibd16</v>
      </c>
      <c r="D315" s="27" t="str">
        <f t="shared" si="1050"/>
        <v>BatchOut_171026_r5178_FinalRel-v3-SSTSG_SSTSG\XML\</v>
      </c>
      <c r="E315" s="9" t="str">
        <f t="shared" si="1051"/>
        <v>1000006-RetlStrp-BaselinePTAC_NDL</v>
      </c>
      <c r="F315" s="22"/>
      <c r="G315" s="29"/>
      <c r="H315" s="23" t="str">
        <f t="shared" si="1052"/>
        <v/>
      </c>
      <c r="I315" s="9" t="s">
        <v>11</v>
      </c>
      <c r="J31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5" s="15" t="s">
        <v>1</v>
      </c>
      <c r="L315" s="92">
        <f t="shared" si="1055"/>
        <v>1</v>
      </c>
      <c r="M315" s="91" t="str">
        <f t="shared" si="1053"/>
        <v>1000006-RetlStrp-BaselinePTAC_NDL</v>
      </c>
      <c r="N315" s="90" t="s">
        <v>215</v>
      </c>
      <c r="O315" s="90" t="str">
        <f t="shared" si="1017"/>
        <v>1000006-RetlStrp-BaselinePTAC_NDL</v>
      </c>
      <c r="P315" s="92">
        <f t="shared" si="1091"/>
        <v>1</v>
      </c>
      <c r="Q315" s="92">
        <f t="shared" si="1091"/>
        <v>1</v>
      </c>
      <c r="R315" s="92">
        <f t="shared" si="1091"/>
        <v>0</v>
      </c>
      <c r="S315" s="92">
        <f t="shared" si="1091"/>
        <v>1</v>
      </c>
      <c r="T315" s="92">
        <f t="shared" si="1091"/>
        <v>0</v>
      </c>
      <c r="U315" s="92">
        <f t="shared" si="1091"/>
        <v>8</v>
      </c>
      <c r="V315" s="92">
        <f t="shared" si="1091"/>
        <v>8</v>
      </c>
      <c r="W315" s="92">
        <f t="shared" si="1091"/>
        <v>1</v>
      </c>
      <c r="X315" s="92">
        <f t="shared" si="1091"/>
        <v>0</v>
      </c>
      <c r="Y315" s="92">
        <f t="shared" si="1091"/>
        <v>0</v>
      </c>
      <c r="Z315" s="92">
        <f t="shared" si="1091"/>
        <v>0</v>
      </c>
      <c r="AA315" s="92">
        <f t="shared" si="1091"/>
        <v>0</v>
      </c>
      <c r="AB315" s="92">
        <f t="shared" si="1091"/>
        <v>1</v>
      </c>
      <c r="AC315" s="92">
        <f t="shared" si="1091"/>
        <v>0</v>
      </c>
      <c r="AD315" s="92">
        <f t="shared" si="1091"/>
        <v>1</v>
      </c>
      <c r="AE315" s="92">
        <f t="shared" si="1091"/>
        <v>0</v>
      </c>
      <c r="AF315" s="92">
        <f t="shared" si="1091"/>
        <v>0</v>
      </c>
      <c r="AG315" s="92">
        <f t="shared" si="1091"/>
        <v>0</v>
      </c>
      <c r="AH315" s="92">
        <f t="shared" si="1091"/>
        <v>0</v>
      </c>
      <c r="AI315" s="92">
        <f t="shared" si="1091"/>
        <v>0</v>
      </c>
      <c r="AJ315" s="92">
        <f t="shared" si="1092"/>
        <v>0</v>
      </c>
      <c r="AK315" s="92">
        <f t="shared" si="1092"/>
        <v>0</v>
      </c>
      <c r="AL315" s="92">
        <f t="shared" si="1092"/>
        <v>0</v>
      </c>
      <c r="AM315" s="92">
        <f t="shared" si="1092"/>
        <v>0</v>
      </c>
      <c r="AN315" s="92">
        <f t="shared" si="1092"/>
        <v>0</v>
      </c>
      <c r="AO315" s="92">
        <f t="shared" si="1092"/>
        <v>0</v>
      </c>
      <c r="AP315" s="92">
        <f t="shared" si="1092"/>
        <v>0</v>
      </c>
      <c r="AQ315" s="92">
        <f t="shared" si="1092"/>
        <v>0</v>
      </c>
      <c r="AR315" s="92">
        <f t="shared" si="1092"/>
        <v>0</v>
      </c>
      <c r="AS315" s="31" t="str">
        <f t="shared" si="1019"/>
        <v>SimulationStorage,1,</v>
      </c>
      <c r="AT315" s="31" t="str">
        <f t="shared" si="1020"/>
        <v>AnalysisStorage,1,</v>
      </c>
      <c r="AU315" s="31" t="str">
        <f t="shared" si="1021"/>
        <v>LogRuleEvaluation,0,</v>
      </c>
      <c r="AV315" s="31" t="str">
        <f t="shared" si="1022"/>
        <v>ParallelSimulations,1,</v>
      </c>
      <c r="AW315" s="31" t="str">
        <f t="shared" si="1023"/>
        <v>DurationStats,0,</v>
      </c>
      <c r="AX315" s="31" t="str">
        <f t="shared" si="1024"/>
        <v>AnalysisThruStep,8,</v>
      </c>
      <c r="AY315" s="31" t="str">
        <f t="shared" si="1025"/>
        <v>DontAbortOnErrorsThruStep,8,</v>
      </c>
      <c r="AZ315" s="31" t="str">
        <f t="shared" si="1026"/>
        <v>BypassValidFileChecks,1,</v>
      </c>
      <c r="BA315" s="31" t="str">
        <f t="shared" si="1027"/>
        <v>BypassInputChecks,0,</v>
      </c>
      <c r="BB315" s="31" t="str">
        <f t="shared" si="1028"/>
        <v>BypassUMLHChecks,0,</v>
      </c>
      <c r="BC315" s="31" t="str">
        <f t="shared" si="1029"/>
        <v>BypassCheckSimRules,0,</v>
      </c>
      <c r="BD315" s="31" t="str">
        <f t="shared" si="1030"/>
        <v>BypassCheckCodeRules,0,</v>
      </c>
      <c r="BE315" s="31" t="str">
        <f t="shared" si="1031"/>
        <v>StoreResultsToModelInput,1,</v>
      </c>
      <c r="BF315" s="31" t="str">
        <f t="shared" si="1032"/>
        <v>StoreBEMDetails,0,</v>
      </c>
      <c r="BG315" s="31" t="str">
        <f t="shared" si="1033"/>
        <v>ModelRpt_ALL,1,</v>
      </c>
      <c r="BH315" s="31" t="str">
        <f t="shared" si="1034"/>
        <v>ExportHourlyResults_All,0,</v>
      </c>
      <c r="BI315" s="31" t="str">
        <f t="shared" si="1035"/>
        <v>ComplianceReportPDF,0,</v>
      </c>
      <c r="BJ315" s="31" t="str">
        <f t="shared" si="1036"/>
        <v>ComplianceReportXML,0,</v>
      </c>
      <c r="BK315" s="31" t="str">
        <f t="shared" si="1037"/>
        <v>QuickAnalysis,0,</v>
      </c>
      <c r="BL315" s="31" t="str">
        <f t="shared" si="1038"/>
        <v>PromptUserUMLHWarning,0,</v>
      </c>
      <c r="BM315" s="31" t="str">
        <f t="shared" si="1039"/>
        <v>BypassOpenStudio_all,0,</v>
      </c>
      <c r="BN315" s="31" t="str">
        <f t="shared" si="1040"/>
        <v>BypassOpenStudio_zp,0,</v>
      </c>
      <c r="BO315" s="31" t="str">
        <f t="shared" si="1041"/>
        <v>BypassOpenStudio_zb,0,</v>
      </c>
      <c r="BP315" s="31" t="str">
        <f t="shared" si="1042"/>
        <v>BypassOpenStudio_ap,0,</v>
      </c>
      <c r="BQ315" s="31" t="str">
        <f t="shared" si="1043"/>
        <v>BypassOpenStudio_ab,0,</v>
      </c>
      <c r="BR315" s="31" t="str">
        <f t="shared" si="1044"/>
        <v>BypassOpenStudio_zp,0,</v>
      </c>
      <c r="BS315" s="31" t="str">
        <f t="shared" si="1045"/>
        <v>BypassOpenStudio_zb,0,</v>
      </c>
      <c r="BT315" s="31" t="str">
        <f t="shared" si="1046"/>
        <v>BypassOpenStudio_ap,0,</v>
      </c>
      <c r="BU315" s="31" t="str">
        <f t="shared" si="1047"/>
        <v>BypassOpenStudio_ab,0,</v>
      </c>
    </row>
    <row r="316" spans="1:73" outlineLevel="1" x14ac:dyDescent="0.25">
      <c r="A316" s="39">
        <f t="shared" si="1015"/>
        <v>1</v>
      </c>
      <c r="B316" s="27" t="str">
        <f t="shared" si="1048"/>
        <v>SoftwareSensitivity2016Tests\SimplifiedGeometry\1000015-RetlStrp-BaselinePSZ_NDL.cibd16</v>
      </c>
      <c r="C316" s="27" t="str">
        <f t="shared" si="1049"/>
        <v>BatchOut_171026_r5178_FinalRel-v3-SSTSG_SSTSG\1000015-RetlStrp-BaselinePSZ_NDL.cibd16</v>
      </c>
      <c r="D316" s="27" t="str">
        <f t="shared" si="1050"/>
        <v>BatchOut_171026_r5178_FinalRel-v3-SSTSG_SSTSG\XML\</v>
      </c>
      <c r="E316" s="9" t="str">
        <f t="shared" si="1051"/>
        <v>1000015-RetlStrp-BaselinePSZ_NDL</v>
      </c>
      <c r="F316" s="22"/>
      <c r="G316" s="29"/>
      <c r="H316" s="23" t="str">
        <f t="shared" si="1052"/>
        <v/>
      </c>
      <c r="I316" s="9" t="s">
        <v>11</v>
      </c>
      <c r="J31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6" s="15" t="s">
        <v>1</v>
      </c>
      <c r="L316" s="92">
        <f t="shared" si="1055"/>
        <v>1</v>
      </c>
      <c r="M316" s="91" t="str">
        <f t="shared" si="1053"/>
        <v>1000015-RetlStrp-BaselinePSZ_NDL</v>
      </c>
      <c r="N316" s="90" t="s">
        <v>216</v>
      </c>
      <c r="O316" s="90" t="str">
        <f t="shared" si="1017"/>
        <v>1000015-RetlStrp-BaselinePSZ_NDL</v>
      </c>
      <c r="P316" s="92">
        <f t="shared" si="1091"/>
        <v>1</v>
      </c>
      <c r="Q316" s="92">
        <f t="shared" si="1091"/>
        <v>1</v>
      </c>
      <c r="R316" s="92">
        <f t="shared" si="1091"/>
        <v>0</v>
      </c>
      <c r="S316" s="92">
        <f t="shared" si="1091"/>
        <v>1</v>
      </c>
      <c r="T316" s="92">
        <f t="shared" si="1091"/>
        <v>0</v>
      </c>
      <c r="U316" s="92">
        <f t="shared" si="1091"/>
        <v>8</v>
      </c>
      <c r="V316" s="92">
        <f t="shared" si="1091"/>
        <v>8</v>
      </c>
      <c r="W316" s="92">
        <f t="shared" si="1091"/>
        <v>1</v>
      </c>
      <c r="X316" s="92">
        <f t="shared" si="1091"/>
        <v>0</v>
      </c>
      <c r="Y316" s="92">
        <f t="shared" si="1091"/>
        <v>0</v>
      </c>
      <c r="Z316" s="92">
        <f t="shared" si="1091"/>
        <v>0</v>
      </c>
      <c r="AA316" s="92">
        <f t="shared" si="1091"/>
        <v>0</v>
      </c>
      <c r="AB316" s="92">
        <f t="shared" si="1091"/>
        <v>1</v>
      </c>
      <c r="AC316" s="92">
        <f t="shared" si="1091"/>
        <v>0</v>
      </c>
      <c r="AD316" s="92">
        <f t="shared" si="1091"/>
        <v>1</v>
      </c>
      <c r="AE316" s="92">
        <f t="shared" si="1091"/>
        <v>0</v>
      </c>
      <c r="AF316" s="92">
        <f t="shared" si="1091"/>
        <v>0</v>
      </c>
      <c r="AG316" s="92">
        <f t="shared" si="1091"/>
        <v>0</v>
      </c>
      <c r="AH316" s="92">
        <f t="shared" si="1091"/>
        <v>0</v>
      </c>
      <c r="AI316" s="92">
        <f t="shared" si="1091"/>
        <v>0</v>
      </c>
      <c r="AJ316" s="92">
        <f t="shared" si="1092"/>
        <v>0</v>
      </c>
      <c r="AK316" s="92">
        <f t="shared" si="1092"/>
        <v>0</v>
      </c>
      <c r="AL316" s="92">
        <f t="shared" si="1092"/>
        <v>0</v>
      </c>
      <c r="AM316" s="92">
        <f t="shared" si="1092"/>
        <v>0</v>
      </c>
      <c r="AN316" s="92">
        <f t="shared" si="1092"/>
        <v>0</v>
      </c>
      <c r="AO316" s="92">
        <f t="shared" si="1092"/>
        <v>0</v>
      </c>
      <c r="AP316" s="92">
        <f t="shared" si="1092"/>
        <v>0</v>
      </c>
      <c r="AQ316" s="92">
        <f t="shared" si="1092"/>
        <v>0</v>
      </c>
      <c r="AR316" s="92">
        <f t="shared" si="1092"/>
        <v>0</v>
      </c>
      <c r="AS316" s="31" t="str">
        <f t="shared" si="1019"/>
        <v>SimulationStorage,1,</v>
      </c>
      <c r="AT316" s="31" t="str">
        <f t="shared" si="1020"/>
        <v>AnalysisStorage,1,</v>
      </c>
      <c r="AU316" s="31" t="str">
        <f t="shared" si="1021"/>
        <v>LogRuleEvaluation,0,</v>
      </c>
      <c r="AV316" s="31" t="str">
        <f t="shared" si="1022"/>
        <v>ParallelSimulations,1,</v>
      </c>
      <c r="AW316" s="31" t="str">
        <f t="shared" si="1023"/>
        <v>DurationStats,0,</v>
      </c>
      <c r="AX316" s="31" t="str">
        <f t="shared" si="1024"/>
        <v>AnalysisThruStep,8,</v>
      </c>
      <c r="AY316" s="31" t="str">
        <f t="shared" si="1025"/>
        <v>DontAbortOnErrorsThruStep,8,</v>
      </c>
      <c r="AZ316" s="31" t="str">
        <f t="shared" si="1026"/>
        <v>BypassValidFileChecks,1,</v>
      </c>
      <c r="BA316" s="31" t="str">
        <f t="shared" si="1027"/>
        <v>BypassInputChecks,0,</v>
      </c>
      <c r="BB316" s="31" t="str">
        <f t="shared" si="1028"/>
        <v>BypassUMLHChecks,0,</v>
      </c>
      <c r="BC316" s="31" t="str">
        <f t="shared" si="1029"/>
        <v>BypassCheckSimRules,0,</v>
      </c>
      <c r="BD316" s="31" t="str">
        <f t="shared" si="1030"/>
        <v>BypassCheckCodeRules,0,</v>
      </c>
      <c r="BE316" s="31" t="str">
        <f t="shared" si="1031"/>
        <v>StoreResultsToModelInput,1,</v>
      </c>
      <c r="BF316" s="31" t="str">
        <f t="shared" si="1032"/>
        <v>StoreBEMDetails,0,</v>
      </c>
      <c r="BG316" s="31" t="str">
        <f t="shared" si="1033"/>
        <v>ModelRpt_ALL,1,</v>
      </c>
      <c r="BH316" s="31" t="str">
        <f t="shared" si="1034"/>
        <v>ExportHourlyResults_All,0,</v>
      </c>
      <c r="BI316" s="31" t="str">
        <f t="shared" si="1035"/>
        <v>ComplianceReportPDF,0,</v>
      </c>
      <c r="BJ316" s="31" t="str">
        <f t="shared" si="1036"/>
        <v>ComplianceReportXML,0,</v>
      </c>
      <c r="BK316" s="31" t="str">
        <f t="shared" si="1037"/>
        <v>QuickAnalysis,0,</v>
      </c>
      <c r="BL316" s="31" t="str">
        <f t="shared" si="1038"/>
        <v>PromptUserUMLHWarning,0,</v>
      </c>
      <c r="BM316" s="31" t="str">
        <f t="shared" si="1039"/>
        <v>BypassOpenStudio_all,0,</v>
      </c>
      <c r="BN316" s="31" t="str">
        <f t="shared" si="1040"/>
        <v>BypassOpenStudio_zp,0,</v>
      </c>
      <c r="BO316" s="31" t="str">
        <f t="shared" si="1041"/>
        <v>BypassOpenStudio_zb,0,</v>
      </c>
      <c r="BP316" s="31" t="str">
        <f t="shared" si="1042"/>
        <v>BypassOpenStudio_ap,0,</v>
      </c>
      <c r="BQ316" s="31" t="str">
        <f t="shared" si="1043"/>
        <v>BypassOpenStudio_ab,0,</v>
      </c>
      <c r="BR316" s="31" t="str">
        <f t="shared" si="1044"/>
        <v>BypassOpenStudio_zp,0,</v>
      </c>
      <c r="BS316" s="31" t="str">
        <f t="shared" si="1045"/>
        <v>BypassOpenStudio_zb,0,</v>
      </c>
      <c r="BT316" s="31" t="str">
        <f t="shared" si="1046"/>
        <v>BypassOpenStudio_ap,0,</v>
      </c>
      <c r="BU316" s="31" t="str">
        <f t="shared" si="1047"/>
        <v>BypassOpenStudio_ab,0,</v>
      </c>
    </row>
    <row r="317" spans="1:73" outlineLevel="1" x14ac:dyDescent="0.25">
      <c r="A317" s="39">
        <f t="shared" si="1015"/>
        <v>1</v>
      </c>
      <c r="B317" s="27" t="str">
        <f t="shared" si="1048"/>
        <v>SoftwareSensitivity2016Tests\SimplifiedGeometry\1000015-RetlStrp-BaselinePTAC_NDL.cibd16</v>
      </c>
      <c r="C317" s="27" t="str">
        <f t="shared" si="1049"/>
        <v>BatchOut_171026_r5178_FinalRel-v3-SSTSG_SSTSG\1000015-RetlStrp-BaselinePTAC_NDL.cibd16</v>
      </c>
      <c r="D317" s="27" t="str">
        <f t="shared" si="1050"/>
        <v>BatchOut_171026_r5178_FinalRel-v3-SSTSG_SSTSG\XML\</v>
      </c>
      <c r="E317" s="9" t="str">
        <f t="shared" si="1051"/>
        <v>1000015-RetlStrp-BaselinePTAC_NDL</v>
      </c>
      <c r="F317" s="22"/>
      <c r="G317" s="29"/>
      <c r="H317" s="23" t="str">
        <f t="shared" si="1052"/>
        <v/>
      </c>
      <c r="I317" s="9" t="s">
        <v>11</v>
      </c>
      <c r="J31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7" s="15" t="s">
        <v>1</v>
      </c>
      <c r="L317" s="92">
        <f t="shared" si="1055"/>
        <v>1</v>
      </c>
      <c r="M317" s="91" t="str">
        <f t="shared" si="1053"/>
        <v>1000015-RetlStrp-BaselinePTAC_NDL</v>
      </c>
      <c r="N317" s="90" t="s">
        <v>217</v>
      </c>
      <c r="O317" s="90" t="str">
        <f t="shared" si="1017"/>
        <v>1000015-RetlStrp-BaselinePTAC_NDL</v>
      </c>
      <c r="P317" s="92">
        <f t="shared" si="1091"/>
        <v>1</v>
      </c>
      <c r="Q317" s="92">
        <f t="shared" si="1091"/>
        <v>1</v>
      </c>
      <c r="R317" s="92">
        <f t="shared" si="1091"/>
        <v>0</v>
      </c>
      <c r="S317" s="92">
        <f t="shared" si="1091"/>
        <v>1</v>
      </c>
      <c r="T317" s="92">
        <f t="shared" si="1091"/>
        <v>0</v>
      </c>
      <c r="U317" s="92">
        <f t="shared" si="1091"/>
        <v>8</v>
      </c>
      <c r="V317" s="92">
        <f t="shared" si="1091"/>
        <v>8</v>
      </c>
      <c r="W317" s="92">
        <f t="shared" si="1091"/>
        <v>1</v>
      </c>
      <c r="X317" s="92">
        <f t="shared" si="1091"/>
        <v>0</v>
      </c>
      <c r="Y317" s="92">
        <f t="shared" si="1091"/>
        <v>0</v>
      </c>
      <c r="Z317" s="92">
        <f t="shared" si="1091"/>
        <v>0</v>
      </c>
      <c r="AA317" s="92">
        <f t="shared" si="1091"/>
        <v>0</v>
      </c>
      <c r="AB317" s="92">
        <f t="shared" si="1091"/>
        <v>1</v>
      </c>
      <c r="AC317" s="92">
        <f t="shared" si="1091"/>
        <v>0</v>
      </c>
      <c r="AD317" s="92">
        <f t="shared" si="1091"/>
        <v>1</v>
      </c>
      <c r="AE317" s="92">
        <f t="shared" si="1091"/>
        <v>0</v>
      </c>
      <c r="AF317" s="92">
        <f t="shared" si="1091"/>
        <v>0</v>
      </c>
      <c r="AG317" s="92">
        <f t="shared" si="1091"/>
        <v>0</v>
      </c>
      <c r="AH317" s="92">
        <f t="shared" si="1091"/>
        <v>0</v>
      </c>
      <c r="AI317" s="92">
        <f t="shared" si="1091"/>
        <v>0</v>
      </c>
      <c r="AJ317" s="92">
        <f t="shared" si="1092"/>
        <v>0</v>
      </c>
      <c r="AK317" s="92">
        <f t="shared" si="1092"/>
        <v>0</v>
      </c>
      <c r="AL317" s="92">
        <f t="shared" si="1092"/>
        <v>0</v>
      </c>
      <c r="AM317" s="92">
        <f t="shared" si="1092"/>
        <v>0</v>
      </c>
      <c r="AN317" s="92">
        <f t="shared" si="1092"/>
        <v>0</v>
      </c>
      <c r="AO317" s="92">
        <f t="shared" si="1092"/>
        <v>0</v>
      </c>
      <c r="AP317" s="92">
        <f t="shared" si="1092"/>
        <v>0</v>
      </c>
      <c r="AQ317" s="92">
        <f t="shared" si="1092"/>
        <v>0</v>
      </c>
      <c r="AR317" s="92">
        <f t="shared" si="1092"/>
        <v>0</v>
      </c>
      <c r="AS317" s="31" t="str">
        <f t="shared" si="1019"/>
        <v>SimulationStorage,1,</v>
      </c>
      <c r="AT317" s="31" t="str">
        <f t="shared" si="1020"/>
        <v>AnalysisStorage,1,</v>
      </c>
      <c r="AU317" s="31" t="str">
        <f t="shared" si="1021"/>
        <v>LogRuleEvaluation,0,</v>
      </c>
      <c r="AV317" s="31" t="str">
        <f t="shared" si="1022"/>
        <v>ParallelSimulations,1,</v>
      </c>
      <c r="AW317" s="31" t="str">
        <f t="shared" si="1023"/>
        <v>DurationStats,0,</v>
      </c>
      <c r="AX317" s="31" t="str">
        <f t="shared" si="1024"/>
        <v>AnalysisThruStep,8,</v>
      </c>
      <c r="AY317" s="31" t="str">
        <f t="shared" si="1025"/>
        <v>DontAbortOnErrorsThruStep,8,</v>
      </c>
      <c r="AZ317" s="31" t="str">
        <f t="shared" si="1026"/>
        <v>BypassValidFileChecks,1,</v>
      </c>
      <c r="BA317" s="31" t="str">
        <f t="shared" si="1027"/>
        <v>BypassInputChecks,0,</v>
      </c>
      <c r="BB317" s="31" t="str">
        <f t="shared" si="1028"/>
        <v>BypassUMLHChecks,0,</v>
      </c>
      <c r="BC317" s="31" t="str">
        <f t="shared" si="1029"/>
        <v>BypassCheckSimRules,0,</v>
      </c>
      <c r="BD317" s="31" t="str">
        <f t="shared" si="1030"/>
        <v>BypassCheckCodeRules,0,</v>
      </c>
      <c r="BE317" s="31" t="str">
        <f t="shared" si="1031"/>
        <v>StoreResultsToModelInput,1,</v>
      </c>
      <c r="BF317" s="31" t="str">
        <f t="shared" si="1032"/>
        <v>StoreBEMDetails,0,</v>
      </c>
      <c r="BG317" s="31" t="str">
        <f t="shared" si="1033"/>
        <v>ModelRpt_ALL,1,</v>
      </c>
      <c r="BH317" s="31" t="str">
        <f t="shared" si="1034"/>
        <v>ExportHourlyResults_All,0,</v>
      </c>
      <c r="BI317" s="31" t="str">
        <f t="shared" si="1035"/>
        <v>ComplianceReportPDF,0,</v>
      </c>
      <c r="BJ317" s="31" t="str">
        <f t="shared" si="1036"/>
        <v>ComplianceReportXML,0,</v>
      </c>
      <c r="BK317" s="31" t="str">
        <f t="shared" si="1037"/>
        <v>QuickAnalysis,0,</v>
      </c>
      <c r="BL317" s="31" t="str">
        <f t="shared" si="1038"/>
        <v>PromptUserUMLHWarning,0,</v>
      </c>
      <c r="BM317" s="31" t="str">
        <f t="shared" si="1039"/>
        <v>BypassOpenStudio_all,0,</v>
      </c>
      <c r="BN317" s="31" t="str">
        <f t="shared" si="1040"/>
        <v>BypassOpenStudio_zp,0,</v>
      </c>
      <c r="BO317" s="31" t="str">
        <f t="shared" si="1041"/>
        <v>BypassOpenStudio_zb,0,</v>
      </c>
      <c r="BP317" s="31" t="str">
        <f t="shared" si="1042"/>
        <v>BypassOpenStudio_ap,0,</v>
      </c>
      <c r="BQ317" s="31" t="str">
        <f t="shared" si="1043"/>
        <v>BypassOpenStudio_ab,0,</v>
      </c>
      <c r="BR317" s="31" t="str">
        <f t="shared" si="1044"/>
        <v>BypassOpenStudio_zp,0,</v>
      </c>
      <c r="BS317" s="31" t="str">
        <f t="shared" si="1045"/>
        <v>BypassOpenStudio_zb,0,</v>
      </c>
      <c r="BT317" s="31" t="str">
        <f t="shared" si="1046"/>
        <v>BypassOpenStudio_ap,0,</v>
      </c>
      <c r="BU317" s="31" t="str">
        <f t="shared" si="1047"/>
        <v>BypassOpenStudio_ab,0,</v>
      </c>
    </row>
    <row r="318" spans="1:73" outlineLevel="1" x14ac:dyDescent="0.25">
      <c r="A318" s="39">
        <f t="shared" si="1015"/>
        <v>1</v>
      </c>
      <c r="B318" s="27" t="str">
        <f t="shared" si="1048"/>
        <v>SoftwareSensitivity2016Tests\SimplifiedGeometry\1009215-RetlStrp-HVACPSZ DXCOP_NDL.cibd16</v>
      </c>
      <c r="C318" s="27" t="str">
        <f t="shared" si="1049"/>
        <v>BatchOut_171026_r5178_FinalRel-v3-SSTSG_SSTSG\1009215-RetlStrp-HVACPSZ DXCOP_NDL.cibd16</v>
      </c>
      <c r="D318" s="27" t="str">
        <f t="shared" si="1050"/>
        <v>BatchOut_171026_r5178_FinalRel-v3-SSTSG_SSTSG\XML\</v>
      </c>
      <c r="E318" s="9" t="str">
        <f t="shared" si="1051"/>
        <v>1009215-RetlStrp-HVACPSZ DXCOP_NDL</v>
      </c>
      <c r="F318" s="22"/>
      <c r="G318" s="29"/>
      <c r="H318" s="23" t="str">
        <f t="shared" si="1052"/>
        <v/>
      </c>
      <c r="I318" s="9" t="s">
        <v>11</v>
      </c>
      <c r="J31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8" s="15" t="s">
        <v>1</v>
      </c>
      <c r="L318" s="92">
        <f t="shared" si="1055"/>
        <v>1</v>
      </c>
      <c r="M318" s="91" t="str">
        <f t="shared" si="1053"/>
        <v>1009215-RetlStrp-HVACPSZ DXCOP_NDL</v>
      </c>
      <c r="N318" s="90" t="s">
        <v>218</v>
      </c>
      <c r="O318" s="90" t="str">
        <f t="shared" si="1017"/>
        <v>1009215-RetlStrp-HVACPSZ DXCOP_NDL</v>
      </c>
      <c r="P318" s="92">
        <f t="shared" si="1091"/>
        <v>1</v>
      </c>
      <c r="Q318" s="92">
        <f t="shared" si="1091"/>
        <v>1</v>
      </c>
      <c r="R318" s="92">
        <f t="shared" si="1091"/>
        <v>0</v>
      </c>
      <c r="S318" s="92">
        <f t="shared" si="1091"/>
        <v>1</v>
      </c>
      <c r="T318" s="92">
        <f t="shared" si="1091"/>
        <v>0</v>
      </c>
      <c r="U318" s="92">
        <f t="shared" si="1091"/>
        <v>8</v>
      </c>
      <c r="V318" s="92">
        <f t="shared" si="1091"/>
        <v>8</v>
      </c>
      <c r="W318" s="92">
        <f t="shared" si="1091"/>
        <v>1</v>
      </c>
      <c r="X318" s="92">
        <f t="shared" si="1091"/>
        <v>0</v>
      </c>
      <c r="Y318" s="92">
        <f t="shared" si="1091"/>
        <v>0</v>
      </c>
      <c r="Z318" s="92">
        <f t="shared" si="1091"/>
        <v>0</v>
      </c>
      <c r="AA318" s="92">
        <f t="shared" si="1091"/>
        <v>0</v>
      </c>
      <c r="AB318" s="92">
        <f t="shared" si="1091"/>
        <v>1</v>
      </c>
      <c r="AC318" s="92">
        <f t="shared" si="1091"/>
        <v>0</v>
      </c>
      <c r="AD318" s="92">
        <f t="shared" si="1091"/>
        <v>1</v>
      </c>
      <c r="AE318" s="92">
        <f t="shared" si="1091"/>
        <v>0</v>
      </c>
      <c r="AF318" s="92">
        <f t="shared" si="1091"/>
        <v>0</v>
      </c>
      <c r="AG318" s="92">
        <f t="shared" si="1091"/>
        <v>0</v>
      </c>
      <c r="AH318" s="92">
        <f t="shared" si="1091"/>
        <v>0</v>
      </c>
      <c r="AI318" s="92">
        <f t="shared" si="1091"/>
        <v>0</v>
      </c>
      <c r="AJ318" s="92">
        <f t="shared" si="1092"/>
        <v>0</v>
      </c>
      <c r="AK318" s="92">
        <f t="shared" si="1092"/>
        <v>0</v>
      </c>
      <c r="AL318" s="92">
        <f t="shared" si="1092"/>
        <v>0</v>
      </c>
      <c r="AM318" s="92">
        <f t="shared" si="1092"/>
        <v>0</v>
      </c>
      <c r="AN318" s="92">
        <f t="shared" si="1092"/>
        <v>0</v>
      </c>
      <c r="AO318" s="92">
        <f t="shared" si="1092"/>
        <v>0</v>
      </c>
      <c r="AP318" s="92">
        <f t="shared" si="1092"/>
        <v>0</v>
      </c>
      <c r="AQ318" s="92">
        <f t="shared" si="1092"/>
        <v>0</v>
      </c>
      <c r="AR318" s="92">
        <f t="shared" si="1092"/>
        <v>0</v>
      </c>
      <c r="AS318" s="31" t="str">
        <f t="shared" si="1019"/>
        <v>SimulationStorage,1,</v>
      </c>
      <c r="AT318" s="31" t="str">
        <f t="shared" si="1020"/>
        <v>AnalysisStorage,1,</v>
      </c>
      <c r="AU318" s="31" t="str">
        <f t="shared" si="1021"/>
        <v>LogRuleEvaluation,0,</v>
      </c>
      <c r="AV318" s="31" t="str">
        <f t="shared" si="1022"/>
        <v>ParallelSimulations,1,</v>
      </c>
      <c r="AW318" s="31" t="str">
        <f t="shared" si="1023"/>
        <v>DurationStats,0,</v>
      </c>
      <c r="AX318" s="31" t="str">
        <f t="shared" si="1024"/>
        <v>AnalysisThruStep,8,</v>
      </c>
      <c r="AY318" s="31" t="str">
        <f t="shared" si="1025"/>
        <v>DontAbortOnErrorsThruStep,8,</v>
      </c>
      <c r="AZ318" s="31" t="str">
        <f t="shared" si="1026"/>
        <v>BypassValidFileChecks,1,</v>
      </c>
      <c r="BA318" s="31" t="str">
        <f t="shared" si="1027"/>
        <v>BypassInputChecks,0,</v>
      </c>
      <c r="BB318" s="31" t="str">
        <f t="shared" si="1028"/>
        <v>BypassUMLHChecks,0,</v>
      </c>
      <c r="BC318" s="31" t="str">
        <f t="shared" si="1029"/>
        <v>BypassCheckSimRules,0,</v>
      </c>
      <c r="BD318" s="31" t="str">
        <f t="shared" si="1030"/>
        <v>BypassCheckCodeRules,0,</v>
      </c>
      <c r="BE318" s="31" t="str">
        <f t="shared" si="1031"/>
        <v>StoreResultsToModelInput,1,</v>
      </c>
      <c r="BF318" s="31" t="str">
        <f t="shared" si="1032"/>
        <v>StoreBEMDetails,0,</v>
      </c>
      <c r="BG318" s="31" t="str">
        <f t="shared" si="1033"/>
        <v>ModelRpt_ALL,1,</v>
      </c>
      <c r="BH318" s="31" t="str">
        <f t="shared" si="1034"/>
        <v>ExportHourlyResults_All,0,</v>
      </c>
      <c r="BI318" s="31" t="str">
        <f t="shared" si="1035"/>
        <v>ComplianceReportPDF,0,</v>
      </c>
      <c r="BJ318" s="31" t="str">
        <f t="shared" si="1036"/>
        <v>ComplianceReportXML,0,</v>
      </c>
      <c r="BK318" s="31" t="str">
        <f t="shared" si="1037"/>
        <v>QuickAnalysis,0,</v>
      </c>
      <c r="BL318" s="31" t="str">
        <f t="shared" si="1038"/>
        <v>PromptUserUMLHWarning,0,</v>
      </c>
      <c r="BM318" s="31" t="str">
        <f t="shared" si="1039"/>
        <v>BypassOpenStudio_all,0,</v>
      </c>
      <c r="BN318" s="31" t="str">
        <f t="shared" si="1040"/>
        <v>BypassOpenStudio_zp,0,</v>
      </c>
      <c r="BO318" s="31" t="str">
        <f t="shared" si="1041"/>
        <v>BypassOpenStudio_zb,0,</v>
      </c>
      <c r="BP318" s="31" t="str">
        <f t="shared" si="1042"/>
        <v>BypassOpenStudio_ap,0,</v>
      </c>
      <c r="BQ318" s="31" t="str">
        <f t="shared" si="1043"/>
        <v>BypassOpenStudio_ab,0,</v>
      </c>
      <c r="BR318" s="31" t="str">
        <f t="shared" si="1044"/>
        <v>BypassOpenStudio_zp,0,</v>
      </c>
      <c r="BS318" s="31" t="str">
        <f t="shared" si="1045"/>
        <v>BypassOpenStudio_zb,0,</v>
      </c>
      <c r="BT318" s="31" t="str">
        <f t="shared" si="1046"/>
        <v>BypassOpenStudio_ap,0,</v>
      </c>
      <c r="BU318" s="31" t="str">
        <f t="shared" si="1047"/>
        <v>BypassOpenStudio_ab,0,</v>
      </c>
    </row>
    <row r="319" spans="1:73" outlineLevel="1" x14ac:dyDescent="0.25">
      <c r="A319" s="39">
        <f t="shared" si="1015"/>
        <v>1</v>
      </c>
      <c r="B319" s="27" t="str">
        <f t="shared" si="1048"/>
        <v>SoftwareSensitivity2016Tests\SimplifiedGeometry\1009315-RetlStrp-HVACPSZ HeatEff_NDL.cibd16</v>
      </c>
      <c r="C319" s="27" t="str">
        <f t="shared" si="1049"/>
        <v>BatchOut_171026_r5178_FinalRel-v3-SSTSG_SSTSG\1009315-RetlStrp-HVACPSZ HeatEff_NDL.cibd16</v>
      </c>
      <c r="D319" s="27" t="str">
        <f t="shared" si="1050"/>
        <v>BatchOut_171026_r5178_FinalRel-v3-SSTSG_SSTSG\XML\</v>
      </c>
      <c r="E319" s="9" t="str">
        <f t="shared" si="1051"/>
        <v>1009315-RetlStrp-HVACPSZ HeatEff_NDL</v>
      </c>
      <c r="F319" s="22"/>
      <c r="G319" s="29"/>
      <c r="H319" s="23" t="str">
        <f t="shared" si="1052"/>
        <v/>
      </c>
      <c r="I319" s="9" t="s">
        <v>11</v>
      </c>
      <c r="J319"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9" s="15" t="s">
        <v>1</v>
      </c>
      <c r="L319" s="92">
        <f t="shared" si="1055"/>
        <v>1</v>
      </c>
      <c r="M319" s="91" t="str">
        <f t="shared" si="1053"/>
        <v>1009315-RetlStrp-HVACPSZ HeatEff_NDL</v>
      </c>
      <c r="N319" s="90" t="s">
        <v>219</v>
      </c>
      <c r="O319" s="90" t="str">
        <f t="shared" si="1017"/>
        <v>1009315-RetlStrp-HVACPSZ HeatEff_NDL</v>
      </c>
      <c r="P319" s="92">
        <f t="shared" si="1091"/>
        <v>1</v>
      </c>
      <c r="Q319" s="92">
        <f t="shared" si="1091"/>
        <v>1</v>
      </c>
      <c r="R319" s="92">
        <f t="shared" si="1091"/>
        <v>0</v>
      </c>
      <c r="S319" s="92">
        <f t="shared" si="1091"/>
        <v>1</v>
      </c>
      <c r="T319" s="92">
        <f t="shared" si="1091"/>
        <v>0</v>
      </c>
      <c r="U319" s="92">
        <f t="shared" si="1091"/>
        <v>8</v>
      </c>
      <c r="V319" s="92">
        <f t="shared" si="1091"/>
        <v>8</v>
      </c>
      <c r="W319" s="92">
        <f t="shared" si="1091"/>
        <v>1</v>
      </c>
      <c r="X319" s="92">
        <f t="shared" si="1091"/>
        <v>0</v>
      </c>
      <c r="Y319" s="92">
        <f t="shared" si="1091"/>
        <v>0</v>
      </c>
      <c r="Z319" s="92">
        <f t="shared" si="1091"/>
        <v>0</v>
      </c>
      <c r="AA319" s="92">
        <f t="shared" si="1091"/>
        <v>0</v>
      </c>
      <c r="AB319" s="92">
        <f t="shared" si="1091"/>
        <v>1</v>
      </c>
      <c r="AC319" s="92">
        <f t="shared" si="1091"/>
        <v>0</v>
      </c>
      <c r="AD319" s="92">
        <f t="shared" si="1091"/>
        <v>1</v>
      </c>
      <c r="AE319" s="92">
        <f t="shared" si="1091"/>
        <v>0</v>
      </c>
      <c r="AF319" s="92">
        <f t="shared" si="1091"/>
        <v>0</v>
      </c>
      <c r="AG319" s="92">
        <f t="shared" si="1091"/>
        <v>0</v>
      </c>
      <c r="AH319" s="92">
        <f t="shared" si="1091"/>
        <v>0</v>
      </c>
      <c r="AI319" s="92">
        <f t="shared" si="1091"/>
        <v>0</v>
      </c>
      <c r="AJ319" s="92">
        <f t="shared" si="1092"/>
        <v>0</v>
      </c>
      <c r="AK319" s="92">
        <f t="shared" si="1092"/>
        <v>0</v>
      </c>
      <c r="AL319" s="92">
        <f t="shared" si="1092"/>
        <v>0</v>
      </c>
      <c r="AM319" s="92">
        <f t="shared" si="1092"/>
        <v>0</v>
      </c>
      <c r="AN319" s="92">
        <f t="shared" si="1092"/>
        <v>0</v>
      </c>
      <c r="AO319" s="92">
        <f t="shared" si="1092"/>
        <v>0</v>
      </c>
      <c r="AP319" s="92">
        <f t="shared" si="1092"/>
        <v>0</v>
      </c>
      <c r="AQ319" s="92">
        <f t="shared" si="1092"/>
        <v>0</v>
      </c>
      <c r="AR319" s="92">
        <f t="shared" si="1092"/>
        <v>0</v>
      </c>
      <c r="AS319" s="31" t="str">
        <f t="shared" si="1019"/>
        <v>SimulationStorage,1,</v>
      </c>
      <c r="AT319" s="31" t="str">
        <f t="shared" si="1020"/>
        <v>AnalysisStorage,1,</v>
      </c>
      <c r="AU319" s="31" t="str">
        <f t="shared" si="1021"/>
        <v>LogRuleEvaluation,0,</v>
      </c>
      <c r="AV319" s="31" t="str">
        <f t="shared" si="1022"/>
        <v>ParallelSimulations,1,</v>
      </c>
      <c r="AW319" s="31" t="str">
        <f t="shared" si="1023"/>
        <v>DurationStats,0,</v>
      </c>
      <c r="AX319" s="31" t="str">
        <f t="shared" si="1024"/>
        <v>AnalysisThruStep,8,</v>
      </c>
      <c r="AY319" s="31" t="str">
        <f t="shared" si="1025"/>
        <v>DontAbortOnErrorsThruStep,8,</v>
      </c>
      <c r="AZ319" s="31" t="str">
        <f t="shared" si="1026"/>
        <v>BypassValidFileChecks,1,</v>
      </c>
      <c r="BA319" s="31" t="str">
        <f t="shared" si="1027"/>
        <v>BypassInputChecks,0,</v>
      </c>
      <c r="BB319" s="31" t="str">
        <f t="shared" si="1028"/>
        <v>BypassUMLHChecks,0,</v>
      </c>
      <c r="BC319" s="31" t="str">
        <f t="shared" si="1029"/>
        <v>BypassCheckSimRules,0,</v>
      </c>
      <c r="BD319" s="31" t="str">
        <f t="shared" si="1030"/>
        <v>BypassCheckCodeRules,0,</v>
      </c>
      <c r="BE319" s="31" t="str">
        <f t="shared" si="1031"/>
        <v>StoreResultsToModelInput,1,</v>
      </c>
      <c r="BF319" s="31" t="str">
        <f t="shared" si="1032"/>
        <v>StoreBEMDetails,0,</v>
      </c>
      <c r="BG319" s="31" t="str">
        <f t="shared" si="1033"/>
        <v>ModelRpt_ALL,1,</v>
      </c>
      <c r="BH319" s="31" t="str">
        <f t="shared" si="1034"/>
        <v>ExportHourlyResults_All,0,</v>
      </c>
      <c r="BI319" s="31" t="str">
        <f t="shared" si="1035"/>
        <v>ComplianceReportPDF,0,</v>
      </c>
      <c r="BJ319" s="31" t="str">
        <f t="shared" si="1036"/>
        <v>ComplianceReportXML,0,</v>
      </c>
      <c r="BK319" s="31" t="str">
        <f t="shared" si="1037"/>
        <v>QuickAnalysis,0,</v>
      </c>
      <c r="BL319" s="31" t="str">
        <f t="shared" si="1038"/>
        <v>PromptUserUMLHWarning,0,</v>
      </c>
      <c r="BM319" s="31" t="str">
        <f t="shared" si="1039"/>
        <v>BypassOpenStudio_all,0,</v>
      </c>
      <c r="BN319" s="31" t="str">
        <f t="shared" si="1040"/>
        <v>BypassOpenStudio_zp,0,</v>
      </c>
      <c r="BO319" s="31" t="str">
        <f t="shared" si="1041"/>
        <v>BypassOpenStudio_zb,0,</v>
      </c>
      <c r="BP319" s="31" t="str">
        <f t="shared" si="1042"/>
        <v>BypassOpenStudio_ap,0,</v>
      </c>
      <c r="BQ319" s="31" t="str">
        <f t="shared" si="1043"/>
        <v>BypassOpenStudio_ab,0,</v>
      </c>
      <c r="BR319" s="31" t="str">
        <f t="shared" si="1044"/>
        <v>BypassOpenStudio_zp,0,</v>
      </c>
      <c r="BS319" s="31" t="str">
        <f t="shared" si="1045"/>
        <v>BypassOpenStudio_zb,0,</v>
      </c>
      <c r="BT319" s="31" t="str">
        <f t="shared" si="1046"/>
        <v>BypassOpenStudio_ap,0,</v>
      </c>
      <c r="BU319" s="31" t="str">
        <f t="shared" si="1047"/>
        <v>BypassOpenStudio_ab,0,</v>
      </c>
    </row>
    <row r="320" spans="1:73" outlineLevel="1" x14ac:dyDescent="0.25">
      <c r="A320" s="39">
        <f t="shared" si="1015"/>
        <v>1</v>
      </c>
      <c r="B320" s="27" t="str">
        <f t="shared" si="1048"/>
        <v>SoftwareSensitivity2016Tests\SimplifiedGeometry\1009415-RetlStrp-HVACPSZ EconomizerControl_NDL.cibd16</v>
      </c>
      <c r="C320" s="27" t="str">
        <f t="shared" si="1049"/>
        <v>BatchOut_171026_r5178_FinalRel-v3-SSTSG_SSTSG\1009415-RetlStrp-HVACPSZ EconomizerControl_NDL.cibd16</v>
      </c>
      <c r="D320" s="27" t="str">
        <f t="shared" si="1050"/>
        <v>BatchOut_171026_r5178_FinalRel-v3-SSTSG_SSTSG\XML\</v>
      </c>
      <c r="E320" s="9" t="str">
        <f t="shared" si="1051"/>
        <v>1009415-RetlStrp-HVACPSZ EconomizerControl_NDL</v>
      </c>
      <c r="F320" s="22"/>
      <c r="G320" s="29"/>
      <c r="H320" s="23" t="str">
        <f t="shared" si="1052"/>
        <v/>
      </c>
      <c r="I320" s="9" t="s">
        <v>11</v>
      </c>
      <c r="J320"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0" s="15" t="s">
        <v>1</v>
      </c>
      <c r="L320" s="92">
        <f t="shared" si="1055"/>
        <v>1</v>
      </c>
      <c r="M320" s="91" t="str">
        <f t="shared" si="1053"/>
        <v>1009415-RetlStrp-HVACPSZ EconomizerControl_NDL</v>
      </c>
      <c r="N320" s="90" t="s">
        <v>220</v>
      </c>
      <c r="O320" s="90" t="str">
        <f t="shared" si="1017"/>
        <v>1009415-RetlStrp-HVACPSZ EconomizerControl_NDL</v>
      </c>
      <c r="P320" s="92">
        <f t="shared" si="1091"/>
        <v>1</v>
      </c>
      <c r="Q320" s="92">
        <f t="shared" si="1091"/>
        <v>1</v>
      </c>
      <c r="R320" s="92">
        <f t="shared" si="1091"/>
        <v>0</v>
      </c>
      <c r="S320" s="92">
        <f t="shared" si="1091"/>
        <v>1</v>
      </c>
      <c r="T320" s="92">
        <f t="shared" si="1091"/>
        <v>0</v>
      </c>
      <c r="U320" s="92">
        <f t="shared" si="1091"/>
        <v>8</v>
      </c>
      <c r="V320" s="92">
        <f t="shared" si="1091"/>
        <v>8</v>
      </c>
      <c r="W320" s="92">
        <f t="shared" si="1091"/>
        <v>1</v>
      </c>
      <c r="X320" s="92">
        <f t="shared" si="1091"/>
        <v>0</v>
      </c>
      <c r="Y320" s="92">
        <f t="shared" si="1091"/>
        <v>0</v>
      </c>
      <c r="Z320" s="92">
        <f t="shared" si="1091"/>
        <v>0</v>
      </c>
      <c r="AA320" s="92">
        <f t="shared" si="1091"/>
        <v>0</v>
      </c>
      <c r="AB320" s="92">
        <f t="shared" si="1091"/>
        <v>1</v>
      </c>
      <c r="AC320" s="92">
        <f t="shared" si="1091"/>
        <v>0</v>
      </c>
      <c r="AD320" s="92">
        <f t="shared" si="1091"/>
        <v>1</v>
      </c>
      <c r="AE320" s="92">
        <f t="shared" si="1091"/>
        <v>0</v>
      </c>
      <c r="AF320" s="92">
        <f t="shared" si="1091"/>
        <v>0</v>
      </c>
      <c r="AG320" s="92">
        <f t="shared" si="1091"/>
        <v>0</v>
      </c>
      <c r="AH320" s="92">
        <f t="shared" si="1091"/>
        <v>0</v>
      </c>
      <c r="AI320" s="92">
        <f t="shared" si="1091"/>
        <v>0</v>
      </c>
      <c r="AJ320" s="92">
        <f t="shared" si="1092"/>
        <v>0</v>
      </c>
      <c r="AK320" s="92">
        <f t="shared" si="1092"/>
        <v>0</v>
      </c>
      <c r="AL320" s="92">
        <f t="shared" si="1092"/>
        <v>0</v>
      </c>
      <c r="AM320" s="92">
        <f t="shared" si="1092"/>
        <v>0</v>
      </c>
      <c r="AN320" s="92">
        <f t="shared" si="1092"/>
        <v>0</v>
      </c>
      <c r="AO320" s="92">
        <f t="shared" si="1092"/>
        <v>0</v>
      </c>
      <c r="AP320" s="92">
        <f t="shared" si="1092"/>
        <v>0</v>
      </c>
      <c r="AQ320" s="92">
        <f t="shared" si="1092"/>
        <v>0</v>
      </c>
      <c r="AR320" s="92">
        <f t="shared" si="1092"/>
        <v>0</v>
      </c>
      <c r="AS320" s="31" t="str">
        <f t="shared" si="1019"/>
        <v>SimulationStorage,1,</v>
      </c>
      <c r="AT320" s="31" t="str">
        <f t="shared" si="1020"/>
        <v>AnalysisStorage,1,</v>
      </c>
      <c r="AU320" s="31" t="str">
        <f t="shared" si="1021"/>
        <v>LogRuleEvaluation,0,</v>
      </c>
      <c r="AV320" s="31" t="str">
        <f t="shared" si="1022"/>
        <v>ParallelSimulations,1,</v>
      </c>
      <c r="AW320" s="31" t="str">
        <f t="shared" si="1023"/>
        <v>DurationStats,0,</v>
      </c>
      <c r="AX320" s="31" t="str">
        <f t="shared" si="1024"/>
        <v>AnalysisThruStep,8,</v>
      </c>
      <c r="AY320" s="31" t="str">
        <f t="shared" si="1025"/>
        <v>DontAbortOnErrorsThruStep,8,</v>
      </c>
      <c r="AZ320" s="31" t="str">
        <f t="shared" si="1026"/>
        <v>BypassValidFileChecks,1,</v>
      </c>
      <c r="BA320" s="31" t="str">
        <f t="shared" si="1027"/>
        <v>BypassInputChecks,0,</v>
      </c>
      <c r="BB320" s="31" t="str">
        <f t="shared" si="1028"/>
        <v>BypassUMLHChecks,0,</v>
      </c>
      <c r="BC320" s="31" t="str">
        <f t="shared" si="1029"/>
        <v>BypassCheckSimRules,0,</v>
      </c>
      <c r="BD320" s="31" t="str">
        <f t="shared" si="1030"/>
        <v>BypassCheckCodeRules,0,</v>
      </c>
      <c r="BE320" s="31" t="str">
        <f t="shared" si="1031"/>
        <v>StoreResultsToModelInput,1,</v>
      </c>
      <c r="BF320" s="31" t="str">
        <f t="shared" si="1032"/>
        <v>StoreBEMDetails,0,</v>
      </c>
      <c r="BG320" s="31" t="str">
        <f t="shared" si="1033"/>
        <v>ModelRpt_ALL,1,</v>
      </c>
      <c r="BH320" s="31" t="str">
        <f t="shared" si="1034"/>
        <v>ExportHourlyResults_All,0,</v>
      </c>
      <c r="BI320" s="31" t="str">
        <f t="shared" si="1035"/>
        <v>ComplianceReportPDF,0,</v>
      </c>
      <c r="BJ320" s="31" t="str">
        <f t="shared" si="1036"/>
        <v>ComplianceReportXML,0,</v>
      </c>
      <c r="BK320" s="31" t="str">
        <f t="shared" si="1037"/>
        <v>QuickAnalysis,0,</v>
      </c>
      <c r="BL320" s="31" t="str">
        <f t="shared" si="1038"/>
        <v>PromptUserUMLHWarning,0,</v>
      </c>
      <c r="BM320" s="31" t="str">
        <f t="shared" si="1039"/>
        <v>BypassOpenStudio_all,0,</v>
      </c>
      <c r="BN320" s="31" t="str">
        <f t="shared" si="1040"/>
        <v>BypassOpenStudio_zp,0,</v>
      </c>
      <c r="BO320" s="31" t="str">
        <f t="shared" si="1041"/>
        <v>BypassOpenStudio_zb,0,</v>
      </c>
      <c r="BP320" s="31" t="str">
        <f t="shared" si="1042"/>
        <v>BypassOpenStudio_ap,0,</v>
      </c>
      <c r="BQ320" s="31" t="str">
        <f t="shared" si="1043"/>
        <v>BypassOpenStudio_ab,0,</v>
      </c>
      <c r="BR320" s="31" t="str">
        <f t="shared" si="1044"/>
        <v>BypassOpenStudio_zp,0,</v>
      </c>
      <c r="BS320" s="31" t="str">
        <f t="shared" si="1045"/>
        <v>BypassOpenStudio_zb,0,</v>
      </c>
      <c r="BT320" s="31" t="str">
        <f t="shared" si="1046"/>
        <v>BypassOpenStudio_ap,0,</v>
      </c>
      <c r="BU320" s="31" t="str">
        <f t="shared" si="1047"/>
        <v>BypassOpenStudio_ab,0,</v>
      </c>
    </row>
    <row r="321" spans="1:73" outlineLevel="1" x14ac:dyDescent="0.25">
      <c r="A321" s="39">
        <f t="shared" si="1015"/>
        <v>1</v>
      </c>
      <c r="B321" s="27" t="str">
        <f t="shared" si="1048"/>
        <v>SoftwareSensitivity2016Tests\SimplifiedGeometry\1009806-RetlStrp-HVACPSZ DXCOP_NDL.cibd16</v>
      </c>
      <c r="C321" s="27" t="str">
        <f t="shared" si="1049"/>
        <v>BatchOut_171026_r5178_FinalRel-v3-SSTSG_SSTSG\1009806-RetlStrp-HVACPSZ DXCOP_NDL.cibd16</v>
      </c>
      <c r="D321" s="27" t="str">
        <f t="shared" si="1050"/>
        <v>BatchOut_171026_r5178_FinalRel-v3-SSTSG_SSTSG\XML\</v>
      </c>
      <c r="E321" s="9" t="str">
        <f t="shared" si="1051"/>
        <v>1009806-RetlStrp-HVACPSZ DXCOP_NDL</v>
      </c>
      <c r="F321" s="22"/>
      <c r="G321" s="29"/>
      <c r="H321" s="23" t="str">
        <f t="shared" si="1052"/>
        <v/>
      </c>
      <c r="I321" s="9" t="s">
        <v>11</v>
      </c>
      <c r="J321"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1" s="15" t="s">
        <v>1</v>
      </c>
      <c r="L321" s="92">
        <f t="shared" si="1055"/>
        <v>1</v>
      </c>
      <c r="M321" s="91" t="str">
        <f t="shared" si="1053"/>
        <v>1009806-RetlStrp-HVACPSZ DXCOP_NDL</v>
      </c>
      <c r="N321" s="90" t="s">
        <v>221</v>
      </c>
      <c r="O321" s="90" t="str">
        <f t="shared" si="1017"/>
        <v>1009806-RetlStrp-HVACPSZ DXCOP_NDL</v>
      </c>
      <c r="P321" s="92">
        <f t="shared" si="1091"/>
        <v>1</v>
      </c>
      <c r="Q321" s="92">
        <f t="shared" si="1091"/>
        <v>1</v>
      </c>
      <c r="R321" s="92">
        <f t="shared" si="1091"/>
        <v>0</v>
      </c>
      <c r="S321" s="92">
        <f t="shared" si="1091"/>
        <v>1</v>
      </c>
      <c r="T321" s="92">
        <f t="shared" si="1091"/>
        <v>0</v>
      </c>
      <c r="U321" s="92">
        <f t="shared" si="1091"/>
        <v>8</v>
      </c>
      <c r="V321" s="92">
        <f t="shared" si="1091"/>
        <v>8</v>
      </c>
      <c r="W321" s="92">
        <f t="shared" si="1091"/>
        <v>1</v>
      </c>
      <c r="X321" s="92">
        <f t="shared" si="1091"/>
        <v>0</v>
      </c>
      <c r="Y321" s="92">
        <f t="shared" si="1091"/>
        <v>0</v>
      </c>
      <c r="Z321" s="92">
        <f t="shared" si="1091"/>
        <v>0</v>
      </c>
      <c r="AA321" s="92">
        <f t="shared" si="1091"/>
        <v>0</v>
      </c>
      <c r="AB321" s="92">
        <f t="shared" si="1091"/>
        <v>1</v>
      </c>
      <c r="AC321" s="92">
        <f t="shared" si="1091"/>
        <v>0</v>
      </c>
      <c r="AD321" s="92">
        <f t="shared" si="1091"/>
        <v>1</v>
      </c>
      <c r="AE321" s="92">
        <f t="shared" si="1091"/>
        <v>0</v>
      </c>
      <c r="AF321" s="92">
        <f t="shared" si="1091"/>
        <v>0</v>
      </c>
      <c r="AG321" s="92">
        <f t="shared" si="1091"/>
        <v>0</v>
      </c>
      <c r="AH321" s="92">
        <f t="shared" si="1091"/>
        <v>0</v>
      </c>
      <c r="AI321" s="92">
        <f t="shared" si="1091"/>
        <v>0</v>
      </c>
      <c r="AJ321" s="92">
        <f t="shared" si="1092"/>
        <v>0</v>
      </c>
      <c r="AK321" s="92">
        <f t="shared" si="1092"/>
        <v>0</v>
      </c>
      <c r="AL321" s="92">
        <f t="shared" si="1092"/>
        <v>0</v>
      </c>
      <c r="AM321" s="92">
        <f t="shared" si="1092"/>
        <v>0</v>
      </c>
      <c r="AN321" s="92">
        <f t="shared" si="1092"/>
        <v>0</v>
      </c>
      <c r="AO321" s="92">
        <f t="shared" si="1092"/>
        <v>0</v>
      </c>
      <c r="AP321" s="92">
        <f t="shared" si="1092"/>
        <v>0</v>
      </c>
      <c r="AQ321" s="92">
        <f t="shared" si="1092"/>
        <v>0</v>
      </c>
      <c r="AR321" s="92">
        <f t="shared" si="1092"/>
        <v>0</v>
      </c>
      <c r="AS321" s="31" t="str">
        <f t="shared" si="1019"/>
        <v>SimulationStorage,1,</v>
      </c>
      <c r="AT321" s="31" t="str">
        <f t="shared" si="1020"/>
        <v>AnalysisStorage,1,</v>
      </c>
      <c r="AU321" s="31" t="str">
        <f t="shared" si="1021"/>
        <v>LogRuleEvaluation,0,</v>
      </c>
      <c r="AV321" s="31" t="str">
        <f t="shared" si="1022"/>
        <v>ParallelSimulations,1,</v>
      </c>
      <c r="AW321" s="31" t="str">
        <f t="shared" si="1023"/>
        <v>DurationStats,0,</v>
      </c>
      <c r="AX321" s="31" t="str">
        <f t="shared" si="1024"/>
        <v>AnalysisThruStep,8,</v>
      </c>
      <c r="AY321" s="31" t="str">
        <f t="shared" si="1025"/>
        <v>DontAbortOnErrorsThruStep,8,</v>
      </c>
      <c r="AZ321" s="31" t="str">
        <f t="shared" si="1026"/>
        <v>BypassValidFileChecks,1,</v>
      </c>
      <c r="BA321" s="31" t="str">
        <f t="shared" si="1027"/>
        <v>BypassInputChecks,0,</v>
      </c>
      <c r="BB321" s="31" t="str">
        <f t="shared" si="1028"/>
        <v>BypassUMLHChecks,0,</v>
      </c>
      <c r="BC321" s="31" t="str">
        <f t="shared" si="1029"/>
        <v>BypassCheckSimRules,0,</v>
      </c>
      <c r="BD321" s="31" t="str">
        <f t="shared" si="1030"/>
        <v>BypassCheckCodeRules,0,</v>
      </c>
      <c r="BE321" s="31" t="str">
        <f t="shared" si="1031"/>
        <v>StoreResultsToModelInput,1,</v>
      </c>
      <c r="BF321" s="31" t="str">
        <f t="shared" si="1032"/>
        <v>StoreBEMDetails,0,</v>
      </c>
      <c r="BG321" s="31" t="str">
        <f t="shared" si="1033"/>
        <v>ModelRpt_ALL,1,</v>
      </c>
      <c r="BH321" s="31" t="str">
        <f t="shared" si="1034"/>
        <v>ExportHourlyResults_All,0,</v>
      </c>
      <c r="BI321" s="31" t="str">
        <f t="shared" si="1035"/>
        <v>ComplianceReportPDF,0,</v>
      </c>
      <c r="BJ321" s="31" t="str">
        <f t="shared" si="1036"/>
        <v>ComplianceReportXML,0,</v>
      </c>
      <c r="BK321" s="31" t="str">
        <f t="shared" si="1037"/>
        <v>QuickAnalysis,0,</v>
      </c>
      <c r="BL321" s="31" t="str">
        <f t="shared" si="1038"/>
        <v>PromptUserUMLHWarning,0,</v>
      </c>
      <c r="BM321" s="31" t="str">
        <f t="shared" si="1039"/>
        <v>BypassOpenStudio_all,0,</v>
      </c>
      <c r="BN321" s="31" t="str">
        <f t="shared" si="1040"/>
        <v>BypassOpenStudio_zp,0,</v>
      </c>
      <c r="BO321" s="31" t="str">
        <f t="shared" si="1041"/>
        <v>BypassOpenStudio_zb,0,</v>
      </c>
      <c r="BP321" s="31" t="str">
        <f t="shared" si="1042"/>
        <v>BypassOpenStudio_ap,0,</v>
      </c>
      <c r="BQ321" s="31" t="str">
        <f t="shared" si="1043"/>
        <v>BypassOpenStudio_ab,0,</v>
      </c>
      <c r="BR321" s="31" t="str">
        <f t="shared" si="1044"/>
        <v>BypassOpenStudio_zp,0,</v>
      </c>
      <c r="BS321" s="31" t="str">
        <f t="shared" si="1045"/>
        <v>BypassOpenStudio_zb,0,</v>
      </c>
      <c r="BT321" s="31" t="str">
        <f t="shared" si="1046"/>
        <v>BypassOpenStudio_ap,0,</v>
      </c>
      <c r="BU321" s="31" t="str">
        <f t="shared" si="1047"/>
        <v>BypassOpenStudio_ab,0,</v>
      </c>
    </row>
    <row r="322" spans="1:73" outlineLevel="1" x14ac:dyDescent="0.25">
      <c r="A322" s="39">
        <f t="shared" si="1015"/>
        <v>1</v>
      </c>
      <c r="B322" s="27" t="str">
        <f t="shared" si="1048"/>
        <v>SoftwareSensitivity2016Tests\SimplifiedGeometry\1009906-RetlStrp-HVACPSZ HeatEff_NDL.cibd16</v>
      </c>
      <c r="C322" s="27" t="str">
        <f t="shared" si="1049"/>
        <v>BatchOut_171026_r5178_FinalRel-v3-SSTSG_SSTSG\1009906-RetlStrp-HVACPSZ HeatEff_NDL.cibd16</v>
      </c>
      <c r="D322" s="27" t="str">
        <f t="shared" si="1050"/>
        <v>BatchOut_171026_r5178_FinalRel-v3-SSTSG_SSTSG\XML\</v>
      </c>
      <c r="E322" s="9" t="str">
        <f t="shared" si="1051"/>
        <v>1009906-RetlStrp-HVACPSZ HeatEff_NDL</v>
      </c>
      <c r="F322" s="22"/>
      <c r="G322" s="29"/>
      <c r="H322" s="23" t="str">
        <f t="shared" si="1052"/>
        <v/>
      </c>
      <c r="I322" s="9" t="s">
        <v>11</v>
      </c>
      <c r="J322"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2" s="15" t="s">
        <v>1</v>
      </c>
      <c r="L322" s="92">
        <f t="shared" si="1055"/>
        <v>1</v>
      </c>
      <c r="M322" s="91" t="str">
        <f t="shared" si="1053"/>
        <v>1009906-RetlStrp-HVACPSZ HeatEff_NDL</v>
      </c>
      <c r="N322" s="90" t="s">
        <v>222</v>
      </c>
      <c r="O322" s="90" t="str">
        <f t="shared" si="1017"/>
        <v>1009906-RetlStrp-HVACPSZ HeatEff_NDL</v>
      </c>
      <c r="P322" s="92">
        <f t="shared" si="1091"/>
        <v>1</v>
      </c>
      <c r="Q322" s="92">
        <f t="shared" si="1091"/>
        <v>1</v>
      </c>
      <c r="R322" s="92">
        <f t="shared" si="1091"/>
        <v>0</v>
      </c>
      <c r="S322" s="92">
        <f t="shared" si="1091"/>
        <v>1</v>
      </c>
      <c r="T322" s="92">
        <f t="shared" si="1091"/>
        <v>0</v>
      </c>
      <c r="U322" s="92">
        <f t="shared" si="1091"/>
        <v>8</v>
      </c>
      <c r="V322" s="92">
        <f t="shared" si="1091"/>
        <v>8</v>
      </c>
      <c r="W322" s="92">
        <f t="shared" si="1091"/>
        <v>1</v>
      </c>
      <c r="X322" s="92">
        <f t="shared" si="1091"/>
        <v>0</v>
      </c>
      <c r="Y322" s="92">
        <f t="shared" si="1091"/>
        <v>0</v>
      </c>
      <c r="Z322" s="92">
        <f t="shared" si="1091"/>
        <v>0</v>
      </c>
      <c r="AA322" s="92">
        <f t="shared" si="1091"/>
        <v>0</v>
      </c>
      <c r="AB322" s="92">
        <f t="shared" si="1091"/>
        <v>1</v>
      </c>
      <c r="AC322" s="92">
        <f t="shared" si="1091"/>
        <v>0</v>
      </c>
      <c r="AD322" s="92">
        <f t="shared" si="1091"/>
        <v>1</v>
      </c>
      <c r="AE322" s="92">
        <f t="shared" si="1091"/>
        <v>0</v>
      </c>
      <c r="AF322" s="92">
        <f t="shared" si="1091"/>
        <v>0</v>
      </c>
      <c r="AG322" s="92">
        <f t="shared" si="1091"/>
        <v>0</v>
      </c>
      <c r="AH322" s="92">
        <f t="shared" si="1091"/>
        <v>0</v>
      </c>
      <c r="AI322" s="92">
        <f t="shared" si="1091"/>
        <v>0</v>
      </c>
      <c r="AJ322" s="92">
        <f t="shared" si="1092"/>
        <v>0</v>
      </c>
      <c r="AK322" s="92">
        <f t="shared" si="1092"/>
        <v>0</v>
      </c>
      <c r="AL322" s="92">
        <f t="shared" si="1092"/>
        <v>0</v>
      </c>
      <c r="AM322" s="92">
        <f t="shared" si="1092"/>
        <v>0</v>
      </c>
      <c r="AN322" s="92">
        <f t="shared" si="1092"/>
        <v>0</v>
      </c>
      <c r="AO322" s="92">
        <f t="shared" si="1092"/>
        <v>0</v>
      </c>
      <c r="AP322" s="92">
        <f t="shared" si="1092"/>
        <v>0</v>
      </c>
      <c r="AQ322" s="92">
        <f t="shared" si="1092"/>
        <v>0</v>
      </c>
      <c r="AR322" s="92">
        <f t="shared" si="1092"/>
        <v>0</v>
      </c>
      <c r="AS322" s="31" t="str">
        <f t="shared" si="1019"/>
        <v>SimulationStorage,1,</v>
      </c>
      <c r="AT322" s="31" t="str">
        <f t="shared" si="1020"/>
        <v>AnalysisStorage,1,</v>
      </c>
      <c r="AU322" s="31" t="str">
        <f t="shared" si="1021"/>
        <v>LogRuleEvaluation,0,</v>
      </c>
      <c r="AV322" s="31" t="str">
        <f t="shared" si="1022"/>
        <v>ParallelSimulations,1,</v>
      </c>
      <c r="AW322" s="31" t="str">
        <f t="shared" si="1023"/>
        <v>DurationStats,0,</v>
      </c>
      <c r="AX322" s="31" t="str">
        <f t="shared" si="1024"/>
        <v>AnalysisThruStep,8,</v>
      </c>
      <c r="AY322" s="31" t="str">
        <f t="shared" si="1025"/>
        <v>DontAbortOnErrorsThruStep,8,</v>
      </c>
      <c r="AZ322" s="31" t="str">
        <f t="shared" si="1026"/>
        <v>BypassValidFileChecks,1,</v>
      </c>
      <c r="BA322" s="31" t="str">
        <f t="shared" si="1027"/>
        <v>BypassInputChecks,0,</v>
      </c>
      <c r="BB322" s="31" t="str">
        <f t="shared" si="1028"/>
        <v>BypassUMLHChecks,0,</v>
      </c>
      <c r="BC322" s="31" t="str">
        <f t="shared" si="1029"/>
        <v>BypassCheckSimRules,0,</v>
      </c>
      <c r="BD322" s="31" t="str">
        <f t="shared" si="1030"/>
        <v>BypassCheckCodeRules,0,</v>
      </c>
      <c r="BE322" s="31" t="str">
        <f t="shared" si="1031"/>
        <v>StoreResultsToModelInput,1,</v>
      </c>
      <c r="BF322" s="31" t="str">
        <f t="shared" si="1032"/>
        <v>StoreBEMDetails,0,</v>
      </c>
      <c r="BG322" s="31" t="str">
        <f t="shared" si="1033"/>
        <v>ModelRpt_ALL,1,</v>
      </c>
      <c r="BH322" s="31" t="str">
        <f t="shared" si="1034"/>
        <v>ExportHourlyResults_All,0,</v>
      </c>
      <c r="BI322" s="31" t="str">
        <f t="shared" si="1035"/>
        <v>ComplianceReportPDF,0,</v>
      </c>
      <c r="BJ322" s="31" t="str">
        <f t="shared" si="1036"/>
        <v>ComplianceReportXML,0,</v>
      </c>
      <c r="BK322" s="31" t="str">
        <f t="shared" si="1037"/>
        <v>QuickAnalysis,0,</v>
      </c>
      <c r="BL322" s="31" t="str">
        <f t="shared" si="1038"/>
        <v>PromptUserUMLHWarning,0,</v>
      </c>
      <c r="BM322" s="31" t="str">
        <f t="shared" si="1039"/>
        <v>BypassOpenStudio_all,0,</v>
      </c>
      <c r="BN322" s="31" t="str">
        <f t="shared" si="1040"/>
        <v>BypassOpenStudio_zp,0,</v>
      </c>
      <c r="BO322" s="31" t="str">
        <f t="shared" si="1041"/>
        <v>BypassOpenStudio_zb,0,</v>
      </c>
      <c r="BP322" s="31" t="str">
        <f t="shared" si="1042"/>
        <v>BypassOpenStudio_ap,0,</v>
      </c>
      <c r="BQ322" s="31" t="str">
        <f t="shared" si="1043"/>
        <v>BypassOpenStudio_ab,0,</v>
      </c>
      <c r="BR322" s="31" t="str">
        <f t="shared" si="1044"/>
        <v>BypassOpenStudio_zp,0,</v>
      </c>
      <c r="BS322" s="31" t="str">
        <f t="shared" si="1045"/>
        <v>BypassOpenStudio_zb,0,</v>
      </c>
      <c r="BT322" s="31" t="str">
        <f t="shared" si="1046"/>
        <v>BypassOpenStudio_ap,0,</v>
      </c>
      <c r="BU322" s="31" t="str">
        <f t="shared" si="1047"/>
        <v>BypassOpenStudio_ab,0,</v>
      </c>
    </row>
    <row r="323" spans="1:73" outlineLevel="1" x14ac:dyDescent="0.25">
      <c r="A323" s="39">
        <f t="shared" si="1015"/>
        <v>1</v>
      </c>
      <c r="B323" s="27" t="str">
        <f t="shared" si="1048"/>
        <v>SoftwareSensitivity2016Tests\SimplifiedGeometry\1010006-RetlStrp-HVACPSZ EconomizerControl_NDL.cibd16</v>
      </c>
      <c r="C323" s="27" t="str">
        <f t="shared" si="1049"/>
        <v>BatchOut_171026_r5178_FinalRel-v3-SSTSG_SSTSG\1010006-RetlStrp-HVACPSZ EconomizerControl_NDL.cibd16</v>
      </c>
      <c r="D323" s="27" t="str">
        <f t="shared" si="1050"/>
        <v>BatchOut_171026_r5178_FinalRel-v3-SSTSG_SSTSG\XML\</v>
      </c>
      <c r="E323" s="9" t="str">
        <f t="shared" si="1051"/>
        <v>1010006-RetlStrp-HVACPSZ EconomizerControl_NDL</v>
      </c>
      <c r="F323" s="22"/>
      <c r="G323" s="29"/>
      <c r="H323" s="23" t="str">
        <f t="shared" si="1052"/>
        <v/>
      </c>
      <c r="I323" s="9" t="s">
        <v>11</v>
      </c>
      <c r="J323"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3" s="15" t="s">
        <v>1</v>
      </c>
      <c r="L323" s="92">
        <f t="shared" si="1055"/>
        <v>1</v>
      </c>
      <c r="M323" s="91" t="str">
        <f t="shared" si="1053"/>
        <v>1010006-RetlStrp-HVACPSZ EconomizerControl_NDL</v>
      </c>
      <c r="N323" s="90" t="s">
        <v>223</v>
      </c>
      <c r="O323" s="90" t="str">
        <f t="shared" si="1017"/>
        <v>1010006-RetlStrp-HVACPSZ EconomizerControl_NDL</v>
      </c>
      <c r="P323" s="92">
        <f t="shared" si="1091"/>
        <v>1</v>
      </c>
      <c r="Q323" s="92">
        <f t="shared" si="1091"/>
        <v>1</v>
      </c>
      <c r="R323" s="92">
        <f t="shared" si="1091"/>
        <v>0</v>
      </c>
      <c r="S323" s="92">
        <f t="shared" si="1091"/>
        <v>1</v>
      </c>
      <c r="T323" s="92">
        <f t="shared" si="1091"/>
        <v>0</v>
      </c>
      <c r="U323" s="92">
        <f t="shared" si="1091"/>
        <v>8</v>
      </c>
      <c r="V323" s="92">
        <f t="shared" si="1091"/>
        <v>8</v>
      </c>
      <c r="W323" s="92">
        <f t="shared" si="1091"/>
        <v>1</v>
      </c>
      <c r="X323" s="92">
        <f t="shared" si="1091"/>
        <v>0</v>
      </c>
      <c r="Y323" s="92">
        <f t="shared" si="1091"/>
        <v>0</v>
      </c>
      <c r="Z323" s="92">
        <f t="shared" si="1091"/>
        <v>0</v>
      </c>
      <c r="AA323" s="92">
        <f t="shared" si="1091"/>
        <v>0</v>
      </c>
      <c r="AB323" s="92">
        <f t="shared" si="1091"/>
        <v>1</v>
      </c>
      <c r="AC323" s="92">
        <f t="shared" si="1091"/>
        <v>0</v>
      </c>
      <c r="AD323" s="92">
        <f t="shared" si="1091"/>
        <v>1</v>
      </c>
      <c r="AE323" s="92">
        <f t="shared" ref="AE323:AI323" si="1093">AE322</f>
        <v>0</v>
      </c>
      <c r="AF323" s="92">
        <f t="shared" si="1093"/>
        <v>0</v>
      </c>
      <c r="AG323" s="92">
        <f t="shared" si="1093"/>
        <v>0</v>
      </c>
      <c r="AH323" s="92">
        <f t="shared" si="1093"/>
        <v>0</v>
      </c>
      <c r="AI323" s="92">
        <f t="shared" si="1093"/>
        <v>0</v>
      </c>
      <c r="AJ323" s="92">
        <f t="shared" si="1092"/>
        <v>0</v>
      </c>
      <c r="AK323" s="92">
        <f t="shared" si="1092"/>
        <v>0</v>
      </c>
      <c r="AL323" s="92">
        <f t="shared" si="1092"/>
        <v>0</v>
      </c>
      <c r="AM323" s="92">
        <f t="shared" si="1092"/>
        <v>0</v>
      </c>
      <c r="AN323" s="92">
        <f t="shared" si="1092"/>
        <v>0</v>
      </c>
      <c r="AO323" s="92">
        <f t="shared" si="1092"/>
        <v>0</v>
      </c>
      <c r="AP323" s="92">
        <f t="shared" si="1092"/>
        <v>0</v>
      </c>
      <c r="AQ323" s="92">
        <f t="shared" si="1092"/>
        <v>0</v>
      </c>
      <c r="AR323" s="92">
        <f t="shared" si="1092"/>
        <v>0</v>
      </c>
      <c r="AS323" s="31" t="str">
        <f t="shared" si="1019"/>
        <v>SimulationStorage,1,</v>
      </c>
      <c r="AT323" s="31" t="str">
        <f t="shared" si="1020"/>
        <v>AnalysisStorage,1,</v>
      </c>
      <c r="AU323" s="31" t="str">
        <f t="shared" si="1021"/>
        <v>LogRuleEvaluation,0,</v>
      </c>
      <c r="AV323" s="31" t="str">
        <f t="shared" si="1022"/>
        <v>ParallelSimulations,1,</v>
      </c>
      <c r="AW323" s="31" t="str">
        <f t="shared" si="1023"/>
        <v>DurationStats,0,</v>
      </c>
      <c r="AX323" s="31" t="str">
        <f t="shared" si="1024"/>
        <v>AnalysisThruStep,8,</v>
      </c>
      <c r="AY323" s="31" t="str">
        <f t="shared" si="1025"/>
        <v>DontAbortOnErrorsThruStep,8,</v>
      </c>
      <c r="AZ323" s="31" t="str">
        <f t="shared" si="1026"/>
        <v>BypassValidFileChecks,1,</v>
      </c>
      <c r="BA323" s="31" t="str">
        <f t="shared" si="1027"/>
        <v>BypassInputChecks,0,</v>
      </c>
      <c r="BB323" s="31" t="str">
        <f t="shared" si="1028"/>
        <v>BypassUMLHChecks,0,</v>
      </c>
      <c r="BC323" s="31" t="str">
        <f t="shared" si="1029"/>
        <v>BypassCheckSimRules,0,</v>
      </c>
      <c r="BD323" s="31" t="str">
        <f t="shared" si="1030"/>
        <v>BypassCheckCodeRules,0,</v>
      </c>
      <c r="BE323" s="31" t="str">
        <f t="shared" si="1031"/>
        <v>StoreResultsToModelInput,1,</v>
      </c>
      <c r="BF323" s="31" t="str">
        <f t="shared" si="1032"/>
        <v>StoreBEMDetails,0,</v>
      </c>
      <c r="BG323" s="31" t="str">
        <f t="shared" si="1033"/>
        <v>ModelRpt_ALL,1,</v>
      </c>
      <c r="BH323" s="31" t="str">
        <f t="shared" si="1034"/>
        <v>ExportHourlyResults_All,0,</v>
      </c>
      <c r="BI323" s="31" t="str">
        <f t="shared" si="1035"/>
        <v>ComplianceReportPDF,0,</v>
      </c>
      <c r="BJ323" s="31" t="str">
        <f t="shared" si="1036"/>
        <v>ComplianceReportXML,0,</v>
      </c>
      <c r="BK323" s="31" t="str">
        <f t="shared" si="1037"/>
        <v>QuickAnalysis,0,</v>
      </c>
      <c r="BL323" s="31" t="str">
        <f t="shared" si="1038"/>
        <v>PromptUserUMLHWarning,0,</v>
      </c>
      <c r="BM323" s="31" t="str">
        <f t="shared" si="1039"/>
        <v>BypassOpenStudio_all,0,</v>
      </c>
      <c r="BN323" s="31" t="str">
        <f t="shared" si="1040"/>
        <v>BypassOpenStudio_zp,0,</v>
      </c>
      <c r="BO323" s="31" t="str">
        <f t="shared" si="1041"/>
        <v>BypassOpenStudio_zb,0,</v>
      </c>
      <c r="BP323" s="31" t="str">
        <f t="shared" si="1042"/>
        <v>BypassOpenStudio_ap,0,</v>
      </c>
      <c r="BQ323" s="31" t="str">
        <f t="shared" si="1043"/>
        <v>BypassOpenStudio_ab,0,</v>
      </c>
      <c r="BR323" s="31" t="str">
        <f t="shared" si="1044"/>
        <v>BypassOpenStudio_zp,0,</v>
      </c>
      <c r="BS323" s="31" t="str">
        <f t="shared" si="1045"/>
        <v>BypassOpenStudio_zb,0,</v>
      </c>
      <c r="BT323" s="31" t="str">
        <f t="shared" si="1046"/>
        <v>BypassOpenStudio_ap,0,</v>
      </c>
      <c r="BU323" s="31" t="str">
        <f t="shared" si="1047"/>
        <v>BypassOpenStudio_ab,0,</v>
      </c>
    </row>
    <row r="324" spans="1:73" outlineLevel="1" x14ac:dyDescent="0.25">
      <c r="A324" s="39">
        <f t="shared" si="1015"/>
        <v>1</v>
      </c>
      <c r="B324" s="27" t="str">
        <f t="shared" si="1048"/>
        <v>SoftwareSensitivity2016Tests\SimplifiedGeometry\1010115-RetlStrp-HVACPTAC DXCOP_NDL.cibd16</v>
      </c>
      <c r="C324" s="27" t="str">
        <f t="shared" si="1049"/>
        <v>BatchOut_171026_r5178_FinalRel-v3-SSTSG_SSTSG\1010115-RetlStrp-HVACPTAC DXCOP_NDL.cibd16</v>
      </c>
      <c r="D324" s="27" t="str">
        <f t="shared" si="1050"/>
        <v>BatchOut_171026_r5178_FinalRel-v3-SSTSG_SSTSG\XML\</v>
      </c>
      <c r="E324" s="9" t="str">
        <f t="shared" si="1051"/>
        <v>1010115-RetlStrp-HVACPTAC DXCOP_NDL</v>
      </c>
      <c r="F324" s="22"/>
      <c r="G324" s="29"/>
      <c r="H324" s="23" t="str">
        <f t="shared" si="1052"/>
        <v/>
      </c>
      <c r="I324" s="9" t="s">
        <v>11</v>
      </c>
      <c r="J324"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4" s="15" t="s">
        <v>1</v>
      </c>
      <c r="L324" s="92">
        <f t="shared" si="1055"/>
        <v>1</v>
      </c>
      <c r="M324" s="91" t="str">
        <f t="shared" si="1053"/>
        <v>1010115-RetlStrp-HVACPTAC DXCOP_NDL</v>
      </c>
      <c r="N324" s="90" t="s">
        <v>224</v>
      </c>
      <c r="O324" s="90" t="str">
        <f t="shared" si="1017"/>
        <v>1010115-RetlStrp-HVACPTAC DXCOP_NDL</v>
      </c>
      <c r="P324" s="92">
        <f t="shared" ref="P324:AJ336" si="1094">P323</f>
        <v>1</v>
      </c>
      <c r="Q324" s="92">
        <f t="shared" si="1094"/>
        <v>1</v>
      </c>
      <c r="R324" s="92">
        <f t="shared" si="1094"/>
        <v>0</v>
      </c>
      <c r="S324" s="92">
        <f t="shared" si="1094"/>
        <v>1</v>
      </c>
      <c r="T324" s="92">
        <f t="shared" si="1094"/>
        <v>0</v>
      </c>
      <c r="U324" s="92">
        <f t="shared" si="1094"/>
        <v>8</v>
      </c>
      <c r="V324" s="92">
        <f t="shared" si="1094"/>
        <v>8</v>
      </c>
      <c r="W324" s="92">
        <f t="shared" si="1094"/>
        <v>1</v>
      </c>
      <c r="X324" s="92">
        <f t="shared" si="1094"/>
        <v>0</v>
      </c>
      <c r="Y324" s="92">
        <f t="shared" si="1094"/>
        <v>0</v>
      </c>
      <c r="Z324" s="92">
        <f t="shared" si="1094"/>
        <v>0</v>
      </c>
      <c r="AA324" s="92">
        <f t="shared" si="1094"/>
        <v>0</v>
      </c>
      <c r="AB324" s="92">
        <f t="shared" si="1094"/>
        <v>1</v>
      </c>
      <c r="AC324" s="92">
        <f t="shared" si="1094"/>
        <v>0</v>
      </c>
      <c r="AD324" s="92">
        <f t="shared" si="1094"/>
        <v>1</v>
      </c>
      <c r="AE324" s="92">
        <f t="shared" si="1094"/>
        <v>0</v>
      </c>
      <c r="AF324" s="92">
        <f t="shared" si="1094"/>
        <v>0</v>
      </c>
      <c r="AG324" s="92">
        <f t="shared" si="1094"/>
        <v>0</v>
      </c>
      <c r="AH324" s="92">
        <f t="shared" si="1094"/>
        <v>0</v>
      </c>
      <c r="AI324" s="92">
        <f t="shared" si="1094"/>
        <v>0</v>
      </c>
      <c r="AJ324" s="92">
        <f t="shared" si="1092"/>
        <v>0</v>
      </c>
      <c r="AK324" s="92">
        <f t="shared" si="1092"/>
        <v>0</v>
      </c>
      <c r="AL324" s="92">
        <f t="shared" si="1092"/>
        <v>0</v>
      </c>
      <c r="AM324" s="92">
        <f t="shared" si="1092"/>
        <v>0</v>
      </c>
      <c r="AN324" s="92">
        <f t="shared" si="1092"/>
        <v>0</v>
      </c>
      <c r="AO324" s="92">
        <f t="shared" si="1092"/>
        <v>0</v>
      </c>
      <c r="AP324" s="92">
        <f t="shared" si="1092"/>
        <v>0</v>
      </c>
      <c r="AQ324" s="92">
        <f t="shared" si="1092"/>
        <v>0</v>
      </c>
      <c r="AR324" s="92">
        <f t="shared" si="1092"/>
        <v>0</v>
      </c>
      <c r="AS324" s="31" t="str">
        <f t="shared" si="1019"/>
        <v>SimulationStorage,1,</v>
      </c>
      <c r="AT324" s="31" t="str">
        <f t="shared" si="1020"/>
        <v>AnalysisStorage,1,</v>
      </c>
      <c r="AU324" s="31" t="str">
        <f t="shared" si="1021"/>
        <v>LogRuleEvaluation,0,</v>
      </c>
      <c r="AV324" s="31" t="str">
        <f t="shared" si="1022"/>
        <v>ParallelSimulations,1,</v>
      </c>
      <c r="AW324" s="31" t="str">
        <f t="shared" si="1023"/>
        <v>DurationStats,0,</v>
      </c>
      <c r="AX324" s="31" t="str">
        <f t="shared" si="1024"/>
        <v>AnalysisThruStep,8,</v>
      </c>
      <c r="AY324" s="31" t="str">
        <f t="shared" si="1025"/>
        <v>DontAbortOnErrorsThruStep,8,</v>
      </c>
      <c r="AZ324" s="31" t="str">
        <f t="shared" si="1026"/>
        <v>BypassValidFileChecks,1,</v>
      </c>
      <c r="BA324" s="31" t="str">
        <f t="shared" si="1027"/>
        <v>BypassInputChecks,0,</v>
      </c>
      <c r="BB324" s="31" t="str">
        <f t="shared" si="1028"/>
        <v>BypassUMLHChecks,0,</v>
      </c>
      <c r="BC324" s="31" t="str">
        <f t="shared" si="1029"/>
        <v>BypassCheckSimRules,0,</v>
      </c>
      <c r="BD324" s="31" t="str">
        <f t="shared" si="1030"/>
        <v>BypassCheckCodeRules,0,</v>
      </c>
      <c r="BE324" s="31" t="str">
        <f t="shared" si="1031"/>
        <v>StoreResultsToModelInput,1,</v>
      </c>
      <c r="BF324" s="31" t="str">
        <f t="shared" si="1032"/>
        <v>StoreBEMDetails,0,</v>
      </c>
      <c r="BG324" s="31" t="str">
        <f t="shared" si="1033"/>
        <v>ModelRpt_ALL,1,</v>
      </c>
      <c r="BH324" s="31" t="str">
        <f t="shared" si="1034"/>
        <v>ExportHourlyResults_All,0,</v>
      </c>
      <c r="BI324" s="31" t="str">
        <f t="shared" si="1035"/>
        <v>ComplianceReportPDF,0,</v>
      </c>
      <c r="BJ324" s="31" t="str">
        <f t="shared" si="1036"/>
        <v>ComplianceReportXML,0,</v>
      </c>
      <c r="BK324" s="31" t="str">
        <f t="shared" si="1037"/>
        <v>QuickAnalysis,0,</v>
      </c>
      <c r="BL324" s="31" t="str">
        <f t="shared" si="1038"/>
        <v>PromptUserUMLHWarning,0,</v>
      </c>
      <c r="BM324" s="31" t="str">
        <f t="shared" si="1039"/>
        <v>BypassOpenStudio_all,0,</v>
      </c>
      <c r="BN324" s="31" t="str">
        <f t="shared" si="1040"/>
        <v>BypassOpenStudio_zp,0,</v>
      </c>
      <c r="BO324" s="31" t="str">
        <f t="shared" si="1041"/>
        <v>BypassOpenStudio_zb,0,</v>
      </c>
      <c r="BP324" s="31" t="str">
        <f t="shared" si="1042"/>
        <v>BypassOpenStudio_ap,0,</v>
      </c>
      <c r="BQ324" s="31" t="str">
        <f t="shared" si="1043"/>
        <v>BypassOpenStudio_ab,0,</v>
      </c>
      <c r="BR324" s="31" t="str">
        <f t="shared" si="1044"/>
        <v>BypassOpenStudio_zp,0,</v>
      </c>
      <c r="BS324" s="31" t="str">
        <f t="shared" si="1045"/>
        <v>BypassOpenStudio_zb,0,</v>
      </c>
      <c r="BT324" s="31" t="str">
        <f t="shared" si="1046"/>
        <v>BypassOpenStudio_ap,0,</v>
      </c>
      <c r="BU324" s="31" t="str">
        <f t="shared" si="1047"/>
        <v>BypassOpenStudio_ab,0,</v>
      </c>
    </row>
    <row r="325" spans="1:73" outlineLevel="1" x14ac:dyDescent="0.25">
      <c r="A325" s="39">
        <f t="shared" si="1015"/>
        <v>1</v>
      </c>
      <c r="B325" s="27" t="str">
        <f t="shared" si="1048"/>
        <v>SoftwareSensitivity2016Tests\SimplifiedGeometry\1010306-RetlStrp-HVACPTAC DXCOP_NDL.cibd16</v>
      </c>
      <c r="C325" s="27" t="str">
        <f t="shared" si="1049"/>
        <v>BatchOut_171026_r5178_FinalRel-v3-SSTSG_SSTSG\1010306-RetlStrp-HVACPTAC DXCOP_NDL.cibd16</v>
      </c>
      <c r="D325" s="27" t="str">
        <f t="shared" si="1050"/>
        <v>BatchOut_171026_r5178_FinalRel-v3-SSTSG_SSTSG\XML\</v>
      </c>
      <c r="E325" s="9" t="str">
        <f t="shared" si="1051"/>
        <v>1010306-RetlStrp-HVACPTAC DXCOP_NDL</v>
      </c>
      <c r="F325" s="22"/>
      <c r="G325" s="29"/>
      <c r="H325" s="23" t="str">
        <f t="shared" si="1052"/>
        <v/>
      </c>
      <c r="I325" s="9" t="s">
        <v>11</v>
      </c>
      <c r="J325"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5" s="15" t="s">
        <v>1</v>
      </c>
      <c r="L325" s="92">
        <f t="shared" si="1055"/>
        <v>1</v>
      </c>
      <c r="M325" s="91" t="str">
        <f t="shared" si="1053"/>
        <v>1010306-RetlStrp-HVACPTAC DXCOP_NDL</v>
      </c>
      <c r="N325" s="90" t="s">
        <v>225</v>
      </c>
      <c r="O325" s="90" t="str">
        <f t="shared" si="1017"/>
        <v>1010306-RetlStrp-HVACPTAC DXCOP_NDL</v>
      </c>
      <c r="P325" s="92">
        <f t="shared" si="1094"/>
        <v>1</v>
      </c>
      <c r="Q325" s="92">
        <f t="shared" si="1094"/>
        <v>1</v>
      </c>
      <c r="R325" s="92">
        <f t="shared" si="1094"/>
        <v>0</v>
      </c>
      <c r="S325" s="92">
        <f t="shared" si="1094"/>
        <v>1</v>
      </c>
      <c r="T325" s="92">
        <f t="shared" si="1094"/>
        <v>0</v>
      </c>
      <c r="U325" s="92">
        <f t="shared" si="1094"/>
        <v>8</v>
      </c>
      <c r="V325" s="92">
        <f t="shared" si="1094"/>
        <v>8</v>
      </c>
      <c r="W325" s="92">
        <f t="shared" si="1094"/>
        <v>1</v>
      </c>
      <c r="X325" s="92">
        <f t="shared" si="1094"/>
        <v>0</v>
      </c>
      <c r="Y325" s="92">
        <f t="shared" si="1094"/>
        <v>0</v>
      </c>
      <c r="Z325" s="92">
        <f t="shared" si="1094"/>
        <v>0</v>
      </c>
      <c r="AA325" s="92">
        <f t="shared" si="1094"/>
        <v>0</v>
      </c>
      <c r="AB325" s="92">
        <f t="shared" si="1094"/>
        <v>1</v>
      </c>
      <c r="AC325" s="92">
        <f t="shared" si="1094"/>
        <v>0</v>
      </c>
      <c r="AD325" s="92">
        <f t="shared" si="1094"/>
        <v>1</v>
      </c>
      <c r="AE325" s="92">
        <f t="shared" si="1094"/>
        <v>0</v>
      </c>
      <c r="AF325" s="92">
        <f t="shared" si="1094"/>
        <v>0</v>
      </c>
      <c r="AG325" s="92">
        <f t="shared" si="1094"/>
        <v>0</v>
      </c>
      <c r="AH325" s="92">
        <f t="shared" si="1094"/>
        <v>0</v>
      </c>
      <c r="AI325" s="92">
        <f t="shared" si="1094"/>
        <v>0</v>
      </c>
      <c r="AJ325" s="92">
        <f t="shared" si="1092"/>
        <v>0</v>
      </c>
      <c r="AK325" s="92">
        <f t="shared" si="1092"/>
        <v>0</v>
      </c>
      <c r="AL325" s="92">
        <f t="shared" si="1092"/>
        <v>0</v>
      </c>
      <c r="AM325" s="92">
        <f t="shared" si="1092"/>
        <v>0</v>
      </c>
      <c r="AN325" s="92">
        <f t="shared" si="1092"/>
        <v>0</v>
      </c>
      <c r="AO325" s="92">
        <f t="shared" si="1092"/>
        <v>0</v>
      </c>
      <c r="AP325" s="92">
        <f t="shared" si="1092"/>
        <v>0</v>
      </c>
      <c r="AQ325" s="92">
        <f t="shared" si="1092"/>
        <v>0</v>
      </c>
      <c r="AR325" s="92">
        <f t="shared" si="1092"/>
        <v>0</v>
      </c>
      <c r="AS325" s="31" t="str">
        <f t="shared" si="1019"/>
        <v>SimulationStorage,1,</v>
      </c>
      <c r="AT325" s="31" t="str">
        <f t="shared" si="1020"/>
        <v>AnalysisStorage,1,</v>
      </c>
      <c r="AU325" s="31" t="str">
        <f t="shared" si="1021"/>
        <v>LogRuleEvaluation,0,</v>
      </c>
      <c r="AV325" s="31" t="str">
        <f t="shared" si="1022"/>
        <v>ParallelSimulations,1,</v>
      </c>
      <c r="AW325" s="31" t="str">
        <f t="shared" si="1023"/>
        <v>DurationStats,0,</v>
      </c>
      <c r="AX325" s="31" t="str">
        <f t="shared" si="1024"/>
        <v>AnalysisThruStep,8,</v>
      </c>
      <c r="AY325" s="31" t="str">
        <f t="shared" si="1025"/>
        <v>DontAbortOnErrorsThruStep,8,</v>
      </c>
      <c r="AZ325" s="31" t="str">
        <f t="shared" si="1026"/>
        <v>BypassValidFileChecks,1,</v>
      </c>
      <c r="BA325" s="31" t="str">
        <f t="shared" si="1027"/>
        <v>BypassInputChecks,0,</v>
      </c>
      <c r="BB325" s="31" t="str">
        <f t="shared" si="1028"/>
        <v>BypassUMLHChecks,0,</v>
      </c>
      <c r="BC325" s="31" t="str">
        <f t="shared" si="1029"/>
        <v>BypassCheckSimRules,0,</v>
      </c>
      <c r="BD325" s="31" t="str">
        <f t="shared" si="1030"/>
        <v>BypassCheckCodeRules,0,</v>
      </c>
      <c r="BE325" s="31" t="str">
        <f t="shared" si="1031"/>
        <v>StoreResultsToModelInput,1,</v>
      </c>
      <c r="BF325" s="31" t="str">
        <f t="shared" si="1032"/>
        <v>StoreBEMDetails,0,</v>
      </c>
      <c r="BG325" s="31" t="str">
        <f t="shared" si="1033"/>
        <v>ModelRpt_ALL,1,</v>
      </c>
      <c r="BH325" s="31" t="str">
        <f t="shared" si="1034"/>
        <v>ExportHourlyResults_All,0,</v>
      </c>
      <c r="BI325" s="31" t="str">
        <f t="shared" si="1035"/>
        <v>ComplianceReportPDF,0,</v>
      </c>
      <c r="BJ325" s="31" t="str">
        <f t="shared" si="1036"/>
        <v>ComplianceReportXML,0,</v>
      </c>
      <c r="BK325" s="31" t="str">
        <f t="shared" si="1037"/>
        <v>QuickAnalysis,0,</v>
      </c>
      <c r="BL325" s="31" t="str">
        <f t="shared" si="1038"/>
        <v>PromptUserUMLHWarning,0,</v>
      </c>
      <c r="BM325" s="31" t="str">
        <f t="shared" si="1039"/>
        <v>BypassOpenStudio_all,0,</v>
      </c>
      <c r="BN325" s="31" t="str">
        <f t="shared" si="1040"/>
        <v>BypassOpenStudio_zp,0,</v>
      </c>
      <c r="BO325" s="31" t="str">
        <f t="shared" si="1041"/>
        <v>BypassOpenStudio_zb,0,</v>
      </c>
      <c r="BP325" s="31" t="str">
        <f t="shared" si="1042"/>
        <v>BypassOpenStudio_ap,0,</v>
      </c>
      <c r="BQ325" s="31" t="str">
        <f t="shared" si="1043"/>
        <v>BypassOpenStudio_ab,0,</v>
      </c>
      <c r="BR325" s="31" t="str">
        <f t="shared" si="1044"/>
        <v>BypassOpenStudio_zp,0,</v>
      </c>
      <c r="BS325" s="31" t="str">
        <f t="shared" si="1045"/>
        <v>BypassOpenStudio_zb,0,</v>
      </c>
      <c r="BT325" s="31" t="str">
        <f t="shared" si="1046"/>
        <v>BypassOpenStudio_ap,0,</v>
      </c>
      <c r="BU325" s="31" t="str">
        <f t="shared" si="1047"/>
        <v>BypassOpenStudio_ab,0,</v>
      </c>
    </row>
    <row r="326" spans="1:73" outlineLevel="1" x14ac:dyDescent="0.25">
      <c r="A326" s="39">
        <f t="shared" si="1015"/>
        <v>1</v>
      </c>
      <c r="B326" s="27" t="str">
        <f t="shared" si="1048"/>
        <v>SoftwareSensitivity2016Tests\SimplifiedGeometry\1010515-RetlStrp-FPFC_NDL.cibd16</v>
      </c>
      <c r="C326" s="27" t="str">
        <f t="shared" si="1049"/>
        <v>BatchOut_171026_r5178_FinalRel-v3-SSTSG_SSTSG\1010515-RetlStrp-FPFC_NDL.cibd16</v>
      </c>
      <c r="D326" s="27" t="str">
        <f t="shared" si="1050"/>
        <v>BatchOut_171026_r5178_FinalRel-v3-SSTSG_SSTSG\XML\</v>
      </c>
      <c r="E326" s="9" t="str">
        <f t="shared" si="1051"/>
        <v>1010515-RetlStrp-FPFC_NDL</v>
      </c>
      <c r="F326" s="22"/>
      <c r="G326" s="29"/>
      <c r="H326" s="23" t="str">
        <f t="shared" si="1052"/>
        <v/>
      </c>
      <c r="I326" s="9" t="s">
        <v>11</v>
      </c>
      <c r="J326"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6" s="15" t="s">
        <v>1</v>
      </c>
      <c r="L326" s="92">
        <f t="shared" si="1055"/>
        <v>1</v>
      </c>
      <c r="M326" s="91" t="str">
        <f t="shared" si="1053"/>
        <v>1010515-RetlStrp-FPFC_NDL</v>
      </c>
      <c r="N326" s="90" t="s">
        <v>226</v>
      </c>
      <c r="O326" s="90" t="str">
        <f t="shared" si="1017"/>
        <v>1010515-RetlStrp-FPFC_NDL</v>
      </c>
      <c r="P326" s="92">
        <f t="shared" si="1094"/>
        <v>1</v>
      </c>
      <c r="Q326" s="92">
        <f t="shared" si="1094"/>
        <v>1</v>
      </c>
      <c r="R326" s="92">
        <f t="shared" si="1094"/>
        <v>0</v>
      </c>
      <c r="S326" s="92">
        <f t="shared" si="1094"/>
        <v>1</v>
      </c>
      <c r="T326" s="92">
        <f t="shared" si="1094"/>
        <v>0</v>
      </c>
      <c r="U326" s="92">
        <f t="shared" si="1094"/>
        <v>8</v>
      </c>
      <c r="V326" s="92">
        <f t="shared" si="1094"/>
        <v>8</v>
      </c>
      <c r="W326" s="92">
        <f t="shared" si="1094"/>
        <v>1</v>
      </c>
      <c r="X326" s="92">
        <f t="shared" si="1094"/>
        <v>0</v>
      </c>
      <c r="Y326" s="92">
        <f t="shared" si="1094"/>
        <v>0</v>
      </c>
      <c r="Z326" s="92">
        <f t="shared" si="1094"/>
        <v>0</v>
      </c>
      <c r="AA326" s="92">
        <f t="shared" si="1094"/>
        <v>0</v>
      </c>
      <c r="AB326" s="92">
        <f t="shared" si="1094"/>
        <v>1</v>
      </c>
      <c r="AC326" s="92">
        <f t="shared" si="1094"/>
        <v>0</v>
      </c>
      <c r="AD326" s="92">
        <f t="shared" si="1094"/>
        <v>1</v>
      </c>
      <c r="AE326" s="92">
        <f t="shared" si="1094"/>
        <v>0</v>
      </c>
      <c r="AF326" s="92">
        <f t="shared" si="1094"/>
        <v>0</v>
      </c>
      <c r="AG326" s="92">
        <f t="shared" si="1094"/>
        <v>0</v>
      </c>
      <c r="AH326" s="92">
        <f t="shared" si="1094"/>
        <v>0</v>
      </c>
      <c r="AI326" s="92">
        <f t="shared" si="1094"/>
        <v>0</v>
      </c>
      <c r="AJ326" s="92">
        <f t="shared" si="1092"/>
        <v>0</v>
      </c>
      <c r="AK326" s="92">
        <f t="shared" si="1092"/>
        <v>0</v>
      </c>
      <c r="AL326" s="92">
        <f t="shared" si="1092"/>
        <v>0</v>
      </c>
      <c r="AM326" s="92">
        <f t="shared" si="1092"/>
        <v>0</v>
      </c>
      <c r="AN326" s="92">
        <f t="shared" si="1092"/>
        <v>0</v>
      </c>
      <c r="AO326" s="92">
        <f t="shared" si="1092"/>
        <v>0</v>
      </c>
      <c r="AP326" s="92">
        <f t="shared" si="1092"/>
        <v>0</v>
      </c>
      <c r="AQ326" s="92">
        <f t="shared" si="1092"/>
        <v>0</v>
      </c>
      <c r="AR326" s="92">
        <f t="shared" si="1092"/>
        <v>0</v>
      </c>
      <c r="AS326" s="31" t="str">
        <f t="shared" si="1019"/>
        <v>SimulationStorage,1,</v>
      </c>
      <c r="AT326" s="31" t="str">
        <f t="shared" si="1020"/>
        <v>AnalysisStorage,1,</v>
      </c>
      <c r="AU326" s="31" t="str">
        <f t="shared" si="1021"/>
        <v>LogRuleEvaluation,0,</v>
      </c>
      <c r="AV326" s="31" t="str">
        <f t="shared" si="1022"/>
        <v>ParallelSimulations,1,</v>
      </c>
      <c r="AW326" s="31" t="str">
        <f t="shared" si="1023"/>
        <v>DurationStats,0,</v>
      </c>
      <c r="AX326" s="31" t="str">
        <f t="shared" si="1024"/>
        <v>AnalysisThruStep,8,</v>
      </c>
      <c r="AY326" s="31" t="str">
        <f t="shared" si="1025"/>
        <v>DontAbortOnErrorsThruStep,8,</v>
      </c>
      <c r="AZ326" s="31" t="str">
        <f t="shared" si="1026"/>
        <v>BypassValidFileChecks,1,</v>
      </c>
      <c r="BA326" s="31" t="str">
        <f t="shared" si="1027"/>
        <v>BypassInputChecks,0,</v>
      </c>
      <c r="BB326" s="31" t="str">
        <f t="shared" si="1028"/>
        <v>BypassUMLHChecks,0,</v>
      </c>
      <c r="BC326" s="31" t="str">
        <f t="shared" si="1029"/>
        <v>BypassCheckSimRules,0,</v>
      </c>
      <c r="BD326" s="31" t="str">
        <f t="shared" si="1030"/>
        <v>BypassCheckCodeRules,0,</v>
      </c>
      <c r="BE326" s="31" t="str">
        <f t="shared" si="1031"/>
        <v>StoreResultsToModelInput,1,</v>
      </c>
      <c r="BF326" s="31" t="str">
        <f t="shared" si="1032"/>
        <v>StoreBEMDetails,0,</v>
      </c>
      <c r="BG326" s="31" t="str">
        <f t="shared" si="1033"/>
        <v>ModelRpt_ALL,1,</v>
      </c>
      <c r="BH326" s="31" t="str">
        <f t="shared" si="1034"/>
        <v>ExportHourlyResults_All,0,</v>
      </c>
      <c r="BI326" s="31" t="str">
        <f t="shared" si="1035"/>
        <v>ComplianceReportPDF,0,</v>
      </c>
      <c r="BJ326" s="31" t="str">
        <f t="shared" si="1036"/>
        <v>ComplianceReportXML,0,</v>
      </c>
      <c r="BK326" s="31" t="str">
        <f t="shared" si="1037"/>
        <v>QuickAnalysis,0,</v>
      </c>
      <c r="BL326" s="31" t="str">
        <f t="shared" si="1038"/>
        <v>PromptUserUMLHWarning,0,</v>
      </c>
      <c r="BM326" s="31" t="str">
        <f t="shared" si="1039"/>
        <v>BypassOpenStudio_all,0,</v>
      </c>
      <c r="BN326" s="31" t="str">
        <f t="shared" si="1040"/>
        <v>BypassOpenStudio_zp,0,</v>
      </c>
      <c r="BO326" s="31" t="str">
        <f t="shared" si="1041"/>
        <v>BypassOpenStudio_zb,0,</v>
      </c>
      <c r="BP326" s="31" t="str">
        <f t="shared" si="1042"/>
        <v>BypassOpenStudio_ap,0,</v>
      </c>
      <c r="BQ326" s="31" t="str">
        <f t="shared" si="1043"/>
        <v>BypassOpenStudio_ab,0,</v>
      </c>
      <c r="BR326" s="31" t="str">
        <f t="shared" si="1044"/>
        <v>BypassOpenStudio_zp,0,</v>
      </c>
      <c r="BS326" s="31" t="str">
        <f t="shared" si="1045"/>
        <v>BypassOpenStudio_zb,0,</v>
      </c>
      <c r="BT326" s="31" t="str">
        <f t="shared" si="1046"/>
        <v>BypassOpenStudio_ap,0,</v>
      </c>
      <c r="BU326" s="31" t="str">
        <f t="shared" si="1047"/>
        <v>BypassOpenStudio_ab,0,</v>
      </c>
    </row>
    <row r="327" spans="1:73" outlineLevel="1" x14ac:dyDescent="0.25">
      <c r="A327" s="39">
        <f t="shared" si="1015"/>
        <v>1</v>
      </c>
      <c r="B327" s="27" t="str">
        <f t="shared" si="1048"/>
        <v>SoftwareSensitivity2016Tests\SimplifiedGeometry\1010606-RetlStrp-FPFC_NDL.cibd16</v>
      </c>
      <c r="C327" s="27" t="str">
        <f t="shared" si="1049"/>
        <v>BatchOut_171026_r5178_FinalRel-v3-SSTSG_SSTSG\1010606-RetlStrp-FPFC_NDL.cibd16</v>
      </c>
      <c r="D327" s="27" t="str">
        <f t="shared" si="1050"/>
        <v>BatchOut_171026_r5178_FinalRel-v3-SSTSG_SSTSG\XML\</v>
      </c>
      <c r="E327" s="9" t="str">
        <f t="shared" si="1051"/>
        <v>1010606-RetlStrp-FPFC_NDL</v>
      </c>
      <c r="F327" s="22"/>
      <c r="G327" s="29"/>
      <c r="H327" s="23" t="str">
        <f t="shared" si="1052"/>
        <v/>
      </c>
      <c r="I327" s="9" t="s">
        <v>11</v>
      </c>
      <c r="J327"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7" s="15" t="s">
        <v>1</v>
      </c>
      <c r="L327" s="92">
        <f t="shared" si="1055"/>
        <v>1</v>
      </c>
      <c r="M327" s="91" t="str">
        <f t="shared" si="1053"/>
        <v>1010606-RetlStrp-FPFC_NDL</v>
      </c>
      <c r="N327" s="90" t="s">
        <v>227</v>
      </c>
      <c r="O327" s="90" t="str">
        <f t="shared" si="1017"/>
        <v>1010606-RetlStrp-FPFC_NDL</v>
      </c>
      <c r="P327" s="92">
        <f t="shared" si="1094"/>
        <v>1</v>
      </c>
      <c r="Q327" s="92">
        <f t="shared" si="1094"/>
        <v>1</v>
      </c>
      <c r="R327" s="92">
        <f t="shared" si="1094"/>
        <v>0</v>
      </c>
      <c r="S327" s="92">
        <f t="shared" si="1094"/>
        <v>1</v>
      </c>
      <c r="T327" s="92">
        <f t="shared" si="1094"/>
        <v>0</v>
      </c>
      <c r="U327" s="92">
        <f t="shared" si="1094"/>
        <v>8</v>
      </c>
      <c r="V327" s="92">
        <f t="shared" si="1094"/>
        <v>8</v>
      </c>
      <c r="W327" s="92">
        <f t="shared" si="1094"/>
        <v>1</v>
      </c>
      <c r="X327" s="92">
        <f t="shared" si="1094"/>
        <v>0</v>
      </c>
      <c r="Y327" s="92">
        <f t="shared" si="1094"/>
        <v>0</v>
      </c>
      <c r="Z327" s="92">
        <f t="shared" si="1094"/>
        <v>0</v>
      </c>
      <c r="AA327" s="92">
        <f t="shared" si="1094"/>
        <v>0</v>
      </c>
      <c r="AB327" s="92">
        <f t="shared" si="1094"/>
        <v>1</v>
      </c>
      <c r="AC327" s="92">
        <f t="shared" si="1094"/>
        <v>0</v>
      </c>
      <c r="AD327" s="92">
        <f t="shared" si="1094"/>
        <v>1</v>
      </c>
      <c r="AE327" s="92">
        <f t="shared" si="1094"/>
        <v>0</v>
      </c>
      <c r="AF327" s="92">
        <f t="shared" si="1094"/>
        <v>0</v>
      </c>
      <c r="AG327" s="92">
        <f t="shared" si="1094"/>
        <v>0</v>
      </c>
      <c r="AH327" s="92">
        <f t="shared" si="1094"/>
        <v>0</v>
      </c>
      <c r="AI327" s="92">
        <f t="shared" si="1094"/>
        <v>0</v>
      </c>
      <c r="AJ327" s="92">
        <f t="shared" si="1092"/>
        <v>0</v>
      </c>
      <c r="AK327" s="92">
        <f t="shared" si="1092"/>
        <v>0</v>
      </c>
      <c r="AL327" s="92">
        <f t="shared" si="1092"/>
        <v>0</v>
      </c>
      <c r="AM327" s="92">
        <f t="shared" si="1092"/>
        <v>0</v>
      </c>
      <c r="AN327" s="92">
        <f t="shared" si="1092"/>
        <v>0</v>
      </c>
      <c r="AO327" s="92">
        <f t="shared" si="1092"/>
        <v>0</v>
      </c>
      <c r="AP327" s="92">
        <f t="shared" si="1092"/>
        <v>0</v>
      </c>
      <c r="AQ327" s="92">
        <f t="shared" si="1092"/>
        <v>0</v>
      </c>
      <c r="AR327" s="92">
        <f t="shared" si="1092"/>
        <v>0</v>
      </c>
      <c r="AS327" s="31" t="str">
        <f t="shared" si="1019"/>
        <v>SimulationStorage,1,</v>
      </c>
      <c r="AT327" s="31" t="str">
        <f t="shared" si="1020"/>
        <v>AnalysisStorage,1,</v>
      </c>
      <c r="AU327" s="31" t="str">
        <f t="shared" si="1021"/>
        <v>LogRuleEvaluation,0,</v>
      </c>
      <c r="AV327" s="31" t="str">
        <f t="shared" si="1022"/>
        <v>ParallelSimulations,1,</v>
      </c>
      <c r="AW327" s="31" t="str">
        <f t="shared" si="1023"/>
        <v>DurationStats,0,</v>
      </c>
      <c r="AX327" s="31" t="str">
        <f t="shared" si="1024"/>
        <v>AnalysisThruStep,8,</v>
      </c>
      <c r="AY327" s="31" t="str">
        <f t="shared" si="1025"/>
        <v>DontAbortOnErrorsThruStep,8,</v>
      </c>
      <c r="AZ327" s="31" t="str">
        <f t="shared" si="1026"/>
        <v>BypassValidFileChecks,1,</v>
      </c>
      <c r="BA327" s="31" t="str">
        <f t="shared" si="1027"/>
        <v>BypassInputChecks,0,</v>
      </c>
      <c r="BB327" s="31" t="str">
        <f t="shared" si="1028"/>
        <v>BypassUMLHChecks,0,</v>
      </c>
      <c r="BC327" s="31" t="str">
        <f t="shared" si="1029"/>
        <v>BypassCheckSimRules,0,</v>
      </c>
      <c r="BD327" s="31" t="str">
        <f t="shared" si="1030"/>
        <v>BypassCheckCodeRules,0,</v>
      </c>
      <c r="BE327" s="31" t="str">
        <f t="shared" si="1031"/>
        <v>StoreResultsToModelInput,1,</v>
      </c>
      <c r="BF327" s="31" t="str">
        <f t="shared" si="1032"/>
        <v>StoreBEMDetails,0,</v>
      </c>
      <c r="BG327" s="31" t="str">
        <f t="shared" si="1033"/>
        <v>ModelRpt_ALL,1,</v>
      </c>
      <c r="BH327" s="31" t="str">
        <f t="shared" si="1034"/>
        <v>ExportHourlyResults_All,0,</v>
      </c>
      <c r="BI327" s="31" t="str">
        <f t="shared" si="1035"/>
        <v>ComplianceReportPDF,0,</v>
      </c>
      <c r="BJ327" s="31" t="str">
        <f t="shared" si="1036"/>
        <v>ComplianceReportXML,0,</v>
      </c>
      <c r="BK327" s="31" t="str">
        <f t="shared" si="1037"/>
        <v>QuickAnalysis,0,</v>
      </c>
      <c r="BL327" s="31" t="str">
        <f t="shared" si="1038"/>
        <v>PromptUserUMLHWarning,0,</v>
      </c>
      <c r="BM327" s="31" t="str">
        <f t="shared" si="1039"/>
        <v>BypassOpenStudio_all,0,</v>
      </c>
      <c r="BN327" s="31" t="str">
        <f t="shared" si="1040"/>
        <v>BypassOpenStudio_zp,0,</v>
      </c>
      <c r="BO327" s="31" t="str">
        <f t="shared" si="1041"/>
        <v>BypassOpenStudio_zb,0,</v>
      </c>
      <c r="BP327" s="31" t="str">
        <f t="shared" si="1042"/>
        <v>BypassOpenStudio_ap,0,</v>
      </c>
      <c r="BQ327" s="31" t="str">
        <f t="shared" si="1043"/>
        <v>BypassOpenStudio_ab,0,</v>
      </c>
      <c r="BR327" s="31" t="str">
        <f t="shared" si="1044"/>
        <v>BypassOpenStudio_zp,0,</v>
      </c>
      <c r="BS327" s="31" t="str">
        <f t="shared" si="1045"/>
        <v>BypassOpenStudio_zb,0,</v>
      </c>
      <c r="BT327" s="31" t="str">
        <f t="shared" si="1046"/>
        <v>BypassOpenStudio_ap,0,</v>
      </c>
      <c r="BU327" s="31" t="str">
        <f t="shared" si="1047"/>
        <v>BypassOpenStudio_ab,0,</v>
      </c>
    </row>
    <row r="328" spans="1:73" outlineLevel="1" x14ac:dyDescent="0.25">
      <c r="A328" s="39">
        <f t="shared" si="1015"/>
        <v>1</v>
      </c>
      <c r="B328" s="27" t="str">
        <f t="shared" si="1048"/>
        <v>SoftwareSensitivity2016Tests\SimplifiedGeometry\1013715-RetlStrp-EvapCooler_NDL.cibd16</v>
      </c>
      <c r="C328" s="27" t="str">
        <f t="shared" si="1049"/>
        <v>BatchOut_171026_r5178_FinalRel-v3-SSTSG_SSTSG\1013715-RetlStrp-EvapCooler_NDL.cibd16</v>
      </c>
      <c r="D328" s="27" t="str">
        <f t="shared" si="1050"/>
        <v>BatchOut_171026_r5178_FinalRel-v3-SSTSG_SSTSG\XML\</v>
      </c>
      <c r="E328" s="9" t="str">
        <f t="shared" si="1051"/>
        <v>1013715-RetlStrp-EvapCooler_NDL</v>
      </c>
      <c r="F328" s="22"/>
      <c r="G328" s="29"/>
      <c r="H328" s="23" t="str">
        <f t="shared" si="1052"/>
        <v/>
      </c>
      <c r="I328" s="9" t="s">
        <v>11</v>
      </c>
      <c r="J328" s="87" t="str">
        <f t="shared" si="101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8" s="15" t="s">
        <v>1</v>
      </c>
      <c r="L328" s="92">
        <f t="shared" si="1055"/>
        <v>1</v>
      </c>
      <c r="M328" s="91" t="str">
        <f t="shared" si="1053"/>
        <v>1013715-RetlStrp-EvapCooler_NDL</v>
      </c>
      <c r="N328" s="90" t="s">
        <v>228</v>
      </c>
      <c r="O328" s="90" t="str">
        <f t="shared" si="1017"/>
        <v>1013715-RetlStrp-EvapCooler_NDL</v>
      </c>
      <c r="P328" s="92">
        <f t="shared" si="1094"/>
        <v>1</v>
      </c>
      <c r="Q328" s="92">
        <f t="shared" si="1094"/>
        <v>1</v>
      </c>
      <c r="R328" s="92">
        <f t="shared" si="1094"/>
        <v>0</v>
      </c>
      <c r="S328" s="92">
        <f t="shared" si="1094"/>
        <v>1</v>
      </c>
      <c r="T328" s="92">
        <f t="shared" si="1094"/>
        <v>0</v>
      </c>
      <c r="U328" s="92">
        <f t="shared" si="1094"/>
        <v>8</v>
      </c>
      <c r="V328" s="92">
        <f t="shared" si="1094"/>
        <v>8</v>
      </c>
      <c r="W328" s="92">
        <f t="shared" si="1094"/>
        <v>1</v>
      </c>
      <c r="X328" s="92">
        <f t="shared" si="1094"/>
        <v>0</v>
      </c>
      <c r="Y328" s="92">
        <f t="shared" si="1094"/>
        <v>0</v>
      </c>
      <c r="Z328" s="92">
        <f t="shared" si="1094"/>
        <v>0</v>
      </c>
      <c r="AA328" s="92">
        <f t="shared" si="1094"/>
        <v>0</v>
      </c>
      <c r="AB328" s="92">
        <f t="shared" si="1094"/>
        <v>1</v>
      </c>
      <c r="AC328" s="92">
        <f t="shared" si="1094"/>
        <v>0</v>
      </c>
      <c r="AD328" s="92">
        <f t="shared" si="1094"/>
        <v>1</v>
      </c>
      <c r="AE328" s="92">
        <f t="shared" si="1094"/>
        <v>0</v>
      </c>
      <c r="AF328" s="92">
        <f t="shared" si="1094"/>
        <v>0</v>
      </c>
      <c r="AG328" s="92">
        <f t="shared" si="1094"/>
        <v>0</v>
      </c>
      <c r="AH328" s="92">
        <f t="shared" si="1094"/>
        <v>0</v>
      </c>
      <c r="AI328" s="92">
        <f t="shared" si="1094"/>
        <v>0</v>
      </c>
      <c r="AJ328" s="92">
        <f t="shared" si="1092"/>
        <v>0</v>
      </c>
      <c r="AK328" s="92">
        <f t="shared" si="1092"/>
        <v>0</v>
      </c>
      <c r="AL328" s="92">
        <f t="shared" si="1092"/>
        <v>0</v>
      </c>
      <c r="AM328" s="92">
        <f t="shared" si="1092"/>
        <v>0</v>
      </c>
      <c r="AN328" s="92">
        <f t="shared" si="1092"/>
        <v>0</v>
      </c>
      <c r="AO328" s="92">
        <f t="shared" si="1092"/>
        <v>0</v>
      </c>
      <c r="AP328" s="92">
        <f t="shared" si="1092"/>
        <v>0</v>
      </c>
      <c r="AQ328" s="92">
        <f t="shared" si="1092"/>
        <v>0</v>
      </c>
      <c r="AR328" s="92">
        <f t="shared" si="1092"/>
        <v>0</v>
      </c>
      <c r="AS328" s="31" t="str">
        <f t="shared" si="1019"/>
        <v>SimulationStorage,1,</v>
      </c>
      <c r="AT328" s="31" t="str">
        <f t="shared" si="1020"/>
        <v>AnalysisStorage,1,</v>
      </c>
      <c r="AU328" s="31" t="str">
        <f t="shared" si="1021"/>
        <v>LogRuleEvaluation,0,</v>
      </c>
      <c r="AV328" s="31" t="str">
        <f t="shared" si="1022"/>
        <v>ParallelSimulations,1,</v>
      </c>
      <c r="AW328" s="31" t="str">
        <f t="shared" si="1023"/>
        <v>DurationStats,0,</v>
      </c>
      <c r="AX328" s="31" t="str">
        <f t="shared" si="1024"/>
        <v>AnalysisThruStep,8,</v>
      </c>
      <c r="AY328" s="31" t="str">
        <f t="shared" si="1025"/>
        <v>DontAbortOnErrorsThruStep,8,</v>
      </c>
      <c r="AZ328" s="31" t="str">
        <f t="shared" si="1026"/>
        <v>BypassValidFileChecks,1,</v>
      </c>
      <c r="BA328" s="31" t="str">
        <f t="shared" si="1027"/>
        <v>BypassInputChecks,0,</v>
      </c>
      <c r="BB328" s="31" t="str">
        <f t="shared" si="1028"/>
        <v>BypassUMLHChecks,0,</v>
      </c>
      <c r="BC328" s="31" t="str">
        <f t="shared" si="1029"/>
        <v>BypassCheckSimRules,0,</v>
      </c>
      <c r="BD328" s="31" t="str">
        <f t="shared" si="1030"/>
        <v>BypassCheckCodeRules,0,</v>
      </c>
      <c r="BE328" s="31" t="str">
        <f t="shared" si="1031"/>
        <v>StoreResultsToModelInput,1,</v>
      </c>
      <c r="BF328" s="31" t="str">
        <f t="shared" si="1032"/>
        <v>StoreBEMDetails,0,</v>
      </c>
      <c r="BG328" s="31" t="str">
        <f t="shared" si="1033"/>
        <v>ModelRpt_ALL,1,</v>
      </c>
      <c r="BH328" s="31" t="str">
        <f t="shared" si="1034"/>
        <v>ExportHourlyResults_All,0,</v>
      </c>
      <c r="BI328" s="31" t="str">
        <f t="shared" si="1035"/>
        <v>ComplianceReportPDF,0,</v>
      </c>
      <c r="BJ328" s="31" t="str">
        <f t="shared" si="1036"/>
        <v>ComplianceReportXML,0,</v>
      </c>
      <c r="BK328" s="31" t="str">
        <f t="shared" si="1037"/>
        <v>QuickAnalysis,0,</v>
      </c>
      <c r="BL328" s="31" t="str">
        <f t="shared" si="1038"/>
        <v>PromptUserUMLHWarning,0,</v>
      </c>
      <c r="BM328" s="31" t="str">
        <f t="shared" si="1039"/>
        <v>BypassOpenStudio_all,0,</v>
      </c>
      <c r="BN328" s="31" t="str">
        <f t="shared" si="1040"/>
        <v>BypassOpenStudio_zp,0,</v>
      </c>
      <c r="BO328" s="31" t="str">
        <f t="shared" si="1041"/>
        <v>BypassOpenStudio_zb,0,</v>
      </c>
      <c r="BP328" s="31" t="str">
        <f t="shared" si="1042"/>
        <v>BypassOpenStudio_ap,0,</v>
      </c>
      <c r="BQ328" s="31" t="str">
        <f t="shared" si="1043"/>
        <v>BypassOpenStudio_ab,0,</v>
      </c>
      <c r="BR328" s="31" t="str">
        <f t="shared" si="1044"/>
        <v>BypassOpenStudio_zp,0,</v>
      </c>
      <c r="BS328" s="31" t="str">
        <f t="shared" si="1045"/>
        <v>BypassOpenStudio_zb,0,</v>
      </c>
      <c r="BT328" s="31" t="str">
        <f t="shared" si="1046"/>
        <v>BypassOpenStudio_ap,0,</v>
      </c>
      <c r="BU328" s="31" t="str">
        <f t="shared" si="1047"/>
        <v>BypassOpenStudio_ab,0,</v>
      </c>
    </row>
    <row r="329" spans="1:73" outlineLevel="1" x14ac:dyDescent="0.25">
      <c r="A329" s="39">
        <f t="shared" ref="A329:A392" si="1095">L329</f>
        <v>1</v>
      </c>
      <c r="B329" s="27" t="str">
        <f t="shared" si="1048"/>
        <v>SoftwareSensitivity2016Tests\SimplifiedGeometry\1013906-RetlStrp-EvapCooler_NDL.cibd16</v>
      </c>
      <c r="C329" s="27" t="str">
        <f t="shared" si="1049"/>
        <v>BatchOut_171026_r5178_FinalRel-v3-SSTSG_SSTSG\1013906-RetlStrp-EvapCooler_NDL.cibd16</v>
      </c>
      <c r="D329" s="27" t="str">
        <f t="shared" si="1050"/>
        <v>BatchOut_171026_r5178_FinalRel-v3-SSTSG_SSTSG\XML\</v>
      </c>
      <c r="E329" s="9" t="str">
        <f t="shared" si="1051"/>
        <v>1013906-RetlStrp-EvapCooler_NDL</v>
      </c>
      <c r="F329" s="22"/>
      <c r="G329" s="29"/>
      <c r="H329" s="23" t="str">
        <f t="shared" si="1052"/>
        <v/>
      </c>
      <c r="I329" s="9" t="s">
        <v>11</v>
      </c>
      <c r="J329" s="87" t="str">
        <f t="shared" ref="J329:J392" si="1096">CONCATENATE(AS329,AT329,AU329,AV329,AW329,AX329,AY329,AZ329,BA329,BB329,BC329,BD329,BE329,BF329,BG329,BH329,BI329,BJ329,BK329,BL329,BM329,BN329,BO329,BP329,BQ329,BR329,BS329,BT329,BU329)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9" s="15" t="s">
        <v>1</v>
      </c>
      <c r="L329" s="92">
        <f t="shared" si="1055"/>
        <v>1</v>
      </c>
      <c r="M329" s="91" t="str">
        <f t="shared" si="1053"/>
        <v>1013906-RetlStrp-EvapCooler_NDL</v>
      </c>
      <c r="N329" s="90" t="s">
        <v>229</v>
      </c>
      <c r="O329" s="90" t="str">
        <f t="shared" ref="O329:O392" si="1097">N329</f>
        <v>1013906-RetlStrp-EvapCooler_NDL</v>
      </c>
      <c r="P329" s="92">
        <f t="shared" si="1094"/>
        <v>1</v>
      </c>
      <c r="Q329" s="92">
        <f t="shared" si="1094"/>
        <v>1</v>
      </c>
      <c r="R329" s="92">
        <f t="shared" si="1094"/>
        <v>0</v>
      </c>
      <c r="S329" s="92">
        <f t="shared" si="1094"/>
        <v>1</v>
      </c>
      <c r="T329" s="92">
        <f t="shared" si="1094"/>
        <v>0</v>
      </c>
      <c r="U329" s="92">
        <f t="shared" si="1094"/>
        <v>8</v>
      </c>
      <c r="V329" s="92">
        <f t="shared" si="1094"/>
        <v>8</v>
      </c>
      <c r="W329" s="92">
        <f t="shared" si="1094"/>
        <v>1</v>
      </c>
      <c r="X329" s="92">
        <f t="shared" si="1094"/>
        <v>0</v>
      </c>
      <c r="Y329" s="92">
        <f t="shared" si="1094"/>
        <v>0</v>
      </c>
      <c r="Z329" s="92">
        <f t="shared" si="1094"/>
        <v>0</v>
      </c>
      <c r="AA329" s="92">
        <f t="shared" si="1094"/>
        <v>0</v>
      </c>
      <c r="AB329" s="92">
        <f t="shared" si="1094"/>
        <v>1</v>
      </c>
      <c r="AC329" s="92">
        <f t="shared" si="1094"/>
        <v>0</v>
      </c>
      <c r="AD329" s="92">
        <f t="shared" si="1094"/>
        <v>1</v>
      </c>
      <c r="AE329" s="92">
        <f t="shared" si="1094"/>
        <v>0</v>
      </c>
      <c r="AF329" s="92">
        <f t="shared" si="1094"/>
        <v>0</v>
      </c>
      <c r="AG329" s="92">
        <f t="shared" si="1094"/>
        <v>0</v>
      </c>
      <c r="AH329" s="92">
        <f t="shared" si="1094"/>
        <v>0</v>
      </c>
      <c r="AI329" s="92">
        <f t="shared" si="1094"/>
        <v>0</v>
      </c>
      <c r="AJ329" s="92">
        <f t="shared" si="1094"/>
        <v>0</v>
      </c>
      <c r="AK329" s="92">
        <f t="shared" ref="AK329:AR329" si="1098">AK328</f>
        <v>0</v>
      </c>
      <c r="AL329" s="92">
        <f t="shared" si="1098"/>
        <v>0</v>
      </c>
      <c r="AM329" s="92">
        <f t="shared" si="1098"/>
        <v>0</v>
      </c>
      <c r="AN329" s="92">
        <f t="shared" si="1098"/>
        <v>0</v>
      </c>
      <c r="AO329" s="92">
        <f t="shared" si="1098"/>
        <v>0</v>
      </c>
      <c r="AP329" s="92">
        <f t="shared" si="1098"/>
        <v>0</v>
      </c>
      <c r="AQ329" s="92">
        <f t="shared" si="1098"/>
        <v>0</v>
      </c>
      <c r="AR329" s="92">
        <f t="shared" si="1098"/>
        <v>0</v>
      </c>
      <c r="AS329" s="31" t="str">
        <f t="shared" ref="AS329:AS392" si="1099">P$13&amp;P329&amp;","</f>
        <v>SimulationStorage,1,</v>
      </c>
      <c r="AT329" s="31" t="str">
        <f t="shared" ref="AT329:AT392" si="1100">Q$13&amp;Q329&amp;","</f>
        <v>AnalysisStorage,1,</v>
      </c>
      <c r="AU329" s="31" t="str">
        <f t="shared" ref="AU329:AU392" si="1101">R$13&amp;R329&amp;","</f>
        <v>LogRuleEvaluation,0,</v>
      </c>
      <c r="AV329" s="31" t="str">
        <f t="shared" ref="AV329:AV392" si="1102">S$13&amp;S329&amp;","</f>
        <v>ParallelSimulations,1,</v>
      </c>
      <c r="AW329" s="31" t="str">
        <f t="shared" ref="AW329:AW392" si="1103">T$13&amp;T329&amp;","</f>
        <v>DurationStats,0,</v>
      </c>
      <c r="AX329" s="31" t="str">
        <f t="shared" ref="AX329:AX392" si="1104">U$13&amp;U329&amp;","</f>
        <v>AnalysisThruStep,8,</v>
      </c>
      <c r="AY329" s="31" t="str">
        <f t="shared" ref="AY329:AY392" si="1105">V$13&amp;V329&amp;","</f>
        <v>DontAbortOnErrorsThruStep,8,</v>
      </c>
      <c r="AZ329" s="31" t="str">
        <f t="shared" ref="AZ329:AZ392" si="1106">W$13&amp;W329&amp;","</f>
        <v>BypassValidFileChecks,1,</v>
      </c>
      <c r="BA329" s="31" t="str">
        <f t="shared" ref="BA329:BA392" si="1107">X$13&amp;X329&amp;","</f>
        <v>BypassInputChecks,0,</v>
      </c>
      <c r="BB329" s="31" t="str">
        <f t="shared" ref="BB329:BB392" si="1108">Y$13&amp;Y329&amp;","</f>
        <v>BypassUMLHChecks,0,</v>
      </c>
      <c r="BC329" s="31" t="str">
        <f t="shared" ref="BC329:BC392" si="1109">Z$13&amp;Z329&amp;","</f>
        <v>BypassCheckSimRules,0,</v>
      </c>
      <c r="BD329" s="31" t="str">
        <f t="shared" ref="BD329:BD392" si="1110">AA$13&amp;AA329&amp;","</f>
        <v>BypassCheckCodeRules,0,</v>
      </c>
      <c r="BE329" s="31" t="str">
        <f t="shared" ref="BE329:BE392" si="1111">AB$13&amp;AB329&amp;","</f>
        <v>StoreResultsToModelInput,1,</v>
      </c>
      <c r="BF329" s="31" t="str">
        <f t="shared" ref="BF329:BF392" si="1112">AC$13&amp;AC329&amp;","</f>
        <v>StoreBEMDetails,0,</v>
      </c>
      <c r="BG329" s="31" t="str">
        <f t="shared" ref="BG329:BG392" si="1113">AD$13&amp;AD329&amp;","</f>
        <v>ModelRpt_ALL,1,</v>
      </c>
      <c r="BH329" s="31" t="str">
        <f t="shared" ref="BH329:BH392" si="1114">AE$13&amp;AE329&amp;","</f>
        <v>ExportHourlyResults_All,0,</v>
      </c>
      <c r="BI329" s="31" t="str">
        <f t="shared" ref="BI329:BI392" si="1115">AF$13&amp;AF329&amp;","</f>
        <v>ComplianceReportPDF,0,</v>
      </c>
      <c r="BJ329" s="31" t="str">
        <f t="shared" ref="BJ329:BJ392" si="1116">AG$13&amp;AG329&amp;","</f>
        <v>ComplianceReportXML,0,</v>
      </c>
      <c r="BK329" s="31" t="str">
        <f t="shared" ref="BK329:BK392" si="1117">AH$13&amp;AH329&amp;","</f>
        <v>QuickAnalysis,0,</v>
      </c>
      <c r="BL329" s="31" t="str">
        <f t="shared" ref="BL329:BL392" si="1118">AI$13&amp;AI329&amp;","</f>
        <v>PromptUserUMLHWarning,0,</v>
      </c>
      <c r="BM329" s="31" t="str">
        <f t="shared" ref="BM329:BM392" si="1119">AJ$13&amp;AJ329&amp;","</f>
        <v>BypassOpenStudio_all,0,</v>
      </c>
      <c r="BN329" s="31" t="str">
        <f t="shared" ref="BN329:BN392" si="1120">AK$13&amp;AK329&amp;","</f>
        <v>BypassOpenStudio_zp,0,</v>
      </c>
      <c r="BO329" s="31" t="str">
        <f t="shared" ref="BO329:BO392" si="1121">AL$13&amp;AL329&amp;","</f>
        <v>BypassOpenStudio_zb,0,</v>
      </c>
      <c r="BP329" s="31" t="str">
        <f t="shared" ref="BP329:BP392" si="1122">AM$13&amp;AM329&amp;","</f>
        <v>BypassOpenStudio_ap,0,</v>
      </c>
      <c r="BQ329" s="31" t="str">
        <f t="shared" ref="BQ329:BQ392" si="1123">AN$13&amp;AN329&amp;","</f>
        <v>BypassOpenStudio_ab,0,</v>
      </c>
      <c r="BR329" s="31" t="str">
        <f t="shared" ref="BR329:BR392" si="1124">AO$13&amp;AO329&amp;","</f>
        <v>BypassOpenStudio_zp,0,</v>
      </c>
      <c r="BS329" s="31" t="str">
        <f t="shared" ref="BS329:BS392" si="1125">AP$13&amp;AP329&amp;","</f>
        <v>BypassOpenStudio_zb,0,</v>
      </c>
      <c r="BT329" s="31" t="str">
        <f t="shared" ref="BT329:BT392" si="1126">AQ$13&amp;AQ329&amp;","</f>
        <v>BypassOpenStudio_ap,0,</v>
      </c>
      <c r="BU329" s="31" t="str">
        <f t="shared" ref="BU329:BU392" si="1127">AR$13&amp;AR329&amp;","</f>
        <v>BypassOpenStudio_ab,0,</v>
      </c>
    </row>
    <row r="330" spans="1:73" outlineLevel="1" x14ac:dyDescent="0.25">
      <c r="A330" s="39">
        <f t="shared" si="1095"/>
        <v>1</v>
      </c>
      <c r="B330" s="27" t="str">
        <f t="shared" ref="B330:B393" si="1128">M$261&amp;N330&amp;".cibd16"</f>
        <v>SoftwareSensitivity2016Tests\SimplifiedGeometry\1014315-RetlStrp-WSHP_NDL.cibd16</v>
      </c>
      <c r="C330" s="27" t="str">
        <f t="shared" ref="C330:C393" si="1129" xml:space="preserve"> M$262 &amp; O330 &amp; ".cibd16"</f>
        <v>BatchOut_171026_r5178_FinalRel-v3-SSTSG_SSTSG\1014315-RetlStrp-WSHP_NDL.cibd16</v>
      </c>
      <c r="D330" s="27" t="str">
        <f t="shared" ref="D330:D393" si="1130">$M$263</f>
        <v>BatchOut_171026_r5178_FinalRel-v3-SSTSG_SSTSG\XML\</v>
      </c>
      <c r="E330" s="9" t="str">
        <f t="shared" ref="E330:E393" si="1131">M330</f>
        <v>1014315-RetlStrp-WSHP_NDL</v>
      </c>
      <c r="F330" s="22"/>
      <c r="G330" s="29"/>
      <c r="H330" s="23" t="str">
        <f t="shared" ref="H330:H393" si="1132">IF(F330&gt;1,1,"")</f>
        <v/>
      </c>
      <c r="I330" s="9" t="s">
        <v>11</v>
      </c>
      <c r="J33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0" s="15" t="s">
        <v>1</v>
      </c>
      <c r="L330" s="92">
        <f t="shared" si="1055"/>
        <v>1</v>
      </c>
      <c r="M330" s="91" t="str">
        <f t="shared" ref="M330:M393" si="1133">N330</f>
        <v>1014315-RetlStrp-WSHP_NDL</v>
      </c>
      <c r="N330" s="90" t="s">
        <v>230</v>
      </c>
      <c r="O330" s="90" t="str">
        <f t="shared" si="1097"/>
        <v>1014315-RetlStrp-WSHP_NDL</v>
      </c>
      <c r="P330" s="92">
        <f t="shared" si="1094"/>
        <v>1</v>
      </c>
      <c r="Q330" s="92">
        <f t="shared" si="1094"/>
        <v>1</v>
      </c>
      <c r="R330" s="92">
        <f t="shared" si="1094"/>
        <v>0</v>
      </c>
      <c r="S330" s="92">
        <f t="shared" si="1094"/>
        <v>1</v>
      </c>
      <c r="T330" s="92">
        <f t="shared" si="1094"/>
        <v>0</v>
      </c>
      <c r="U330" s="92">
        <f t="shared" si="1094"/>
        <v>8</v>
      </c>
      <c r="V330" s="92">
        <f t="shared" si="1094"/>
        <v>8</v>
      </c>
      <c r="W330" s="92">
        <f t="shared" si="1094"/>
        <v>1</v>
      </c>
      <c r="X330" s="92">
        <f t="shared" si="1094"/>
        <v>0</v>
      </c>
      <c r="Y330" s="92">
        <f t="shared" si="1094"/>
        <v>0</v>
      </c>
      <c r="Z330" s="92">
        <f t="shared" si="1094"/>
        <v>0</v>
      </c>
      <c r="AA330" s="92">
        <f t="shared" si="1094"/>
        <v>0</v>
      </c>
      <c r="AB330" s="92">
        <f t="shared" si="1094"/>
        <v>1</v>
      </c>
      <c r="AC330" s="92">
        <f t="shared" si="1094"/>
        <v>0</v>
      </c>
      <c r="AD330" s="92">
        <f t="shared" si="1094"/>
        <v>1</v>
      </c>
      <c r="AE330" s="92">
        <f t="shared" si="1094"/>
        <v>0</v>
      </c>
      <c r="AF330" s="92">
        <f t="shared" si="1094"/>
        <v>0</v>
      </c>
      <c r="AG330" s="92">
        <f t="shared" si="1094"/>
        <v>0</v>
      </c>
      <c r="AH330" s="92">
        <f t="shared" si="1094"/>
        <v>0</v>
      </c>
      <c r="AI330" s="92">
        <f t="shared" si="1094"/>
        <v>0</v>
      </c>
      <c r="AJ330" s="92">
        <f t="shared" si="1094"/>
        <v>0</v>
      </c>
      <c r="AK330" s="92">
        <f t="shared" ref="AK330:AR330" si="1134">AK329</f>
        <v>0</v>
      </c>
      <c r="AL330" s="92">
        <f t="shared" si="1134"/>
        <v>0</v>
      </c>
      <c r="AM330" s="92">
        <f t="shared" si="1134"/>
        <v>0</v>
      </c>
      <c r="AN330" s="92">
        <f t="shared" si="1134"/>
        <v>0</v>
      </c>
      <c r="AO330" s="92">
        <f t="shared" si="1134"/>
        <v>0</v>
      </c>
      <c r="AP330" s="92">
        <f t="shared" si="1134"/>
        <v>0</v>
      </c>
      <c r="AQ330" s="92">
        <f t="shared" si="1134"/>
        <v>0</v>
      </c>
      <c r="AR330" s="92">
        <f t="shared" si="1134"/>
        <v>0</v>
      </c>
      <c r="AS330" s="31" t="str">
        <f t="shared" si="1099"/>
        <v>SimulationStorage,1,</v>
      </c>
      <c r="AT330" s="31" t="str">
        <f t="shared" si="1100"/>
        <v>AnalysisStorage,1,</v>
      </c>
      <c r="AU330" s="31" t="str">
        <f t="shared" si="1101"/>
        <v>LogRuleEvaluation,0,</v>
      </c>
      <c r="AV330" s="31" t="str">
        <f t="shared" si="1102"/>
        <v>ParallelSimulations,1,</v>
      </c>
      <c r="AW330" s="31" t="str">
        <f t="shared" si="1103"/>
        <v>DurationStats,0,</v>
      </c>
      <c r="AX330" s="31" t="str">
        <f t="shared" si="1104"/>
        <v>AnalysisThruStep,8,</v>
      </c>
      <c r="AY330" s="31" t="str">
        <f t="shared" si="1105"/>
        <v>DontAbortOnErrorsThruStep,8,</v>
      </c>
      <c r="AZ330" s="31" t="str">
        <f t="shared" si="1106"/>
        <v>BypassValidFileChecks,1,</v>
      </c>
      <c r="BA330" s="31" t="str">
        <f t="shared" si="1107"/>
        <v>BypassInputChecks,0,</v>
      </c>
      <c r="BB330" s="31" t="str">
        <f t="shared" si="1108"/>
        <v>BypassUMLHChecks,0,</v>
      </c>
      <c r="BC330" s="31" t="str">
        <f t="shared" si="1109"/>
        <v>BypassCheckSimRules,0,</v>
      </c>
      <c r="BD330" s="31" t="str">
        <f t="shared" si="1110"/>
        <v>BypassCheckCodeRules,0,</v>
      </c>
      <c r="BE330" s="31" t="str">
        <f t="shared" si="1111"/>
        <v>StoreResultsToModelInput,1,</v>
      </c>
      <c r="BF330" s="31" t="str">
        <f t="shared" si="1112"/>
        <v>StoreBEMDetails,0,</v>
      </c>
      <c r="BG330" s="31" t="str">
        <f t="shared" si="1113"/>
        <v>ModelRpt_ALL,1,</v>
      </c>
      <c r="BH330" s="31" t="str">
        <f t="shared" si="1114"/>
        <v>ExportHourlyResults_All,0,</v>
      </c>
      <c r="BI330" s="31" t="str">
        <f t="shared" si="1115"/>
        <v>ComplianceReportPDF,0,</v>
      </c>
      <c r="BJ330" s="31" t="str">
        <f t="shared" si="1116"/>
        <v>ComplianceReportXML,0,</v>
      </c>
      <c r="BK330" s="31" t="str">
        <f t="shared" si="1117"/>
        <v>QuickAnalysis,0,</v>
      </c>
      <c r="BL330" s="31" t="str">
        <f t="shared" si="1118"/>
        <v>PromptUserUMLHWarning,0,</v>
      </c>
      <c r="BM330" s="31" t="str">
        <f t="shared" si="1119"/>
        <v>BypassOpenStudio_all,0,</v>
      </c>
      <c r="BN330" s="31" t="str">
        <f t="shared" si="1120"/>
        <v>BypassOpenStudio_zp,0,</v>
      </c>
      <c r="BO330" s="31" t="str">
        <f t="shared" si="1121"/>
        <v>BypassOpenStudio_zb,0,</v>
      </c>
      <c r="BP330" s="31" t="str">
        <f t="shared" si="1122"/>
        <v>BypassOpenStudio_ap,0,</v>
      </c>
      <c r="BQ330" s="31" t="str">
        <f t="shared" si="1123"/>
        <v>BypassOpenStudio_ab,0,</v>
      </c>
      <c r="BR330" s="31" t="str">
        <f t="shared" si="1124"/>
        <v>BypassOpenStudio_zp,0,</v>
      </c>
      <c r="BS330" s="31" t="str">
        <f t="shared" si="1125"/>
        <v>BypassOpenStudio_zb,0,</v>
      </c>
      <c r="BT330" s="31" t="str">
        <f t="shared" si="1126"/>
        <v>BypassOpenStudio_ap,0,</v>
      </c>
      <c r="BU330" s="31" t="str">
        <f t="shared" si="1127"/>
        <v>BypassOpenStudio_ab,0,</v>
      </c>
    </row>
    <row r="331" spans="1:73" outlineLevel="1" x14ac:dyDescent="0.25">
      <c r="A331" s="39">
        <f t="shared" si="1095"/>
        <v>1</v>
      </c>
      <c r="B331" s="27" t="str">
        <f t="shared" si="1128"/>
        <v>SoftwareSensitivity2016Tests\SimplifiedGeometry\1014506-RetlStrp-WSHP_NDL.cibd16</v>
      </c>
      <c r="C331" s="27" t="str">
        <f t="shared" si="1129"/>
        <v>BatchOut_171026_r5178_FinalRel-v3-SSTSG_SSTSG\1014506-RetlStrp-WSHP_NDL.cibd16</v>
      </c>
      <c r="D331" s="27" t="str">
        <f t="shared" si="1130"/>
        <v>BatchOut_171026_r5178_FinalRel-v3-SSTSG_SSTSG\XML\</v>
      </c>
      <c r="E331" s="9" t="str">
        <f t="shared" si="1131"/>
        <v>1014506-RetlStrp-WSHP_NDL</v>
      </c>
      <c r="F331" s="22"/>
      <c r="G331" s="29"/>
      <c r="H331" s="23" t="str">
        <f t="shared" si="1132"/>
        <v/>
      </c>
      <c r="I331" s="9" t="s">
        <v>11</v>
      </c>
      <c r="J33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1" s="15" t="s">
        <v>1</v>
      </c>
      <c r="L331" s="92">
        <f t="shared" ref="L331:L394" si="1135">L330</f>
        <v>1</v>
      </c>
      <c r="M331" s="91" t="str">
        <f t="shared" si="1133"/>
        <v>1014506-RetlStrp-WSHP_NDL</v>
      </c>
      <c r="N331" s="90" t="s">
        <v>231</v>
      </c>
      <c r="O331" s="90" t="str">
        <f t="shared" si="1097"/>
        <v>1014506-RetlStrp-WSHP_NDL</v>
      </c>
      <c r="P331" s="92">
        <f t="shared" si="1094"/>
        <v>1</v>
      </c>
      <c r="Q331" s="92">
        <f t="shared" si="1094"/>
        <v>1</v>
      </c>
      <c r="R331" s="92">
        <f t="shared" si="1094"/>
        <v>0</v>
      </c>
      <c r="S331" s="92">
        <f t="shared" si="1094"/>
        <v>1</v>
      </c>
      <c r="T331" s="92">
        <f t="shared" si="1094"/>
        <v>0</v>
      </c>
      <c r="U331" s="92">
        <f t="shared" si="1094"/>
        <v>8</v>
      </c>
      <c r="V331" s="92">
        <f t="shared" si="1094"/>
        <v>8</v>
      </c>
      <c r="W331" s="92">
        <f t="shared" si="1094"/>
        <v>1</v>
      </c>
      <c r="X331" s="92">
        <f t="shared" si="1094"/>
        <v>0</v>
      </c>
      <c r="Y331" s="92">
        <f t="shared" si="1094"/>
        <v>0</v>
      </c>
      <c r="Z331" s="92">
        <f t="shared" si="1094"/>
        <v>0</v>
      </c>
      <c r="AA331" s="92">
        <f t="shared" si="1094"/>
        <v>0</v>
      </c>
      <c r="AB331" s="92">
        <f t="shared" si="1094"/>
        <v>1</v>
      </c>
      <c r="AC331" s="92">
        <f t="shared" si="1094"/>
        <v>0</v>
      </c>
      <c r="AD331" s="92">
        <f t="shared" si="1094"/>
        <v>1</v>
      </c>
      <c r="AE331" s="92">
        <f t="shared" si="1094"/>
        <v>0</v>
      </c>
      <c r="AF331" s="92">
        <f t="shared" si="1094"/>
        <v>0</v>
      </c>
      <c r="AG331" s="92">
        <f t="shared" si="1094"/>
        <v>0</v>
      </c>
      <c r="AH331" s="92">
        <f t="shared" si="1094"/>
        <v>0</v>
      </c>
      <c r="AI331" s="92">
        <f t="shared" si="1094"/>
        <v>0</v>
      </c>
      <c r="AJ331" s="92">
        <f t="shared" si="1094"/>
        <v>0</v>
      </c>
      <c r="AK331" s="92">
        <f t="shared" ref="AK331:AR331" si="1136">AK330</f>
        <v>0</v>
      </c>
      <c r="AL331" s="92">
        <f t="shared" si="1136"/>
        <v>0</v>
      </c>
      <c r="AM331" s="92">
        <f t="shared" si="1136"/>
        <v>0</v>
      </c>
      <c r="AN331" s="92">
        <f t="shared" si="1136"/>
        <v>0</v>
      </c>
      <c r="AO331" s="92">
        <f t="shared" si="1136"/>
        <v>0</v>
      </c>
      <c r="AP331" s="92">
        <f t="shared" si="1136"/>
        <v>0</v>
      </c>
      <c r="AQ331" s="92">
        <f t="shared" si="1136"/>
        <v>0</v>
      </c>
      <c r="AR331" s="92">
        <f t="shared" si="1136"/>
        <v>0</v>
      </c>
      <c r="AS331" s="31" t="str">
        <f t="shared" si="1099"/>
        <v>SimulationStorage,1,</v>
      </c>
      <c r="AT331" s="31" t="str">
        <f t="shared" si="1100"/>
        <v>AnalysisStorage,1,</v>
      </c>
      <c r="AU331" s="31" t="str">
        <f t="shared" si="1101"/>
        <v>LogRuleEvaluation,0,</v>
      </c>
      <c r="AV331" s="31" t="str">
        <f t="shared" si="1102"/>
        <v>ParallelSimulations,1,</v>
      </c>
      <c r="AW331" s="31" t="str">
        <f t="shared" si="1103"/>
        <v>DurationStats,0,</v>
      </c>
      <c r="AX331" s="31" t="str">
        <f t="shared" si="1104"/>
        <v>AnalysisThruStep,8,</v>
      </c>
      <c r="AY331" s="31" t="str">
        <f t="shared" si="1105"/>
        <v>DontAbortOnErrorsThruStep,8,</v>
      </c>
      <c r="AZ331" s="31" t="str">
        <f t="shared" si="1106"/>
        <v>BypassValidFileChecks,1,</v>
      </c>
      <c r="BA331" s="31" t="str">
        <f t="shared" si="1107"/>
        <v>BypassInputChecks,0,</v>
      </c>
      <c r="BB331" s="31" t="str">
        <f t="shared" si="1108"/>
        <v>BypassUMLHChecks,0,</v>
      </c>
      <c r="BC331" s="31" t="str">
        <f t="shared" si="1109"/>
        <v>BypassCheckSimRules,0,</v>
      </c>
      <c r="BD331" s="31" t="str">
        <f t="shared" si="1110"/>
        <v>BypassCheckCodeRules,0,</v>
      </c>
      <c r="BE331" s="31" t="str">
        <f t="shared" si="1111"/>
        <v>StoreResultsToModelInput,1,</v>
      </c>
      <c r="BF331" s="31" t="str">
        <f t="shared" si="1112"/>
        <v>StoreBEMDetails,0,</v>
      </c>
      <c r="BG331" s="31" t="str">
        <f t="shared" si="1113"/>
        <v>ModelRpt_ALL,1,</v>
      </c>
      <c r="BH331" s="31" t="str">
        <f t="shared" si="1114"/>
        <v>ExportHourlyResults_All,0,</v>
      </c>
      <c r="BI331" s="31" t="str">
        <f t="shared" si="1115"/>
        <v>ComplianceReportPDF,0,</v>
      </c>
      <c r="BJ331" s="31" t="str">
        <f t="shared" si="1116"/>
        <v>ComplianceReportXML,0,</v>
      </c>
      <c r="BK331" s="31" t="str">
        <f t="shared" si="1117"/>
        <v>QuickAnalysis,0,</v>
      </c>
      <c r="BL331" s="31" t="str">
        <f t="shared" si="1118"/>
        <v>PromptUserUMLHWarning,0,</v>
      </c>
      <c r="BM331" s="31" t="str">
        <f t="shared" si="1119"/>
        <v>BypassOpenStudio_all,0,</v>
      </c>
      <c r="BN331" s="31" t="str">
        <f t="shared" si="1120"/>
        <v>BypassOpenStudio_zp,0,</v>
      </c>
      <c r="BO331" s="31" t="str">
        <f t="shared" si="1121"/>
        <v>BypassOpenStudio_zb,0,</v>
      </c>
      <c r="BP331" s="31" t="str">
        <f t="shared" si="1122"/>
        <v>BypassOpenStudio_ap,0,</v>
      </c>
      <c r="BQ331" s="31" t="str">
        <f t="shared" si="1123"/>
        <v>BypassOpenStudio_ab,0,</v>
      </c>
      <c r="BR331" s="31" t="str">
        <f t="shared" si="1124"/>
        <v>BypassOpenStudio_zp,0,</v>
      </c>
      <c r="BS331" s="31" t="str">
        <f t="shared" si="1125"/>
        <v>BypassOpenStudio_zb,0,</v>
      </c>
      <c r="BT331" s="31" t="str">
        <f t="shared" si="1126"/>
        <v>BypassOpenStudio_ap,0,</v>
      </c>
      <c r="BU331" s="31" t="str">
        <f t="shared" si="1127"/>
        <v>BypassOpenStudio_ab,0,</v>
      </c>
    </row>
    <row r="332" spans="1:73" outlineLevel="1" x14ac:dyDescent="0.25">
      <c r="A332" s="39">
        <f t="shared" si="1095"/>
        <v>1</v>
      </c>
      <c r="B332" s="27" t="str">
        <f t="shared" si="1128"/>
        <v>SoftwareSensitivity2016Tests\SimplifiedGeometry\0300006-OffMed-SG-Baseline.cibd16</v>
      </c>
      <c r="C332" s="27" t="str">
        <f t="shared" si="1129"/>
        <v>BatchOut_171026_r5178_FinalRel-v3-SSTSG_SSTSG\0300006-OffMed-SG-Baseline.cibd16</v>
      </c>
      <c r="D332" s="27" t="str">
        <f t="shared" si="1130"/>
        <v>BatchOut_171026_r5178_FinalRel-v3-SSTSG_SSTSG\XML\</v>
      </c>
      <c r="E332" s="9" t="str">
        <f t="shared" si="1131"/>
        <v>0300006-OffMed-SG-Baseline</v>
      </c>
      <c r="F332" s="22"/>
      <c r="G332" s="29"/>
      <c r="H332" s="23" t="str">
        <f t="shared" si="1132"/>
        <v/>
      </c>
      <c r="I332" s="9" t="s">
        <v>11</v>
      </c>
      <c r="J33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2" s="15" t="s">
        <v>1</v>
      </c>
      <c r="L332" s="92">
        <f t="shared" si="1135"/>
        <v>1</v>
      </c>
      <c r="M332" s="91" t="str">
        <f t="shared" si="1133"/>
        <v>0300006-OffMed-SG-Baseline</v>
      </c>
      <c r="N332" s="90" t="s">
        <v>163</v>
      </c>
      <c r="O332" s="90" t="str">
        <f t="shared" si="1097"/>
        <v>0300006-OffMed-SG-Baseline</v>
      </c>
      <c r="P332" s="92">
        <f t="shared" si="1094"/>
        <v>1</v>
      </c>
      <c r="Q332" s="92">
        <f t="shared" si="1094"/>
        <v>1</v>
      </c>
      <c r="R332" s="92">
        <f t="shared" si="1094"/>
        <v>0</v>
      </c>
      <c r="S332" s="92">
        <f t="shared" si="1094"/>
        <v>1</v>
      </c>
      <c r="T332" s="92">
        <f t="shared" si="1094"/>
        <v>0</v>
      </c>
      <c r="U332" s="92">
        <f t="shared" si="1094"/>
        <v>8</v>
      </c>
      <c r="V332" s="92">
        <f t="shared" si="1094"/>
        <v>8</v>
      </c>
      <c r="W332" s="92">
        <f t="shared" si="1094"/>
        <v>1</v>
      </c>
      <c r="X332" s="92">
        <f t="shared" si="1094"/>
        <v>0</v>
      </c>
      <c r="Y332" s="92">
        <f t="shared" si="1094"/>
        <v>0</v>
      </c>
      <c r="Z332" s="92">
        <f t="shared" si="1094"/>
        <v>0</v>
      </c>
      <c r="AA332" s="92">
        <f t="shared" si="1094"/>
        <v>0</v>
      </c>
      <c r="AB332" s="92">
        <f t="shared" si="1094"/>
        <v>1</v>
      </c>
      <c r="AC332" s="92">
        <f t="shared" si="1094"/>
        <v>0</v>
      </c>
      <c r="AD332" s="92">
        <f t="shared" si="1094"/>
        <v>1</v>
      </c>
      <c r="AE332" s="92">
        <f t="shared" si="1094"/>
        <v>0</v>
      </c>
      <c r="AF332" s="92">
        <f t="shared" si="1094"/>
        <v>0</v>
      </c>
      <c r="AG332" s="92">
        <f t="shared" si="1094"/>
        <v>0</v>
      </c>
      <c r="AH332" s="92">
        <f t="shared" si="1094"/>
        <v>0</v>
      </c>
      <c r="AI332" s="92">
        <f t="shared" si="1094"/>
        <v>0</v>
      </c>
      <c r="AJ332" s="92">
        <f t="shared" si="1094"/>
        <v>0</v>
      </c>
      <c r="AK332" s="92">
        <f t="shared" ref="AK332:AR332" si="1137">AK331</f>
        <v>0</v>
      </c>
      <c r="AL332" s="92">
        <f t="shared" si="1137"/>
        <v>0</v>
      </c>
      <c r="AM332" s="92">
        <f t="shared" si="1137"/>
        <v>0</v>
      </c>
      <c r="AN332" s="92">
        <f t="shared" si="1137"/>
        <v>0</v>
      </c>
      <c r="AO332" s="92">
        <f t="shared" si="1137"/>
        <v>0</v>
      </c>
      <c r="AP332" s="92">
        <f t="shared" si="1137"/>
        <v>0</v>
      </c>
      <c r="AQ332" s="92">
        <f t="shared" si="1137"/>
        <v>0</v>
      </c>
      <c r="AR332" s="92">
        <f t="shared" si="1137"/>
        <v>0</v>
      </c>
      <c r="AS332" s="31" t="str">
        <f t="shared" si="1099"/>
        <v>SimulationStorage,1,</v>
      </c>
      <c r="AT332" s="31" t="str">
        <f t="shared" si="1100"/>
        <v>AnalysisStorage,1,</v>
      </c>
      <c r="AU332" s="31" t="str">
        <f t="shared" si="1101"/>
        <v>LogRuleEvaluation,0,</v>
      </c>
      <c r="AV332" s="31" t="str">
        <f t="shared" si="1102"/>
        <v>ParallelSimulations,1,</v>
      </c>
      <c r="AW332" s="31" t="str">
        <f t="shared" si="1103"/>
        <v>DurationStats,0,</v>
      </c>
      <c r="AX332" s="31" t="str">
        <f t="shared" si="1104"/>
        <v>AnalysisThruStep,8,</v>
      </c>
      <c r="AY332" s="31" t="str">
        <f t="shared" si="1105"/>
        <v>DontAbortOnErrorsThruStep,8,</v>
      </c>
      <c r="AZ332" s="31" t="str">
        <f t="shared" si="1106"/>
        <v>BypassValidFileChecks,1,</v>
      </c>
      <c r="BA332" s="31" t="str">
        <f t="shared" si="1107"/>
        <v>BypassInputChecks,0,</v>
      </c>
      <c r="BB332" s="31" t="str">
        <f t="shared" si="1108"/>
        <v>BypassUMLHChecks,0,</v>
      </c>
      <c r="BC332" s="31" t="str">
        <f t="shared" si="1109"/>
        <v>BypassCheckSimRules,0,</v>
      </c>
      <c r="BD332" s="31" t="str">
        <f t="shared" si="1110"/>
        <v>BypassCheckCodeRules,0,</v>
      </c>
      <c r="BE332" s="31" t="str">
        <f t="shared" si="1111"/>
        <v>StoreResultsToModelInput,1,</v>
      </c>
      <c r="BF332" s="31" t="str">
        <f t="shared" si="1112"/>
        <v>StoreBEMDetails,0,</v>
      </c>
      <c r="BG332" s="31" t="str">
        <f t="shared" si="1113"/>
        <v>ModelRpt_ALL,1,</v>
      </c>
      <c r="BH332" s="31" t="str">
        <f t="shared" si="1114"/>
        <v>ExportHourlyResults_All,0,</v>
      </c>
      <c r="BI332" s="31" t="str">
        <f t="shared" si="1115"/>
        <v>ComplianceReportPDF,0,</v>
      </c>
      <c r="BJ332" s="31" t="str">
        <f t="shared" si="1116"/>
        <v>ComplianceReportXML,0,</v>
      </c>
      <c r="BK332" s="31" t="str">
        <f t="shared" si="1117"/>
        <v>QuickAnalysis,0,</v>
      </c>
      <c r="BL332" s="31" t="str">
        <f t="shared" si="1118"/>
        <v>PromptUserUMLHWarning,0,</v>
      </c>
      <c r="BM332" s="31" t="str">
        <f t="shared" si="1119"/>
        <v>BypassOpenStudio_all,0,</v>
      </c>
      <c r="BN332" s="31" t="str">
        <f t="shared" si="1120"/>
        <v>BypassOpenStudio_zp,0,</v>
      </c>
      <c r="BO332" s="31" t="str">
        <f t="shared" si="1121"/>
        <v>BypassOpenStudio_zb,0,</v>
      </c>
      <c r="BP332" s="31" t="str">
        <f t="shared" si="1122"/>
        <v>BypassOpenStudio_ap,0,</v>
      </c>
      <c r="BQ332" s="31" t="str">
        <f t="shared" si="1123"/>
        <v>BypassOpenStudio_ab,0,</v>
      </c>
      <c r="BR332" s="31" t="str">
        <f t="shared" si="1124"/>
        <v>BypassOpenStudio_zp,0,</v>
      </c>
      <c r="BS332" s="31" t="str">
        <f t="shared" si="1125"/>
        <v>BypassOpenStudio_zb,0,</v>
      </c>
      <c r="BT332" s="31" t="str">
        <f t="shared" si="1126"/>
        <v>BypassOpenStudio_ap,0,</v>
      </c>
      <c r="BU332" s="31" t="str">
        <f t="shared" si="1127"/>
        <v>BypassOpenStudio_ab,0,</v>
      </c>
    </row>
    <row r="333" spans="1:73" outlineLevel="1" x14ac:dyDescent="0.25">
      <c r="A333" s="39">
        <f t="shared" si="1095"/>
        <v>1</v>
      </c>
      <c r="B333" s="27" t="str">
        <f t="shared" si="1128"/>
        <v>SoftwareSensitivity2016Tests\SimplifiedGeometry\0315006-OffMed-SG-BotOpWinNoInterlock.cibd16</v>
      </c>
      <c r="C333" s="27" t="str">
        <f t="shared" si="1129"/>
        <v>BatchOut_171026_r5178_FinalRel-v3-SSTSG_SSTSG\0315006-OffMed-SG-BotOpWinNoInterlock.cibd16</v>
      </c>
      <c r="D333" s="27" t="str">
        <f t="shared" si="1130"/>
        <v>BatchOut_171026_r5178_FinalRel-v3-SSTSG_SSTSG\XML\</v>
      </c>
      <c r="E333" s="9" t="str">
        <f t="shared" si="1131"/>
        <v>0315006-OffMed-SG-BotOpWinNoInterlock</v>
      </c>
      <c r="F333" s="22"/>
      <c r="G333" s="29"/>
      <c r="H333" s="23" t="str">
        <f t="shared" si="1132"/>
        <v/>
      </c>
      <c r="I333" s="9" t="s">
        <v>11</v>
      </c>
      <c r="J33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3" s="15" t="s">
        <v>1</v>
      </c>
      <c r="L333" s="92">
        <f t="shared" si="1135"/>
        <v>1</v>
      </c>
      <c r="M333" s="91" t="str">
        <f t="shared" si="1133"/>
        <v>0315006-OffMed-SG-BotOpWinNoInterlock</v>
      </c>
      <c r="N333" s="90" t="s">
        <v>234</v>
      </c>
      <c r="O333" s="90" t="str">
        <f t="shared" si="1097"/>
        <v>0315006-OffMed-SG-BotOpWinNoInterlock</v>
      </c>
      <c r="P333" s="92">
        <f t="shared" si="1094"/>
        <v>1</v>
      </c>
      <c r="Q333" s="92">
        <f t="shared" si="1094"/>
        <v>1</v>
      </c>
      <c r="R333" s="92">
        <f t="shared" si="1094"/>
        <v>0</v>
      </c>
      <c r="S333" s="92">
        <f t="shared" si="1094"/>
        <v>1</v>
      </c>
      <c r="T333" s="92">
        <f t="shared" si="1094"/>
        <v>0</v>
      </c>
      <c r="U333" s="92">
        <f t="shared" si="1094"/>
        <v>8</v>
      </c>
      <c r="V333" s="92">
        <f t="shared" si="1094"/>
        <v>8</v>
      </c>
      <c r="W333" s="92">
        <f t="shared" si="1094"/>
        <v>1</v>
      </c>
      <c r="X333" s="92">
        <f t="shared" si="1094"/>
        <v>0</v>
      </c>
      <c r="Y333" s="92">
        <f t="shared" si="1094"/>
        <v>0</v>
      </c>
      <c r="Z333" s="92">
        <f t="shared" si="1094"/>
        <v>0</v>
      </c>
      <c r="AA333" s="92">
        <f t="shared" si="1094"/>
        <v>0</v>
      </c>
      <c r="AB333" s="92">
        <f t="shared" si="1094"/>
        <v>1</v>
      </c>
      <c r="AC333" s="92">
        <f t="shared" si="1094"/>
        <v>0</v>
      </c>
      <c r="AD333" s="92">
        <f t="shared" si="1094"/>
        <v>1</v>
      </c>
      <c r="AE333" s="92">
        <f t="shared" si="1094"/>
        <v>0</v>
      </c>
      <c r="AF333" s="92">
        <f t="shared" si="1094"/>
        <v>0</v>
      </c>
      <c r="AG333" s="92">
        <f t="shared" si="1094"/>
        <v>0</v>
      </c>
      <c r="AH333" s="92">
        <f t="shared" si="1094"/>
        <v>0</v>
      </c>
      <c r="AI333" s="92">
        <f t="shared" si="1094"/>
        <v>0</v>
      </c>
      <c r="AJ333" s="92">
        <f t="shared" si="1094"/>
        <v>0</v>
      </c>
      <c r="AK333" s="92">
        <f t="shared" ref="AK333:AR333" si="1138">AK332</f>
        <v>0</v>
      </c>
      <c r="AL333" s="92">
        <f t="shared" si="1138"/>
        <v>0</v>
      </c>
      <c r="AM333" s="92">
        <f t="shared" si="1138"/>
        <v>0</v>
      </c>
      <c r="AN333" s="92">
        <f t="shared" si="1138"/>
        <v>0</v>
      </c>
      <c r="AO333" s="92">
        <f t="shared" si="1138"/>
        <v>0</v>
      </c>
      <c r="AP333" s="92">
        <f t="shared" si="1138"/>
        <v>0</v>
      </c>
      <c r="AQ333" s="92">
        <f t="shared" si="1138"/>
        <v>0</v>
      </c>
      <c r="AR333" s="92">
        <f t="shared" si="1138"/>
        <v>0</v>
      </c>
      <c r="AS333" s="31" t="str">
        <f t="shared" si="1099"/>
        <v>SimulationStorage,1,</v>
      </c>
      <c r="AT333" s="31" t="str">
        <f t="shared" si="1100"/>
        <v>AnalysisStorage,1,</v>
      </c>
      <c r="AU333" s="31" t="str">
        <f t="shared" si="1101"/>
        <v>LogRuleEvaluation,0,</v>
      </c>
      <c r="AV333" s="31" t="str">
        <f t="shared" si="1102"/>
        <v>ParallelSimulations,1,</v>
      </c>
      <c r="AW333" s="31" t="str">
        <f t="shared" si="1103"/>
        <v>DurationStats,0,</v>
      </c>
      <c r="AX333" s="31" t="str">
        <f t="shared" si="1104"/>
        <v>AnalysisThruStep,8,</v>
      </c>
      <c r="AY333" s="31" t="str">
        <f t="shared" si="1105"/>
        <v>DontAbortOnErrorsThruStep,8,</v>
      </c>
      <c r="AZ333" s="31" t="str">
        <f t="shared" si="1106"/>
        <v>BypassValidFileChecks,1,</v>
      </c>
      <c r="BA333" s="31" t="str">
        <f t="shared" si="1107"/>
        <v>BypassInputChecks,0,</v>
      </c>
      <c r="BB333" s="31" t="str">
        <f t="shared" si="1108"/>
        <v>BypassUMLHChecks,0,</v>
      </c>
      <c r="BC333" s="31" t="str">
        <f t="shared" si="1109"/>
        <v>BypassCheckSimRules,0,</v>
      </c>
      <c r="BD333" s="31" t="str">
        <f t="shared" si="1110"/>
        <v>BypassCheckCodeRules,0,</v>
      </c>
      <c r="BE333" s="31" t="str">
        <f t="shared" si="1111"/>
        <v>StoreResultsToModelInput,1,</v>
      </c>
      <c r="BF333" s="31" t="str">
        <f t="shared" si="1112"/>
        <v>StoreBEMDetails,0,</v>
      </c>
      <c r="BG333" s="31" t="str">
        <f t="shared" si="1113"/>
        <v>ModelRpt_ALL,1,</v>
      </c>
      <c r="BH333" s="31" t="str">
        <f t="shared" si="1114"/>
        <v>ExportHourlyResults_All,0,</v>
      </c>
      <c r="BI333" s="31" t="str">
        <f t="shared" si="1115"/>
        <v>ComplianceReportPDF,0,</v>
      </c>
      <c r="BJ333" s="31" t="str">
        <f t="shared" si="1116"/>
        <v>ComplianceReportXML,0,</v>
      </c>
      <c r="BK333" s="31" t="str">
        <f t="shared" si="1117"/>
        <v>QuickAnalysis,0,</v>
      </c>
      <c r="BL333" s="31" t="str">
        <f t="shared" si="1118"/>
        <v>PromptUserUMLHWarning,0,</v>
      </c>
      <c r="BM333" s="31" t="str">
        <f t="shared" si="1119"/>
        <v>BypassOpenStudio_all,0,</v>
      </c>
      <c r="BN333" s="31" t="str">
        <f t="shared" si="1120"/>
        <v>BypassOpenStudio_zp,0,</v>
      </c>
      <c r="BO333" s="31" t="str">
        <f t="shared" si="1121"/>
        <v>BypassOpenStudio_zb,0,</v>
      </c>
      <c r="BP333" s="31" t="str">
        <f t="shared" si="1122"/>
        <v>BypassOpenStudio_ap,0,</v>
      </c>
      <c r="BQ333" s="31" t="str">
        <f t="shared" si="1123"/>
        <v>BypassOpenStudio_ab,0,</v>
      </c>
      <c r="BR333" s="31" t="str">
        <f t="shared" si="1124"/>
        <v>BypassOpenStudio_zp,0,</v>
      </c>
      <c r="BS333" s="31" t="str">
        <f t="shared" si="1125"/>
        <v>BypassOpenStudio_zb,0,</v>
      </c>
      <c r="BT333" s="31" t="str">
        <f t="shared" si="1126"/>
        <v>BypassOpenStudio_ap,0,</v>
      </c>
      <c r="BU333" s="31" t="str">
        <f t="shared" si="1127"/>
        <v>BypassOpenStudio_ab,0,</v>
      </c>
    </row>
    <row r="334" spans="1:73" outlineLevel="1" x14ac:dyDescent="0.25">
      <c r="A334" s="39">
        <f t="shared" si="1095"/>
        <v>1</v>
      </c>
      <c r="B334" s="27" t="str">
        <f t="shared" si="1128"/>
        <v>SoftwareSensitivity2016Tests\SimplifiedGeometry\0315106-OffMed-SG-BotMidOpWinNoInterlock.cibd16</v>
      </c>
      <c r="C334" s="27" t="str">
        <f t="shared" si="1129"/>
        <v>BatchOut_171026_r5178_FinalRel-v3-SSTSG_SSTSG\0315106-OffMed-SG-BotMidOpWinNoInterlock.cibd16</v>
      </c>
      <c r="D334" s="27" t="str">
        <f t="shared" si="1130"/>
        <v>BatchOut_171026_r5178_FinalRel-v3-SSTSG_SSTSG\XML\</v>
      </c>
      <c r="E334" s="9" t="str">
        <f t="shared" si="1131"/>
        <v>0315106-OffMed-SG-BotMidOpWinNoInterlock</v>
      </c>
      <c r="F334" s="22"/>
      <c r="G334" s="29"/>
      <c r="H334" s="23" t="str">
        <f t="shared" si="1132"/>
        <v/>
      </c>
      <c r="I334" s="9" t="s">
        <v>11</v>
      </c>
      <c r="J33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4" s="15" t="s">
        <v>1</v>
      </c>
      <c r="L334" s="92">
        <f t="shared" si="1135"/>
        <v>1</v>
      </c>
      <c r="M334" s="91" t="str">
        <f t="shared" si="1133"/>
        <v>0315106-OffMed-SG-BotMidOpWinNoInterlock</v>
      </c>
      <c r="N334" s="90" t="s">
        <v>235</v>
      </c>
      <c r="O334" s="90" t="str">
        <f t="shared" si="1097"/>
        <v>0315106-OffMed-SG-BotMidOpWinNoInterlock</v>
      </c>
      <c r="P334" s="92">
        <f t="shared" si="1094"/>
        <v>1</v>
      </c>
      <c r="Q334" s="92">
        <f t="shared" si="1094"/>
        <v>1</v>
      </c>
      <c r="R334" s="92">
        <f t="shared" si="1094"/>
        <v>0</v>
      </c>
      <c r="S334" s="92">
        <f t="shared" si="1094"/>
        <v>1</v>
      </c>
      <c r="T334" s="92">
        <f t="shared" si="1094"/>
        <v>0</v>
      </c>
      <c r="U334" s="92">
        <f t="shared" si="1094"/>
        <v>8</v>
      </c>
      <c r="V334" s="92">
        <f t="shared" si="1094"/>
        <v>8</v>
      </c>
      <c r="W334" s="92">
        <f t="shared" si="1094"/>
        <v>1</v>
      </c>
      <c r="X334" s="92">
        <f t="shared" si="1094"/>
        <v>0</v>
      </c>
      <c r="Y334" s="92">
        <f t="shared" si="1094"/>
        <v>0</v>
      </c>
      <c r="Z334" s="92">
        <f t="shared" si="1094"/>
        <v>0</v>
      </c>
      <c r="AA334" s="92">
        <f t="shared" si="1094"/>
        <v>0</v>
      </c>
      <c r="AB334" s="92">
        <f t="shared" si="1094"/>
        <v>1</v>
      </c>
      <c r="AC334" s="92">
        <f t="shared" si="1094"/>
        <v>0</v>
      </c>
      <c r="AD334" s="92">
        <f t="shared" si="1094"/>
        <v>1</v>
      </c>
      <c r="AE334" s="92">
        <f t="shared" si="1094"/>
        <v>0</v>
      </c>
      <c r="AF334" s="92">
        <f t="shared" si="1094"/>
        <v>0</v>
      </c>
      <c r="AG334" s="92">
        <f t="shared" si="1094"/>
        <v>0</v>
      </c>
      <c r="AH334" s="92">
        <f t="shared" si="1094"/>
        <v>0</v>
      </c>
      <c r="AI334" s="92">
        <f t="shared" si="1094"/>
        <v>0</v>
      </c>
      <c r="AJ334" s="92">
        <f t="shared" si="1094"/>
        <v>0</v>
      </c>
      <c r="AK334" s="92">
        <f t="shared" ref="AK334:AR334" si="1139">AK333</f>
        <v>0</v>
      </c>
      <c r="AL334" s="92">
        <f t="shared" si="1139"/>
        <v>0</v>
      </c>
      <c r="AM334" s="92">
        <f t="shared" si="1139"/>
        <v>0</v>
      </c>
      <c r="AN334" s="92">
        <f t="shared" si="1139"/>
        <v>0</v>
      </c>
      <c r="AO334" s="92">
        <f t="shared" si="1139"/>
        <v>0</v>
      </c>
      <c r="AP334" s="92">
        <f t="shared" si="1139"/>
        <v>0</v>
      </c>
      <c r="AQ334" s="92">
        <f t="shared" si="1139"/>
        <v>0</v>
      </c>
      <c r="AR334" s="92">
        <f t="shared" si="1139"/>
        <v>0</v>
      </c>
      <c r="AS334" s="31" t="str">
        <f t="shared" si="1099"/>
        <v>SimulationStorage,1,</v>
      </c>
      <c r="AT334" s="31" t="str">
        <f t="shared" si="1100"/>
        <v>AnalysisStorage,1,</v>
      </c>
      <c r="AU334" s="31" t="str">
        <f t="shared" si="1101"/>
        <v>LogRuleEvaluation,0,</v>
      </c>
      <c r="AV334" s="31" t="str">
        <f t="shared" si="1102"/>
        <v>ParallelSimulations,1,</v>
      </c>
      <c r="AW334" s="31" t="str">
        <f t="shared" si="1103"/>
        <v>DurationStats,0,</v>
      </c>
      <c r="AX334" s="31" t="str">
        <f t="shared" si="1104"/>
        <v>AnalysisThruStep,8,</v>
      </c>
      <c r="AY334" s="31" t="str">
        <f t="shared" si="1105"/>
        <v>DontAbortOnErrorsThruStep,8,</v>
      </c>
      <c r="AZ334" s="31" t="str">
        <f t="shared" si="1106"/>
        <v>BypassValidFileChecks,1,</v>
      </c>
      <c r="BA334" s="31" t="str">
        <f t="shared" si="1107"/>
        <v>BypassInputChecks,0,</v>
      </c>
      <c r="BB334" s="31" t="str">
        <f t="shared" si="1108"/>
        <v>BypassUMLHChecks,0,</v>
      </c>
      <c r="BC334" s="31" t="str">
        <f t="shared" si="1109"/>
        <v>BypassCheckSimRules,0,</v>
      </c>
      <c r="BD334" s="31" t="str">
        <f t="shared" si="1110"/>
        <v>BypassCheckCodeRules,0,</v>
      </c>
      <c r="BE334" s="31" t="str">
        <f t="shared" si="1111"/>
        <v>StoreResultsToModelInput,1,</v>
      </c>
      <c r="BF334" s="31" t="str">
        <f t="shared" si="1112"/>
        <v>StoreBEMDetails,0,</v>
      </c>
      <c r="BG334" s="31" t="str">
        <f t="shared" si="1113"/>
        <v>ModelRpt_ALL,1,</v>
      </c>
      <c r="BH334" s="31" t="str">
        <f t="shared" si="1114"/>
        <v>ExportHourlyResults_All,0,</v>
      </c>
      <c r="BI334" s="31" t="str">
        <f t="shared" si="1115"/>
        <v>ComplianceReportPDF,0,</v>
      </c>
      <c r="BJ334" s="31" t="str">
        <f t="shared" si="1116"/>
        <v>ComplianceReportXML,0,</v>
      </c>
      <c r="BK334" s="31" t="str">
        <f t="shared" si="1117"/>
        <v>QuickAnalysis,0,</v>
      </c>
      <c r="BL334" s="31" t="str">
        <f t="shared" si="1118"/>
        <v>PromptUserUMLHWarning,0,</v>
      </c>
      <c r="BM334" s="31" t="str">
        <f t="shared" si="1119"/>
        <v>BypassOpenStudio_all,0,</v>
      </c>
      <c r="BN334" s="31" t="str">
        <f t="shared" si="1120"/>
        <v>BypassOpenStudio_zp,0,</v>
      </c>
      <c r="BO334" s="31" t="str">
        <f t="shared" si="1121"/>
        <v>BypassOpenStudio_zb,0,</v>
      </c>
      <c r="BP334" s="31" t="str">
        <f t="shared" si="1122"/>
        <v>BypassOpenStudio_ap,0,</v>
      </c>
      <c r="BQ334" s="31" t="str">
        <f t="shared" si="1123"/>
        <v>BypassOpenStudio_ab,0,</v>
      </c>
      <c r="BR334" s="31" t="str">
        <f t="shared" si="1124"/>
        <v>BypassOpenStudio_zp,0,</v>
      </c>
      <c r="BS334" s="31" t="str">
        <f t="shared" si="1125"/>
        <v>BypassOpenStudio_zb,0,</v>
      </c>
      <c r="BT334" s="31" t="str">
        <f t="shared" si="1126"/>
        <v>BypassOpenStudio_ap,0,</v>
      </c>
      <c r="BU334" s="31" t="str">
        <f t="shared" si="1127"/>
        <v>BypassOpenStudio_ab,0,</v>
      </c>
    </row>
    <row r="335" spans="1:73" outlineLevel="1" x14ac:dyDescent="0.25">
      <c r="A335" s="39">
        <f t="shared" si="1095"/>
        <v>1</v>
      </c>
      <c r="B335" s="27" t="str">
        <f t="shared" si="1128"/>
        <v>SoftwareSensitivity2016Tests\SimplifiedGeometry\0315206-OffMed-SG-BotMidTopOpWinNoInterlock.cibd16</v>
      </c>
      <c r="C335" s="27" t="str">
        <f t="shared" si="1129"/>
        <v>BatchOut_171026_r5178_FinalRel-v3-SSTSG_SSTSG\0315206-OffMed-SG-BotMidTopOpWinNoInterlock.cibd16</v>
      </c>
      <c r="D335" s="27" t="str">
        <f t="shared" si="1130"/>
        <v>BatchOut_171026_r5178_FinalRel-v3-SSTSG_SSTSG\XML\</v>
      </c>
      <c r="E335" s="9" t="str">
        <f t="shared" si="1131"/>
        <v>0315206-OffMed-SG-BotMidTopOpWinNoInterlock</v>
      </c>
      <c r="F335" s="22"/>
      <c r="G335" s="29"/>
      <c r="H335" s="23" t="str">
        <f t="shared" si="1132"/>
        <v/>
      </c>
      <c r="I335" s="9" t="s">
        <v>11</v>
      </c>
      <c r="J33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5" s="15" t="s">
        <v>1</v>
      </c>
      <c r="L335" s="92">
        <f t="shared" si="1135"/>
        <v>1</v>
      </c>
      <c r="M335" s="91" t="str">
        <f t="shared" si="1133"/>
        <v>0315206-OffMed-SG-BotMidTopOpWinNoInterlock</v>
      </c>
      <c r="N335" s="90" t="s">
        <v>236</v>
      </c>
      <c r="O335" s="90" t="str">
        <f t="shared" si="1097"/>
        <v>0315206-OffMed-SG-BotMidTopOpWinNoInterlock</v>
      </c>
      <c r="P335" s="92">
        <f t="shared" si="1094"/>
        <v>1</v>
      </c>
      <c r="Q335" s="92">
        <f t="shared" si="1094"/>
        <v>1</v>
      </c>
      <c r="R335" s="92">
        <f t="shared" si="1094"/>
        <v>0</v>
      </c>
      <c r="S335" s="92">
        <f t="shared" si="1094"/>
        <v>1</v>
      </c>
      <c r="T335" s="92">
        <f t="shared" si="1094"/>
        <v>0</v>
      </c>
      <c r="U335" s="92">
        <f t="shared" si="1094"/>
        <v>8</v>
      </c>
      <c r="V335" s="92">
        <f t="shared" si="1094"/>
        <v>8</v>
      </c>
      <c r="W335" s="92">
        <f t="shared" si="1094"/>
        <v>1</v>
      </c>
      <c r="X335" s="92">
        <f t="shared" si="1094"/>
        <v>0</v>
      </c>
      <c r="Y335" s="92">
        <f t="shared" si="1094"/>
        <v>0</v>
      </c>
      <c r="Z335" s="92">
        <f t="shared" si="1094"/>
        <v>0</v>
      </c>
      <c r="AA335" s="92">
        <f t="shared" si="1094"/>
        <v>0</v>
      </c>
      <c r="AB335" s="92">
        <f t="shared" si="1094"/>
        <v>1</v>
      </c>
      <c r="AC335" s="92">
        <f t="shared" si="1094"/>
        <v>0</v>
      </c>
      <c r="AD335" s="92">
        <f t="shared" si="1094"/>
        <v>1</v>
      </c>
      <c r="AE335" s="92">
        <f t="shared" si="1094"/>
        <v>0</v>
      </c>
      <c r="AF335" s="92">
        <f t="shared" si="1094"/>
        <v>0</v>
      </c>
      <c r="AG335" s="92">
        <f t="shared" si="1094"/>
        <v>0</v>
      </c>
      <c r="AH335" s="92">
        <f t="shared" si="1094"/>
        <v>0</v>
      </c>
      <c r="AI335" s="92">
        <f t="shared" si="1094"/>
        <v>0</v>
      </c>
      <c r="AJ335" s="92">
        <f t="shared" si="1094"/>
        <v>0</v>
      </c>
      <c r="AK335" s="92">
        <f t="shared" ref="AK335:AR335" si="1140">AK334</f>
        <v>0</v>
      </c>
      <c r="AL335" s="92">
        <f t="shared" si="1140"/>
        <v>0</v>
      </c>
      <c r="AM335" s="92">
        <f t="shared" si="1140"/>
        <v>0</v>
      </c>
      <c r="AN335" s="92">
        <f t="shared" si="1140"/>
        <v>0</v>
      </c>
      <c r="AO335" s="92">
        <f t="shared" si="1140"/>
        <v>0</v>
      </c>
      <c r="AP335" s="92">
        <f t="shared" si="1140"/>
        <v>0</v>
      </c>
      <c r="AQ335" s="92">
        <f t="shared" si="1140"/>
        <v>0</v>
      </c>
      <c r="AR335" s="92">
        <f t="shared" si="1140"/>
        <v>0</v>
      </c>
      <c r="AS335" s="31" t="str">
        <f t="shared" si="1099"/>
        <v>SimulationStorage,1,</v>
      </c>
      <c r="AT335" s="31" t="str">
        <f t="shared" si="1100"/>
        <v>AnalysisStorage,1,</v>
      </c>
      <c r="AU335" s="31" t="str">
        <f t="shared" si="1101"/>
        <v>LogRuleEvaluation,0,</v>
      </c>
      <c r="AV335" s="31" t="str">
        <f t="shared" si="1102"/>
        <v>ParallelSimulations,1,</v>
      </c>
      <c r="AW335" s="31" t="str">
        <f t="shared" si="1103"/>
        <v>DurationStats,0,</v>
      </c>
      <c r="AX335" s="31" t="str">
        <f t="shared" si="1104"/>
        <v>AnalysisThruStep,8,</v>
      </c>
      <c r="AY335" s="31" t="str">
        <f t="shared" si="1105"/>
        <v>DontAbortOnErrorsThruStep,8,</v>
      </c>
      <c r="AZ335" s="31" t="str">
        <f t="shared" si="1106"/>
        <v>BypassValidFileChecks,1,</v>
      </c>
      <c r="BA335" s="31" t="str">
        <f t="shared" si="1107"/>
        <v>BypassInputChecks,0,</v>
      </c>
      <c r="BB335" s="31" t="str">
        <f t="shared" si="1108"/>
        <v>BypassUMLHChecks,0,</v>
      </c>
      <c r="BC335" s="31" t="str">
        <f t="shared" si="1109"/>
        <v>BypassCheckSimRules,0,</v>
      </c>
      <c r="BD335" s="31" t="str">
        <f t="shared" si="1110"/>
        <v>BypassCheckCodeRules,0,</v>
      </c>
      <c r="BE335" s="31" t="str">
        <f t="shared" si="1111"/>
        <v>StoreResultsToModelInput,1,</v>
      </c>
      <c r="BF335" s="31" t="str">
        <f t="shared" si="1112"/>
        <v>StoreBEMDetails,0,</v>
      </c>
      <c r="BG335" s="31" t="str">
        <f t="shared" si="1113"/>
        <v>ModelRpt_ALL,1,</v>
      </c>
      <c r="BH335" s="31" t="str">
        <f t="shared" si="1114"/>
        <v>ExportHourlyResults_All,0,</v>
      </c>
      <c r="BI335" s="31" t="str">
        <f t="shared" si="1115"/>
        <v>ComplianceReportPDF,0,</v>
      </c>
      <c r="BJ335" s="31" t="str">
        <f t="shared" si="1116"/>
        <v>ComplianceReportXML,0,</v>
      </c>
      <c r="BK335" s="31" t="str">
        <f t="shared" si="1117"/>
        <v>QuickAnalysis,0,</v>
      </c>
      <c r="BL335" s="31" t="str">
        <f t="shared" si="1118"/>
        <v>PromptUserUMLHWarning,0,</v>
      </c>
      <c r="BM335" s="31" t="str">
        <f t="shared" si="1119"/>
        <v>BypassOpenStudio_all,0,</v>
      </c>
      <c r="BN335" s="31" t="str">
        <f t="shared" si="1120"/>
        <v>BypassOpenStudio_zp,0,</v>
      </c>
      <c r="BO335" s="31" t="str">
        <f t="shared" si="1121"/>
        <v>BypassOpenStudio_zb,0,</v>
      </c>
      <c r="BP335" s="31" t="str">
        <f t="shared" si="1122"/>
        <v>BypassOpenStudio_ap,0,</v>
      </c>
      <c r="BQ335" s="31" t="str">
        <f t="shared" si="1123"/>
        <v>BypassOpenStudio_ab,0,</v>
      </c>
      <c r="BR335" s="31" t="str">
        <f t="shared" si="1124"/>
        <v>BypassOpenStudio_zp,0,</v>
      </c>
      <c r="BS335" s="31" t="str">
        <f t="shared" si="1125"/>
        <v>BypassOpenStudio_zb,0,</v>
      </c>
      <c r="BT335" s="31" t="str">
        <f t="shared" si="1126"/>
        <v>BypassOpenStudio_ap,0,</v>
      </c>
      <c r="BU335" s="31" t="str">
        <f t="shared" si="1127"/>
        <v>BypassOpenStudio_ab,0,</v>
      </c>
    </row>
    <row r="336" spans="1:73" outlineLevel="1" x14ac:dyDescent="0.25">
      <c r="A336" s="39">
        <f t="shared" si="1095"/>
        <v>1</v>
      </c>
      <c r="B336" s="27" t="str">
        <f t="shared" si="1128"/>
        <v>SoftwareSensitivity2016Tests\SimplifiedGeometry\0315306-OffMed-SG-BotMidOpWinNoInterlockTopInterlock.cibd16</v>
      </c>
      <c r="C336" s="27" t="str">
        <f t="shared" si="1129"/>
        <v>BatchOut_171026_r5178_FinalRel-v3-SSTSG_SSTSG\0315306-OffMed-SG-BotMidOpWinNoInterlockTopInterlock.cibd16</v>
      </c>
      <c r="D336" s="27" t="str">
        <f t="shared" si="1130"/>
        <v>BatchOut_171026_r5178_FinalRel-v3-SSTSG_SSTSG\XML\</v>
      </c>
      <c r="E336" s="9" t="str">
        <f t="shared" si="1131"/>
        <v>0315306-OffMed-SG-BotMidOpWinNoInterlockTopInterlock</v>
      </c>
      <c r="F336" s="22"/>
      <c r="G336" s="29"/>
      <c r="H336" s="23" t="str">
        <f t="shared" si="1132"/>
        <v/>
      </c>
      <c r="I336" s="9" t="s">
        <v>11</v>
      </c>
      <c r="J33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6" s="15" t="s">
        <v>1</v>
      </c>
      <c r="L336" s="92">
        <f t="shared" si="1135"/>
        <v>1</v>
      </c>
      <c r="M336" s="91" t="str">
        <f t="shared" si="1133"/>
        <v>0315306-OffMed-SG-BotMidOpWinNoInterlockTopInterlock</v>
      </c>
      <c r="N336" s="90" t="s">
        <v>237</v>
      </c>
      <c r="O336" s="90" t="str">
        <f t="shared" si="1097"/>
        <v>0315306-OffMed-SG-BotMidOpWinNoInterlockTopInterlock</v>
      </c>
      <c r="P336" s="92">
        <f t="shared" si="1094"/>
        <v>1</v>
      </c>
      <c r="Q336" s="92">
        <f t="shared" si="1094"/>
        <v>1</v>
      </c>
      <c r="R336" s="92">
        <f t="shared" si="1094"/>
        <v>0</v>
      </c>
      <c r="S336" s="92">
        <f t="shared" si="1094"/>
        <v>1</v>
      </c>
      <c r="T336" s="92">
        <f t="shared" si="1094"/>
        <v>0</v>
      </c>
      <c r="U336" s="92">
        <f t="shared" si="1094"/>
        <v>8</v>
      </c>
      <c r="V336" s="92">
        <f t="shared" si="1094"/>
        <v>8</v>
      </c>
      <c r="W336" s="92">
        <f t="shared" si="1094"/>
        <v>1</v>
      </c>
      <c r="X336" s="92">
        <f t="shared" ref="P336:AR345" si="1141">X335</f>
        <v>0</v>
      </c>
      <c r="Y336" s="92">
        <f t="shared" si="1141"/>
        <v>0</v>
      </c>
      <c r="Z336" s="92">
        <f t="shared" si="1141"/>
        <v>0</v>
      </c>
      <c r="AA336" s="92">
        <f t="shared" si="1141"/>
        <v>0</v>
      </c>
      <c r="AB336" s="92">
        <f t="shared" si="1141"/>
        <v>1</v>
      </c>
      <c r="AC336" s="92">
        <f t="shared" si="1141"/>
        <v>0</v>
      </c>
      <c r="AD336" s="92">
        <f t="shared" si="1141"/>
        <v>1</v>
      </c>
      <c r="AE336" s="92">
        <f t="shared" si="1141"/>
        <v>0</v>
      </c>
      <c r="AF336" s="92">
        <f t="shared" si="1141"/>
        <v>0</v>
      </c>
      <c r="AG336" s="92">
        <f t="shared" si="1141"/>
        <v>0</v>
      </c>
      <c r="AH336" s="92">
        <f t="shared" si="1141"/>
        <v>0</v>
      </c>
      <c r="AI336" s="92">
        <f t="shared" si="1141"/>
        <v>0</v>
      </c>
      <c r="AJ336" s="92">
        <f t="shared" si="1141"/>
        <v>0</v>
      </c>
      <c r="AK336" s="92">
        <f t="shared" si="1141"/>
        <v>0</v>
      </c>
      <c r="AL336" s="92">
        <f t="shared" si="1141"/>
        <v>0</v>
      </c>
      <c r="AM336" s="92">
        <f t="shared" si="1141"/>
        <v>0</v>
      </c>
      <c r="AN336" s="92">
        <f t="shared" si="1141"/>
        <v>0</v>
      </c>
      <c r="AO336" s="92">
        <f t="shared" si="1141"/>
        <v>0</v>
      </c>
      <c r="AP336" s="92">
        <f t="shared" si="1141"/>
        <v>0</v>
      </c>
      <c r="AQ336" s="92">
        <f t="shared" si="1141"/>
        <v>0</v>
      </c>
      <c r="AR336" s="92">
        <f t="shared" si="1141"/>
        <v>0</v>
      </c>
      <c r="AS336" s="31" t="str">
        <f t="shared" si="1099"/>
        <v>SimulationStorage,1,</v>
      </c>
      <c r="AT336" s="31" t="str">
        <f t="shared" si="1100"/>
        <v>AnalysisStorage,1,</v>
      </c>
      <c r="AU336" s="31" t="str">
        <f t="shared" si="1101"/>
        <v>LogRuleEvaluation,0,</v>
      </c>
      <c r="AV336" s="31" t="str">
        <f t="shared" si="1102"/>
        <v>ParallelSimulations,1,</v>
      </c>
      <c r="AW336" s="31" t="str">
        <f t="shared" si="1103"/>
        <v>DurationStats,0,</v>
      </c>
      <c r="AX336" s="31" t="str">
        <f t="shared" si="1104"/>
        <v>AnalysisThruStep,8,</v>
      </c>
      <c r="AY336" s="31" t="str">
        <f t="shared" si="1105"/>
        <v>DontAbortOnErrorsThruStep,8,</v>
      </c>
      <c r="AZ336" s="31" t="str">
        <f t="shared" si="1106"/>
        <v>BypassValidFileChecks,1,</v>
      </c>
      <c r="BA336" s="31" t="str">
        <f t="shared" si="1107"/>
        <v>BypassInputChecks,0,</v>
      </c>
      <c r="BB336" s="31" t="str">
        <f t="shared" si="1108"/>
        <v>BypassUMLHChecks,0,</v>
      </c>
      <c r="BC336" s="31" t="str">
        <f t="shared" si="1109"/>
        <v>BypassCheckSimRules,0,</v>
      </c>
      <c r="BD336" s="31" t="str">
        <f t="shared" si="1110"/>
        <v>BypassCheckCodeRules,0,</v>
      </c>
      <c r="BE336" s="31" t="str">
        <f t="shared" si="1111"/>
        <v>StoreResultsToModelInput,1,</v>
      </c>
      <c r="BF336" s="31" t="str">
        <f t="shared" si="1112"/>
        <v>StoreBEMDetails,0,</v>
      </c>
      <c r="BG336" s="31" t="str">
        <f t="shared" si="1113"/>
        <v>ModelRpt_ALL,1,</v>
      </c>
      <c r="BH336" s="31" t="str">
        <f t="shared" si="1114"/>
        <v>ExportHourlyResults_All,0,</v>
      </c>
      <c r="BI336" s="31" t="str">
        <f t="shared" si="1115"/>
        <v>ComplianceReportPDF,0,</v>
      </c>
      <c r="BJ336" s="31" t="str">
        <f t="shared" si="1116"/>
        <v>ComplianceReportXML,0,</v>
      </c>
      <c r="BK336" s="31" t="str">
        <f t="shared" si="1117"/>
        <v>QuickAnalysis,0,</v>
      </c>
      <c r="BL336" s="31" t="str">
        <f t="shared" si="1118"/>
        <v>PromptUserUMLHWarning,0,</v>
      </c>
      <c r="BM336" s="31" t="str">
        <f t="shared" si="1119"/>
        <v>BypassOpenStudio_all,0,</v>
      </c>
      <c r="BN336" s="31" t="str">
        <f t="shared" si="1120"/>
        <v>BypassOpenStudio_zp,0,</v>
      </c>
      <c r="BO336" s="31" t="str">
        <f t="shared" si="1121"/>
        <v>BypassOpenStudio_zb,0,</v>
      </c>
      <c r="BP336" s="31" t="str">
        <f t="shared" si="1122"/>
        <v>BypassOpenStudio_ap,0,</v>
      </c>
      <c r="BQ336" s="31" t="str">
        <f t="shared" si="1123"/>
        <v>BypassOpenStudio_ab,0,</v>
      </c>
      <c r="BR336" s="31" t="str">
        <f t="shared" si="1124"/>
        <v>BypassOpenStudio_zp,0,</v>
      </c>
      <c r="BS336" s="31" t="str">
        <f t="shared" si="1125"/>
        <v>BypassOpenStudio_zb,0,</v>
      </c>
      <c r="BT336" s="31" t="str">
        <f t="shared" si="1126"/>
        <v>BypassOpenStudio_ap,0,</v>
      </c>
      <c r="BU336" s="31" t="str">
        <f t="shared" si="1127"/>
        <v>BypassOpenStudio_ab,0,</v>
      </c>
    </row>
    <row r="337" spans="1:73" outlineLevel="1" x14ac:dyDescent="0.25">
      <c r="A337" s="39">
        <f t="shared" si="1095"/>
        <v>1</v>
      </c>
      <c r="B337" s="27" t="str">
        <f t="shared" si="1128"/>
        <v>SoftwareSensitivity2016Tests\SimplifiedGeometry\0400006-OffLrg-Baserun_NDL.cibd16</v>
      </c>
      <c r="C337" s="27" t="str">
        <f t="shared" si="1129"/>
        <v>BatchOut_171026_r5178_FinalRel-v3-SSTSG_SSTSG\0400006-OffLrg-Baserun_NDL.cibd16</v>
      </c>
      <c r="D337" s="27" t="str">
        <f t="shared" si="1130"/>
        <v>BatchOut_171026_r5178_FinalRel-v3-SSTSG_SSTSG\XML\</v>
      </c>
      <c r="E337" s="9" t="str">
        <f t="shared" si="1131"/>
        <v>0400006-OffLrg-Baserun_NDL</v>
      </c>
      <c r="F337" s="22"/>
      <c r="G337" s="29"/>
      <c r="H337" s="23" t="str">
        <f t="shared" si="1132"/>
        <v/>
      </c>
      <c r="I337" s="9" t="s">
        <v>11</v>
      </c>
      <c r="J33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7" s="15" t="s">
        <v>1</v>
      </c>
      <c r="L337" s="92">
        <f t="shared" si="1135"/>
        <v>1</v>
      </c>
      <c r="M337" s="91" t="str">
        <f t="shared" si="1133"/>
        <v>0400006-OffLrg-Baserun_NDL</v>
      </c>
      <c r="N337" s="90" t="s">
        <v>190</v>
      </c>
      <c r="O337" s="90" t="str">
        <f t="shared" si="1097"/>
        <v>0400006-OffLrg-Baserun_NDL</v>
      </c>
      <c r="P337" s="92">
        <f t="shared" si="1141"/>
        <v>1</v>
      </c>
      <c r="Q337" s="92">
        <f t="shared" si="1141"/>
        <v>1</v>
      </c>
      <c r="R337" s="92">
        <f t="shared" si="1141"/>
        <v>0</v>
      </c>
      <c r="S337" s="92">
        <f t="shared" si="1141"/>
        <v>1</v>
      </c>
      <c r="T337" s="92">
        <f t="shared" si="1141"/>
        <v>0</v>
      </c>
      <c r="U337" s="92">
        <f t="shared" si="1141"/>
        <v>8</v>
      </c>
      <c r="V337" s="92">
        <f t="shared" si="1141"/>
        <v>8</v>
      </c>
      <c r="W337" s="92">
        <f t="shared" si="1141"/>
        <v>1</v>
      </c>
      <c r="X337" s="92">
        <f t="shared" si="1141"/>
        <v>0</v>
      </c>
      <c r="Y337" s="92">
        <f t="shared" si="1141"/>
        <v>0</v>
      </c>
      <c r="Z337" s="92">
        <f t="shared" si="1141"/>
        <v>0</v>
      </c>
      <c r="AA337" s="92">
        <f t="shared" si="1141"/>
        <v>0</v>
      </c>
      <c r="AB337" s="92">
        <f t="shared" si="1141"/>
        <v>1</v>
      </c>
      <c r="AC337" s="92">
        <f t="shared" si="1141"/>
        <v>0</v>
      </c>
      <c r="AD337" s="92">
        <f t="shared" si="1141"/>
        <v>1</v>
      </c>
      <c r="AE337" s="92">
        <f t="shared" si="1141"/>
        <v>0</v>
      </c>
      <c r="AF337" s="92">
        <f t="shared" si="1141"/>
        <v>0</v>
      </c>
      <c r="AG337" s="92">
        <f t="shared" si="1141"/>
        <v>0</v>
      </c>
      <c r="AH337" s="92">
        <f t="shared" si="1141"/>
        <v>0</v>
      </c>
      <c r="AI337" s="92">
        <f t="shared" si="1141"/>
        <v>0</v>
      </c>
      <c r="AJ337" s="92">
        <f t="shared" si="1141"/>
        <v>0</v>
      </c>
      <c r="AK337" s="92">
        <f t="shared" si="1141"/>
        <v>0</v>
      </c>
      <c r="AL337" s="92">
        <f t="shared" si="1141"/>
        <v>0</v>
      </c>
      <c r="AM337" s="92">
        <f t="shared" si="1141"/>
        <v>0</v>
      </c>
      <c r="AN337" s="92">
        <f t="shared" si="1141"/>
        <v>0</v>
      </c>
      <c r="AO337" s="92">
        <f t="shared" si="1141"/>
        <v>0</v>
      </c>
      <c r="AP337" s="92">
        <f t="shared" si="1141"/>
        <v>0</v>
      </c>
      <c r="AQ337" s="92">
        <f t="shared" si="1141"/>
        <v>0</v>
      </c>
      <c r="AR337" s="92">
        <f t="shared" si="1141"/>
        <v>0</v>
      </c>
      <c r="AS337" s="31" t="str">
        <f t="shared" si="1099"/>
        <v>SimulationStorage,1,</v>
      </c>
      <c r="AT337" s="31" t="str">
        <f t="shared" si="1100"/>
        <v>AnalysisStorage,1,</v>
      </c>
      <c r="AU337" s="31" t="str">
        <f t="shared" si="1101"/>
        <v>LogRuleEvaluation,0,</v>
      </c>
      <c r="AV337" s="31" t="str">
        <f t="shared" si="1102"/>
        <v>ParallelSimulations,1,</v>
      </c>
      <c r="AW337" s="31" t="str">
        <f t="shared" si="1103"/>
        <v>DurationStats,0,</v>
      </c>
      <c r="AX337" s="31" t="str">
        <f t="shared" si="1104"/>
        <v>AnalysisThruStep,8,</v>
      </c>
      <c r="AY337" s="31" t="str">
        <f t="shared" si="1105"/>
        <v>DontAbortOnErrorsThruStep,8,</v>
      </c>
      <c r="AZ337" s="31" t="str">
        <f t="shared" si="1106"/>
        <v>BypassValidFileChecks,1,</v>
      </c>
      <c r="BA337" s="31" t="str">
        <f t="shared" si="1107"/>
        <v>BypassInputChecks,0,</v>
      </c>
      <c r="BB337" s="31" t="str">
        <f t="shared" si="1108"/>
        <v>BypassUMLHChecks,0,</v>
      </c>
      <c r="BC337" s="31" t="str">
        <f t="shared" si="1109"/>
        <v>BypassCheckSimRules,0,</v>
      </c>
      <c r="BD337" s="31" t="str">
        <f t="shared" si="1110"/>
        <v>BypassCheckCodeRules,0,</v>
      </c>
      <c r="BE337" s="31" t="str">
        <f t="shared" si="1111"/>
        <v>StoreResultsToModelInput,1,</v>
      </c>
      <c r="BF337" s="31" t="str">
        <f t="shared" si="1112"/>
        <v>StoreBEMDetails,0,</v>
      </c>
      <c r="BG337" s="31" t="str">
        <f t="shared" si="1113"/>
        <v>ModelRpt_ALL,1,</v>
      </c>
      <c r="BH337" s="31" t="str">
        <f t="shared" si="1114"/>
        <v>ExportHourlyResults_All,0,</v>
      </c>
      <c r="BI337" s="31" t="str">
        <f t="shared" si="1115"/>
        <v>ComplianceReportPDF,0,</v>
      </c>
      <c r="BJ337" s="31" t="str">
        <f t="shared" si="1116"/>
        <v>ComplianceReportXML,0,</v>
      </c>
      <c r="BK337" s="31" t="str">
        <f t="shared" si="1117"/>
        <v>QuickAnalysis,0,</v>
      </c>
      <c r="BL337" s="31" t="str">
        <f t="shared" si="1118"/>
        <v>PromptUserUMLHWarning,0,</v>
      </c>
      <c r="BM337" s="31" t="str">
        <f t="shared" si="1119"/>
        <v>BypassOpenStudio_all,0,</v>
      </c>
      <c r="BN337" s="31" t="str">
        <f t="shared" si="1120"/>
        <v>BypassOpenStudio_zp,0,</v>
      </c>
      <c r="BO337" s="31" t="str">
        <f t="shared" si="1121"/>
        <v>BypassOpenStudio_zb,0,</v>
      </c>
      <c r="BP337" s="31" t="str">
        <f t="shared" si="1122"/>
        <v>BypassOpenStudio_ap,0,</v>
      </c>
      <c r="BQ337" s="31" t="str">
        <f t="shared" si="1123"/>
        <v>BypassOpenStudio_ab,0,</v>
      </c>
      <c r="BR337" s="31" t="str">
        <f t="shared" si="1124"/>
        <v>BypassOpenStudio_zp,0,</v>
      </c>
      <c r="BS337" s="31" t="str">
        <f t="shared" si="1125"/>
        <v>BypassOpenStudio_zb,0,</v>
      </c>
      <c r="BT337" s="31" t="str">
        <f t="shared" si="1126"/>
        <v>BypassOpenStudio_ap,0,</v>
      </c>
      <c r="BU337" s="31" t="str">
        <f t="shared" si="1127"/>
        <v>BypassOpenStudio_ab,0,</v>
      </c>
    </row>
    <row r="338" spans="1:73" outlineLevel="1" x14ac:dyDescent="0.25">
      <c r="A338" s="39">
        <f t="shared" si="1095"/>
        <v>1</v>
      </c>
      <c r="B338" s="27" t="str">
        <f t="shared" si="1128"/>
        <v>SoftwareSensitivity2016Tests\SimplifiedGeometry\0415006-OffLrg-TES-ChlrPriority_NDL.cibd16</v>
      </c>
      <c r="C338" s="27" t="str">
        <f t="shared" si="1129"/>
        <v>BatchOut_171026_r5178_FinalRel-v3-SSTSG_SSTSG\0415006-OffLrg-TES-ChlrPriority_NDL.cibd16</v>
      </c>
      <c r="D338" s="27" t="str">
        <f t="shared" si="1130"/>
        <v>BatchOut_171026_r5178_FinalRel-v3-SSTSG_SSTSG\XML\</v>
      </c>
      <c r="E338" s="9" t="str">
        <f t="shared" si="1131"/>
        <v>0415006-OffLrg-TES-ChlrPriority_NDL</v>
      </c>
      <c r="F338" s="22"/>
      <c r="G338" s="29"/>
      <c r="H338" s="23" t="str">
        <f t="shared" si="1132"/>
        <v/>
      </c>
      <c r="I338" s="9" t="s">
        <v>11</v>
      </c>
      <c r="J33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8" s="15" t="s">
        <v>1</v>
      </c>
      <c r="L338" s="92">
        <f t="shared" si="1135"/>
        <v>1</v>
      </c>
      <c r="M338" s="91" t="str">
        <f t="shared" si="1133"/>
        <v>0415006-OffLrg-TES-ChlrPriority_NDL</v>
      </c>
      <c r="N338" s="90" t="s">
        <v>238</v>
      </c>
      <c r="O338" s="90" t="str">
        <f t="shared" si="1097"/>
        <v>0415006-OffLrg-TES-ChlrPriority_NDL</v>
      </c>
      <c r="P338" s="92">
        <f t="shared" si="1141"/>
        <v>1</v>
      </c>
      <c r="Q338" s="92">
        <f t="shared" si="1141"/>
        <v>1</v>
      </c>
      <c r="R338" s="92">
        <f t="shared" si="1141"/>
        <v>0</v>
      </c>
      <c r="S338" s="92">
        <f t="shared" si="1141"/>
        <v>1</v>
      </c>
      <c r="T338" s="92">
        <f t="shared" si="1141"/>
        <v>0</v>
      </c>
      <c r="U338" s="92">
        <f t="shared" si="1141"/>
        <v>8</v>
      </c>
      <c r="V338" s="92">
        <f t="shared" si="1141"/>
        <v>8</v>
      </c>
      <c r="W338" s="92">
        <f t="shared" si="1141"/>
        <v>1</v>
      </c>
      <c r="X338" s="92">
        <f t="shared" si="1141"/>
        <v>0</v>
      </c>
      <c r="Y338" s="92">
        <f t="shared" si="1141"/>
        <v>0</v>
      </c>
      <c r="Z338" s="92">
        <f t="shared" si="1141"/>
        <v>0</v>
      </c>
      <c r="AA338" s="92">
        <f t="shared" si="1141"/>
        <v>0</v>
      </c>
      <c r="AB338" s="92">
        <f t="shared" si="1141"/>
        <v>1</v>
      </c>
      <c r="AC338" s="92">
        <f t="shared" si="1141"/>
        <v>0</v>
      </c>
      <c r="AD338" s="92">
        <f t="shared" si="1141"/>
        <v>1</v>
      </c>
      <c r="AE338" s="92">
        <f t="shared" si="1141"/>
        <v>0</v>
      </c>
      <c r="AF338" s="92">
        <f t="shared" si="1141"/>
        <v>0</v>
      </c>
      <c r="AG338" s="92">
        <f t="shared" si="1141"/>
        <v>0</v>
      </c>
      <c r="AH338" s="92">
        <f t="shared" si="1141"/>
        <v>0</v>
      </c>
      <c r="AI338" s="92">
        <f t="shared" si="1141"/>
        <v>0</v>
      </c>
      <c r="AJ338" s="92">
        <f t="shared" si="1141"/>
        <v>0</v>
      </c>
      <c r="AK338" s="92">
        <f t="shared" si="1141"/>
        <v>0</v>
      </c>
      <c r="AL338" s="92">
        <f t="shared" si="1141"/>
        <v>0</v>
      </c>
      <c r="AM338" s="92">
        <f t="shared" si="1141"/>
        <v>0</v>
      </c>
      <c r="AN338" s="92">
        <f t="shared" si="1141"/>
        <v>0</v>
      </c>
      <c r="AO338" s="92">
        <f t="shared" si="1141"/>
        <v>0</v>
      </c>
      <c r="AP338" s="92">
        <f t="shared" si="1141"/>
        <v>0</v>
      </c>
      <c r="AQ338" s="92">
        <f t="shared" si="1141"/>
        <v>0</v>
      </c>
      <c r="AR338" s="92">
        <f t="shared" si="1141"/>
        <v>0</v>
      </c>
      <c r="AS338" s="31" t="str">
        <f t="shared" si="1099"/>
        <v>SimulationStorage,1,</v>
      </c>
      <c r="AT338" s="31" t="str">
        <f t="shared" si="1100"/>
        <v>AnalysisStorage,1,</v>
      </c>
      <c r="AU338" s="31" t="str">
        <f t="shared" si="1101"/>
        <v>LogRuleEvaluation,0,</v>
      </c>
      <c r="AV338" s="31" t="str">
        <f t="shared" si="1102"/>
        <v>ParallelSimulations,1,</v>
      </c>
      <c r="AW338" s="31" t="str">
        <f t="shared" si="1103"/>
        <v>DurationStats,0,</v>
      </c>
      <c r="AX338" s="31" t="str">
        <f t="shared" si="1104"/>
        <v>AnalysisThruStep,8,</v>
      </c>
      <c r="AY338" s="31" t="str">
        <f t="shared" si="1105"/>
        <v>DontAbortOnErrorsThruStep,8,</v>
      </c>
      <c r="AZ338" s="31" t="str">
        <f t="shared" si="1106"/>
        <v>BypassValidFileChecks,1,</v>
      </c>
      <c r="BA338" s="31" t="str">
        <f t="shared" si="1107"/>
        <v>BypassInputChecks,0,</v>
      </c>
      <c r="BB338" s="31" t="str">
        <f t="shared" si="1108"/>
        <v>BypassUMLHChecks,0,</v>
      </c>
      <c r="BC338" s="31" t="str">
        <f t="shared" si="1109"/>
        <v>BypassCheckSimRules,0,</v>
      </c>
      <c r="BD338" s="31" t="str">
        <f t="shared" si="1110"/>
        <v>BypassCheckCodeRules,0,</v>
      </c>
      <c r="BE338" s="31" t="str">
        <f t="shared" si="1111"/>
        <v>StoreResultsToModelInput,1,</v>
      </c>
      <c r="BF338" s="31" t="str">
        <f t="shared" si="1112"/>
        <v>StoreBEMDetails,0,</v>
      </c>
      <c r="BG338" s="31" t="str">
        <f t="shared" si="1113"/>
        <v>ModelRpt_ALL,1,</v>
      </c>
      <c r="BH338" s="31" t="str">
        <f t="shared" si="1114"/>
        <v>ExportHourlyResults_All,0,</v>
      </c>
      <c r="BI338" s="31" t="str">
        <f t="shared" si="1115"/>
        <v>ComplianceReportPDF,0,</v>
      </c>
      <c r="BJ338" s="31" t="str">
        <f t="shared" si="1116"/>
        <v>ComplianceReportXML,0,</v>
      </c>
      <c r="BK338" s="31" t="str">
        <f t="shared" si="1117"/>
        <v>QuickAnalysis,0,</v>
      </c>
      <c r="BL338" s="31" t="str">
        <f t="shared" si="1118"/>
        <v>PromptUserUMLHWarning,0,</v>
      </c>
      <c r="BM338" s="31" t="str">
        <f t="shared" si="1119"/>
        <v>BypassOpenStudio_all,0,</v>
      </c>
      <c r="BN338" s="31" t="str">
        <f t="shared" si="1120"/>
        <v>BypassOpenStudio_zp,0,</v>
      </c>
      <c r="BO338" s="31" t="str">
        <f t="shared" si="1121"/>
        <v>BypassOpenStudio_zb,0,</v>
      </c>
      <c r="BP338" s="31" t="str">
        <f t="shared" si="1122"/>
        <v>BypassOpenStudio_ap,0,</v>
      </c>
      <c r="BQ338" s="31" t="str">
        <f t="shared" si="1123"/>
        <v>BypassOpenStudio_ab,0,</v>
      </c>
      <c r="BR338" s="31" t="str">
        <f t="shared" si="1124"/>
        <v>BypassOpenStudio_zp,0,</v>
      </c>
      <c r="BS338" s="31" t="str">
        <f t="shared" si="1125"/>
        <v>BypassOpenStudio_zb,0,</v>
      </c>
      <c r="BT338" s="31" t="str">
        <f t="shared" si="1126"/>
        <v>BypassOpenStudio_ap,0,</v>
      </c>
      <c r="BU338" s="31" t="str">
        <f t="shared" si="1127"/>
        <v>BypassOpenStudio_ab,0,</v>
      </c>
    </row>
    <row r="339" spans="1:73" outlineLevel="1" x14ac:dyDescent="0.25">
      <c r="A339" s="39">
        <f t="shared" si="1095"/>
        <v>1</v>
      </c>
      <c r="B339" s="27" t="str">
        <f t="shared" si="1128"/>
        <v>SoftwareSensitivity2016Tests\SimplifiedGeometry\0415106-OffLrg-TES-StoPriority_NDL.cibd16</v>
      </c>
      <c r="C339" s="27" t="str">
        <f t="shared" si="1129"/>
        <v>BatchOut_171026_r5178_FinalRel-v3-SSTSG_SSTSG\0415106-OffLrg-TES-StoPriority_NDL.cibd16</v>
      </c>
      <c r="D339" s="27" t="str">
        <f t="shared" si="1130"/>
        <v>BatchOut_171026_r5178_FinalRel-v3-SSTSG_SSTSG\XML\</v>
      </c>
      <c r="E339" s="9" t="str">
        <f t="shared" si="1131"/>
        <v>0415106-OffLrg-TES-StoPriority_NDL</v>
      </c>
      <c r="F339" s="22"/>
      <c r="G339" s="29"/>
      <c r="H339" s="23" t="str">
        <f t="shared" si="1132"/>
        <v/>
      </c>
      <c r="I339" s="9" t="s">
        <v>11</v>
      </c>
      <c r="J33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9" s="15" t="s">
        <v>1</v>
      </c>
      <c r="L339" s="92">
        <f t="shared" si="1135"/>
        <v>1</v>
      </c>
      <c r="M339" s="91" t="str">
        <f t="shared" si="1133"/>
        <v>0415106-OffLrg-TES-StoPriority_NDL</v>
      </c>
      <c r="N339" s="90" t="s">
        <v>239</v>
      </c>
      <c r="O339" s="90" t="str">
        <f t="shared" si="1097"/>
        <v>0415106-OffLrg-TES-StoPriority_NDL</v>
      </c>
      <c r="P339" s="92">
        <f t="shared" si="1141"/>
        <v>1</v>
      </c>
      <c r="Q339" s="92">
        <f t="shared" si="1141"/>
        <v>1</v>
      </c>
      <c r="R339" s="92">
        <f t="shared" si="1141"/>
        <v>0</v>
      </c>
      <c r="S339" s="92">
        <f t="shared" si="1141"/>
        <v>1</v>
      </c>
      <c r="T339" s="92">
        <f t="shared" si="1141"/>
        <v>0</v>
      </c>
      <c r="U339" s="92">
        <f t="shared" si="1141"/>
        <v>8</v>
      </c>
      <c r="V339" s="92">
        <f t="shared" si="1141"/>
        <v>8</v>
      </c>
      <c r="W339" s="92">
        <f t="shared" si="1141"/>
        <v>1</v>
      </c>
      <c r="X339" s="92">
        <f t="shared" si="1141"/>
        <v>0</v>
      </c>
      <c r="Y339" s="92">
        <f t="shared" si="1141"/>
        <v>0</v>
      </c>
      <c r="Z339" s="92">
        <f t="shared" si="1141"/>
        <v>0</v>
      </c>
      <c r="AA339" s="92">
        <f t="shared" si="1141"/>
        <v>0</v>
      </c>
      <c r="AB339" s="92">
        <f t="shared" si="1141"/>
        <v>1</v>
      </c>
      <c r="AC339" s="92">
        <f t="shared" si="1141"/>
        <v>0</v>
      </c>
      <c r="AD339" s="92">
        <f t="shared" si="1141"/>
        <v>1</v>
      </c>
      <c r="AE339" s="92">
        <f t="shared" si="1141"/>
        <v>0</v>
      </c>
      <c r="AF339" s="92">
        <f t="shared" si="1141"/>
        <v>0</v>
      </c>
      <c r="AG339" s="92">
        <f t="shared" si="1141"/>
        <v>0</v>
      </c>
      <c r="AH339" s="92">
        <f t="shared" si="1141"/>
        <v>0</v>
      </c>
      <c r="AI339" s="92">
        <f t="shared" si="1141"/>
        <v>0</v>
      </c>
      <c r="AJ339" s="92">
        <f t="shared" si="1141"/>
        <v>0</v>
      </c>
      <c r="AK339" s="92">
        <f t="shared" si="1141"/>
        <v>0</v>
      </c>
      <c r="AL339" s="92">
        <f t="shared" si="1141"/>
        <v>0</v>
      </c>
      <c r="AM339" s="92">
        <f t="shared" si="1141"/>
        <v>0</v>
      </c>
      <c r="AN339" s="92">
        <f t="shared" si="1141"/>
        <v>0</v>
      </c>
      <c r="AO339" s="92">
        <f t="shared" si="1141"/>
        <v>0</v>
      </c>
      <c r="AP339" s="92">
        <f t="shared" si="1141"/>
        <v>0</v>
      </c>
      <c r="AQ339" s="92">
        <f t="shared" si="1141"/>
        <v>0</v>
      </c>
      <c r="AR339" s="92">
        <f t="shared" si="1141"/>
        <v>0</v>
      </c>
      <c r="AS339" s="31" t="str">
        <f t="shared" si="1099"/>
        <v>SimulationStorage,1,</v>
      </c>
      <c r="AT339" s="31" t="str">
        <f t="shared" si="1100"/>
        <v>AnalysisStorage,1,</v>
      </c>
      <c r="AU339" s="31" t="str">
        <f t="shared" si="1101"/>
        <v>LogRuleEvaluation,0,</v>
      </c>
      <c r="AV339" s="31" t="str">
        <f t="shared" si="1102"/>
        <v>ParallelSimulations,1,</v>
      </c>
      <c r="AW339" s="31" t="str">
        <f t="shared" si="1103"/>
        <v>DurationStats,0,</v>
      </c>
      <c r="AX339" s="31" t="str">
        <f t="shared" si="1104"/>
        <v>AnalysisThruStep,8,</v>
      </c>
      <c r="AY339" s="31" t="str">
        <f t="shared" si="1105"/>
        <v>DontAbortOnErrorsThruStep,8,</v>
      </c>
      <c r="AZ339" s="31" t="str">
        <f t="shared" si="1106"/>
        <v>BypassValidFileChecks,1,</v>
      </c>
      <c r="BA339" s="31" t="str">
        <f t="shared" si="1107"/>
        <v>BypassInputChecks,0,</v>
      </c>
      <c r="BB339" s="31" t="str">
        <f t="shared" si="1108"/>
        <v>BypassUMLHChecks,0,</v>
      </c>
      <c r="BC339" s="31" t="str">
        <f t="shared" si="1109"/>
        <v>BypassCheckSimRules,0,</v>
      </c>
      <c r="BD339" s="31" t="str">
        <f t="shared" si="1110"/>
        <v>BypassCheckCodeRules,0,</v>
      </c>
      <c r="BE339" s="31" t="str">
        <f t="shared" si="1111"/>
        <v>StoreResultsToModelInput,1,</v>
      </c>
      <c r="BF339" s="31" t="str">
        <f t="shared" si="1112"/>
        <v>StoreBEMDetails,0,</v>
      </c>
      <c r="BG339" s="31" t="str">
        <f t="shared" si="1113"/>
        <v>ModelRpt_ALL,1,</v>
      </c>
      <c r="BH339" s="31" t="str">
        <f t="shared" si="1114"/>
        <v>ExportHourlyResults_All,0,</v>
      </c>
      <c r="BI339" s="31" t="str">
        <f t="shared" si="1115"/>
        <v>ComplianceReportPDF,0,</v>
      </c>
      <c r="BJ339" s="31" t="str">
        <f t="shared" si="1116"/>
        <v>ComplianceReportXML,0,</v>
      </c>
      <c r="BK339" s="31" t="str">
        <f t="shared" si="1117"/>
        <v>QuickAnalysis,0,</v>
      </c>
      <c r="BL339" s="31" t="str">
        <f t="shared" si="1118"/>
        <v>PromptUserUMLHWarning,0,</v>
      </c>
      <c r="BM339" s="31" t="str">
        <f t="shared" si="1119"/>
        <v>BypassOpenStudio_all,0,</v>
      </c>
      <c r="BN339" s="31" t="str">
        <f t="shared" si="1120"/>
        <v>BypassOpenStudio_zp,0,</v>
      </c>
      <c r="BO339" s="31" t="str">
        <f t="shared" si="1121"/>
        <v>BypassOpenStudio_zb,0,</v>
      </c>
      <c r="BP339" s="31" t="str">
        <f t="shared" si="1122"/>
        <v>BypassOpenStudio_ap,0,</v>
      </c>
      <c r="BQ339" s="31" t="str">
        <f t="shared" si="1123"/>
        <v>BypassOpenStudio_ab,0,</v>
      </c>
      <c r="BR339" s="31" t="str">
        <f t="shared" si="1124"/>
        <v>BypassOpenStudio_zp,0,</v>
      </c>
      <c r="BS339" s="31" t="str">
        <f t="shared" si="1125"/>
        <v>BypassOpenStudio_zb,0,</v>
      </c>
      <c r="BT339" s="31" t="str">
        <f t="shared" si="1126"/>
        <v>BypassOpenStudio_ap,0,</v>
      </c>
      <c r="BU339" s="31" t="str">
        <f t="shared" si="1127"/>
        <v>BypassOpenStudio_ab,0,</v>
      </c>
    </row>
    <row r="340" spans="1:73" outlineLevel="1" x14ac:dyDescent="0.25">
      <c r="A340" s="39">
        <f t="shared" si="1095"/>
        <v>1</v>
      </c>
      <c r="B340" s="27" t="str">
        <f t="shared" si="1128"/>
        <v>SoftwareSensitivity2016Tests\SimplifiedGeometry\0415206-OffLrg-TES-StoTnkShp_NDL.cibd16</v>
      </c>
      <c r="C340" s="27" t="str">
        <f t="shared" si="1129"/>
        <v>BatchOut_171026_r5178_FinalRel-v3-SSTSG_SSTSG\0415206-OffLrg-TES-StoTnkShp_NDL.cibd16</v>
      </c>
      <c r="D340" s="27" t="str">
        <f t="shared" si="1130"/>
        <v>BatchOut_171026_r5178_FinalRel-v3-SSTSG_SSTSG\XML\</v>
      </c>
      <c r="E340" s="9" t="str">
        <f t="shared" si="1131"/>
        <v>0415206-OffLrg-TES-StoTnkShp_NDL</v>
      </c>
      <c r="F340" s="22"/>
      <c r="G340" s="29"/>
      <c r="H340" s="23" t="str">
        <f t="shared" si="1132"/>
        <v/>
      </c>
      <c r="I340" s="9" t="s">
        <v>11</v>
      </c>
      <c r="J34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0" s="15" t="s">
        <v>1</v>
      </c>
      <c r="L340" s="92">
        <f t="shared" si="1135"/>
        <v>1</v>
      </c>
      <c r="M340" s="91" t="str">
        <f t="shared" si="1133"/>
        <v>0415206-OffLrg-TES-StoTnkShp_NDL</v>
      </c>
      <c r="N340" s="90" t="s">
        <v>240</v>
      </c>
      <c r="O340" s="90" t="str">
        <f t="shared" si="1097"/>
        <v>0415206-OffLrg-TES-StoTnkShp_NDL</v>
      </c>
      <c r="P340" s="92">
        <f t="shared" si="1141"/>
        <v>1</v>
      </c>
      <c r="Q340" s="92">
        <f t="shared" si="1141"/>
        <v>1</v>
      </c>
      <c r="R340" s="92">
        <f t="shared" si="1141"/>
        <v>0</v>
      </c>
      <c r="S340" s="92">
        <f t="shared" si="1141"/>
        <v>1</v>
      </c>
      <c r="T340" s="92">
        <f t="shared" si="1141"/>
        <v>0</v>
      </c>
      <c r="U340" s="92">
        <f t="shared" si="1141"/>
        <v>8</v>
      </c>
      <c r="V340" s="92">
        <f t="shared" si="1141"/>
        <v>8</v>
      </c>
      <c r="W340" s="92">
        <f t="shared" si="1141"/>
        <v>1</v>
      </c>
      <c r="X340" s="92">
        <f t="shared" si="1141"/>
        <v>0</v>
      </c>
      <c r="Y340" s="92">
        <f t="shared" si="1141"/>
        <v>0</v>
      </c>
      <c r="Z340" s="92">
        <f t="shared" si="1141"/>
        <v>0</v>
      </c>
      <c r="AA340" s="92">
        <f t="shared" si="1141"/>
        <v>0</v>
      </c>
      <c r="AB340" s="92">
        <f t="shared" si="1141"/>
        <v>1</v>
      </c>
      <c r="AC340" s="92">
        <f t="shared" si="1141"/>
        <v>0</v>
      </c>
      <c r="AD340" s="92">
        <f t="shared" si="1141"/>
        <v>1</v>
      </c>
      <c r="AE340" s="92">
        <f t="shared" si="1141"/>
        <v>0</v>
      </c>
      <c r="AF340" s="92">
        <f t="shared" si="1141"/>
        <v>0</v>
      </c>
      <c r="AG340" s="92">
        <f t="shared" si="1141"/>
        <v>0</v>
      </c>
      <c r="AH340" s="92">
        <f t="shared" si="1141"/>
        <v>0</v>
      </c>
      <c r="AI340" s="92">
        <f t="shared" si="1141"/>
        <v>0</v>
      </c>
      <c r="AJ340" s="92">
        <f t="shared" si="1141"/>
        <v>0</v>
      </c>
      <c r="AK340" s="92">
        <f t="shared" si="1141"/>
        <v>0</v>
      </c>
      <c r="AL340" s="92">
        <f t="shared" si="1141"/>
        <v>0</v>
      </c>
      <c r="AM340" s="92">
        <f t="shared" si="1141"/>
        <v>0</v>
      </c>
      <c r="AN340" s="92">
        <f t="shared" si="1141"/>
        <v>0</v>
      </c>
      <c r="AO340" s="92">
        <f t="shared" si="1141"/>
        <v>0</v>
      </c>
      <c r="AP340" s="92">
        <f t="shared" si="1141"/>
        <v>0</v>
      </c>
      <c r="AQ340" s="92">
        <f t="shared" si="1141"/>
        <v>0</v>
      </c>
      <c r="AR340" s="92">
        <f t="shared" si="1141"/>
        <v>0</v>
      </c>
      <c r="AS340" s="31" t="str">
        <f t="shared" si="1099"/>
        <v>SimulationStorage,1,</v>
      </c>
      <c r="AT340" s="31" t="str">
        <f t="shared" si="1100"/>
        <v>AnalysisStorage,1,</v>
      </c>
      <c r="AU340" s="31" t="str">
        <f t="shared" si="1101"/>
        <v>LogRuleEvaluation,0,</v>
      </c>
      <c r="AV340" s="31" t="str">
        <f t="shared" si="1102"/>
        <v>ParallelSimulations,1,</v>
      </c>
      <c r="AW340" s="31" t="str">
        <f t="shared" si="1103"/>
        <v>DurationStats,0,</v>
      </c>
      <c r="AX340" s="31" t="str">
        <f t="shared" si="1104"/>
        <v>AnalysisThruStep,8,</v>
      </c>
      <c r="AY340" s="31" t="str">
        <f t="shared" si="1105"/>
        <v>DontAbortOnErrorsThruStep,8,</v>
      </c>
      <c r="AZ340" s="31" t="str">
        <f t="shared" si="1106"/>
        <v>BypassValidFileChecks,1,</v>
      </c>
      <c r="BA340" s="31" t="str">
        <f t="shared" si="1107"/>
        <v>BypassInputChecks,0,</v>
      </c>
      <c r="BB340" s="31" t="str">
        <f t="shared" si="1108"/>
        <v>BypassUMLHChecks,0,</v>
      </c>
      <c r="BC340" s="31" t="str">
        <f t="shared" si="1109"/>
        <v>BypassCheckSimRules,0,</v>
      </c>
      <c r="BD340" s="31" t="str">
        <f t="shared" si="1110"/>
        <v>BypassCheckCodeRules,0,</v>
      </c>
      <c r="BE340" s="31" t="str">
        <f t="shared" si="1111"/>
        <v>StoreResultsToModelInput,1,</v>
      </c>
      <c r="BF340" s="31" t="str">
        <f t="shared" si="1112"/>
        <v>StoreBEMDetails,0,</v>
      </c>
      <c r="BG340" s="31" t="str">
        <f t="shared" si="1113"/>
        <v>ModelRpt_ALL,1,</v>
      </c>
      <c r="BH340" s="31" t="str">
        <f t="shared" si="1114"/>
        <v>ExportHourlyResults_All,0,</v>
      </c>
      <c r="BI340" s="31" t="str">
        <f t="shared" si="1115"/>
        <v>ComplianceReportPDF,0,</v>
      </c>
      <c r="BJ340" s="31" t="str">
        <f t="shared" si="1116"/>
        <v>ComplianceReportXML,0,</v>
      </c>
      <c r="BK340" s="31" t="str">
        <f t="shared" si="1117"/>
        <v>QuickAnalysis,0,</v>
      </c>
      <c r="BL340" s="31" t="str">
        <f t="shared" si="1118"/>
        <v>PromptUserUMLHWarning,0,</v>
      </c>
      <c r="BM340" s="31" t="str">
        <f t="shared" si="1119"/>
        <v>BypassOpenStudio_all,0,</v>
      </c>
      <c r="BN340" s="31" t="str">
        <f t="shared" si="1120"/>
        <v>BypassOpenStudio_zp,0,</v>
      </c>
      <c r="BO340" s="31" t="str">
        <f t="shared" si="1121"/>
        <v>BypassOpenStudio_zb,0,</v>
      </c>
      <c r="BP340" s="31" t="str">
        <f t="shared" si="1122"/>
        <v>BypassOpenStudio_ap,0,</v>
      </c>
      <c r="BQ340" s="31" t="str">
        <f t="shared" si="1123"/>
        <v>BypassOpenStudio_ab,0,</v>
      </c>
      <c r="BR340" s="31" t="str">
        <f t="shared" si="1124"/>
        <v>BypassOpenStudio_zp,0,</v>
      </c>
      <c r="BS340" s="31" t="str">
        <f t="shared" si="1125"/>
        <v>BypassOpenStudio_zb,0,</v>
      </c>
      <c r="BT340" s="31" t="str">
        <f t="shared" si="1126"/>
        <v>BypassOpenStudio_ap,0,</v>
      </c>
      <c r="BU340" s="31" t="str">
        <f t="shared" si="1127"/>
        <v>BypassOpenStudio_ab,0,</v>
      </c>
    </row>
    <row r="341" spans="1:73" outlineLevel="1" x14ac:dyDescent="0.25">
      <c r="A341" s="39">
        <f t="shared" si="1095"/>
        <v>1</v>
      </c>
      <c r="B341" s="27" t="str">
        <f t="shared" si="1128"/>
        <v>SoftwareSensitivity2016Tests\SimplifiedGeometry\0415306-OffLrg-TES-StoTnkLoc_NDL.cibd16</v>
      </c>
      <c r="C341" s="27" t="str">
        <f t="shared" si="1129"/>
        <v>BatchOut_171026_r5178_FinalRel-v3-SSTSG_SSTSG\0415306-OffLrg-TES-StoTnkLoc_NDL.cibd16</v>
      </c>
      <c r="D341" s="27" t="str">
        <f t="shared" si="1130"/>
        <v>BatchOut_171026_r5178_FinalRel-v3-SSTSG_SSTSG\XML\</v>
      </c>
      <c r="E341" s="9" t="str">
        <f t="shared" si="1131"/>
        <v>0415306-OffLrg-TES-StoTnkLoc_NDL</v>
      </c>
      <c r="F341" s="22"/>
      <c r="G341" s="29"/>
      <c r="H341" s="23" t="str">
        <f t="shared" si="1132"/>
        <v/>
      </c>
      <c r="I341" s="9" t="s">
        <v>11</v>
      </c>
      <c r="J34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1" s="15" t="s">
        <v>1</v>
      </c>
      <c r="L341" s="92">
        <f t="shared" si="1135"/>
        <v>1</v>
      </c>
      <c r="M341" s="91" t="str">
        <f t="shared" si="1133"/>
        <v>0415306-OffLrg-TES-StoTnkLoc_NDL</v>
      </c>
      <c r="N341" s="90" t="s">
        <v>241</v>
      </c>
      <c r="O341" s="90" t="str">
        <f t="shared" si="1097"/>
        <v>0415306-OffLrg-TES-StoTnkLoc_NDL</v>
      </c>
      <c r="P341" s="92">
        <f t="shared" si="1141"/>
        <v>1</v>
      </c>
      <c r="Q341" s="92">
        <f t="shared" si="1141"/>
        <v>1</v>
      </c>
      <c r="R341" s="92">
        <f t="shared" si="1141"/>
        <v>0</v>
      </c>
      <c r="S341" s="92">
        <f t="shared" si="1141"/>
        <v>1</v>
      </c>
      <c r="T341" s="92">
        <f t="shared" si="1141"/>
        <v>0</v>
      </c>
      <c r="U341" s="92">
        <f t="shared" si="1141"/>
        <v>8</v>
      </c>
      <c r="V341" s="92">
        <f t="shared" si="1141"/>
        <v>8</v>
      </c>
      <c r="W341" s="92">
        <f t="shared" si="1141"/>
        <v>1</v>
      </c>
      <c r="X341" s="92">
        <f t="shared" si="1141"/>
        <v>0</v>
      </c>
      <c r="Y341" s="92">
        <f t="shared" si="1141"/>
        <v>0</v>
      </c>
      <c r="Z341" s="92">
        <f t="shared" si="1141"/>
        <v>0</v>
      </c>
      <c r="AA341" s="92">
        <f t="shared" si="1141"/>
        <v>0</v>
      </c>
      <c r="AB341" s="92">
        <f t="shared" si="1141"/>
        <v>1</v>
      </c>
      <c r="AC341" s="92">
        <f t="shared" si="1141"/>
        <v>0</v>
      </c>
      <c r="AD341" s="92">
        <f t="shared" si="1141"/>
        <v>1</v>
      </c>
      <c r="AE341" s="92">
        <f t="shared" si="1141"/>
        <v>0</v>
      </c>
      <c r="AF341" s="92">
        <f t="shared" si="1141"/>
        <v>0</v>
      </c>
      <c r="AG341" s="92">
        <f t="shared" si="1141"/>
        <v>0</v>
      </c>
      <c r="AH341" s="92">
        <f t="shared" si="1141"/>
        <v>0</v>
      </c>
      <c r="AI341" s="92">
        <f t="shared" si="1141"/>
        <v>0</v>
      </c>
      <c r="AJ341" s="92">
        <f t="shared" si="1141"/>
        <v>0</v>
      </c>
      <c r="AK341" s="92">
        <f t="shared" si="1141"/>
        <v>0</v>
      </c>
      <c r="AL341" s="92">
        <f t="shared" si="1141"/>
        <v>0</v>
      </c>
      <c r="AM341" s="92">
        <f t="shared" si="1141"/>
        <v>0</v>
      </c>
      <c r="AN341" s="92">
        <f t="shared" si="1141"/>
        <v>0</v>
      </c>
      <c r="AO341" s="92">
        <f t="shared" si="1141"/>
        <v>0</v>
      </c>
      <c r="AP341" s="92">
        <f t="shared" si="1141"/>
        <v>0</v>
      </c>
      <c r="AQ341" s="92">
        <f t="shared" si="1141"/>
        <v>0</v>
      </c>
      <c r="AR341" s="92">
        <f t="shared" si="1141"/>
        <v>0</v>
      </c>
      <c r="AS341" s="31" t="str">
        <f t="shared" si="1099"/>
        <v>SimulationStorage,1,</v>
      </c>
      <c r="AT341" s="31" t="str">
        <f t="shared" si="1100"/>
        <v>AnalysisStorage,1,</v>
      </c>
      <c r="AU341" s="31" t="str">
        <f t="shared" si="1101"/>
        <v>LogRuleEvaluation,0,</v>
      </c>
      <c r="AV341" s="31" t="str">
        <f t="shared" si="1102"/>
        <v>ParallelSimulations,1,</v>
      </c>
      <c r="AW341" s="31" t="str">
        <f t="shared" si="1103"/>
        <v>DurationStats,0,</v>
      </c>
      <c r="AX341" s="31" t="str">
        <f t="shared" si="1104"/>
        <v>AnalysisThruStep,8,</v>
      </c>
      <c r="AY341" s="31" t="str">
        <f t="shared" si="1105"/>
        <v>DontAbortOnErrorsThruStep,8,</v>
      </c>
      <c r="AZ341" s="31" t="str">
        <f t="shared" si="1106"/>
        <v>BypassValidFileChecks,1,</v>
      </c>
      <c r="BA341" s="31" t="str">
        <f t="shared" si="1107"/>
        <v>BypassInputChecks,0,</v>
      </c>
      <c r="BB341" s="31" t="str">
        <f t="shared" si="1108"/>
        <v>BypassUMLHChecks,0,</v>
      </c>
      <c r="BC341" s="31" t="str">
        <f t="shared" si="1109"/>
        <v>BypassCheckSimRules,0,</v>
      </c>
      <c r="BD341" s="31" t="str">
        <f t="shared" si="1110"/>
        <v>BypassCheckCodeRules,0,</v>
      </c>
      <c r="BE341" s="31" t="str">
        <f t="shared" si="1111"/>
        <v>StoreResultsToModelInput,1,</v>
      </c>
      <c r="BF341" s="31" t="str">
        <f t="shared" si="1112"/>
        <v>StoreBEMDetails,0,</v>
      </c>
      <c r="BG341" s="31" t="str">
        <f t="shared" si="1113"/>
        <v>ModelRpt_ALL,1,</v>
      </c>
      <c r="BH341" s="31" t="str">
        <f t="shared" si="1114"/>
        <v>ExportHourlyResults_All,0,</v>
      </c>
      <c r="BI341" s="31" t="str">
        <f t="shared" si="1115"/>
        <v>ComplianceReportPDF,0,</v>
      </c>
      <c r="BJ341" s="31" t="str">
        <f t="shared" si="1116"/>
        <v>ComplianceReportXML,0,</v>
      </c>
      <c r="BK341" s="31" t="str">
        <f t="shared" si="1117"/>
        <v>QuickAnalysis,0,</v>
      </c>
      <c r="BL341" s="31" t="str">
        <f t="shared" si="1118"/>
        <v>PromptUserUMLHWarning,0,</v>
      </c>
      <c r="BM341" s="31" t="str">
        <f t="shared" si="1119"/>
        <v>BypassOpenStudio_all,0,</v>
      </c>
      <c r="BN341" s="31" t="str">
        <f t="shared" si="1120"/>
        <v>BypassOpenStudio_zp,0,</v>
      </c>
      <c r="BO341" s="31" t="str">
        <f t="shared" si="1121"/>
        <v>BypassOpenStudio_zb,0,</v>
      </c>
      <c r="BP341" s="31" t="str">
        <f t="shared" si="1122"/>
        <v>BypassOpenStudio_ap,0,</v>
      </c>
      <c r="BQ341" s="31" t="str">
        <f t="shared" si="1123"/>
        <v>BypassOpenStudio_ab,0,</v>
      </c>
      <c r="BR341" s="31" t="str">
        <f t="shared" si="1124"/>
        <v>BypassOpenStudio_zp,0,</v>
      </c>
      <c r="BS341" s="31" t="str">
        <f t="shared" si="1125"/>
        <v>BypassOpenStudio_zb,0,</v>
      </c>
      <c r="BT341" s="31" t="str">
        <f t="shared" si="1126"/>
        <v>BypassOpenStudio_ap,0,</v>
      </c>
      <c r="BU341" s="31" t="str">
        <f t="shared" si="1127"/>
        <v>BypassOpenStudio_ab,0,</v>
      </c>
    </row>
    <row r="342" spans="1:73" outlineLevel="1" x14ac:dyDescent="0.25">
      <c r="A342" s="39">
        <f t="shared" si="1095"/>
        <v>1</v>
      </c>
      <c r="B342" s="27" t="str">
        <f t="shared" si="1128"/>
        <v>SoftwareSensitivity2016Tests\SimplifiedGeometry\0415406-OffLrg-TES-StoTnkRval_NDL.cibd16</v>
      </c>
      <c r="C342" s="27" t="str">
        <f t="shared" si="1129"/>
        <v>BatchOut_171026_r5178_FinalRel-v3-SSTSG_SSTSG\0415406-OffLrg-TES-StoTnkRval_NDL.cibd16</v>
      </c>
      <c r="D342" s="27" t="str">
        <f t="shared" si="1130"/>
        <v>BatchOut_171026_r5178_FinalRel-v3-SSTSG_SSTSG\XML\</v>
      </c>
      <c r="E342" s="9" t="str">
        <f t="shared" si="1131"/>
        <v>0415406-OffLrg-TES-StoTnkRval_NDL</v>
      </c>
      <c r="F342" s="22"/>
      <c r="G342" s="29"/>
      <c r="H342" s="23" t="str">
        <f t="shared" si="1132"/>
        <v/>
      </c>
      <c r="I342" s="9" t="s">
        <v>11</v>
      </c>
      <c r="J34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2" s="15" t="s">
        <v>1</v>
      </c>
      <c r="L342" s="92">
        <f t="shared" si="1135"/>
        <v>1</v>
      </c>
      <c r="M342" s="91" t="str">
        <f t="shared" si="1133"/>
        <v>0415406-OffLrg-TES-StoTnkRval_NDL</v>
      </c>
      <c r="N342" s="90" t="s">
        <v>242</v>
      </c>
      <c r="O342" s="90" t="str">
        <f t="shared" si="1097"/>
        <v>0415406-OffLrg-TES-StoTnkRval_NDL</v>
      </c>
      <c r="P342" s="92">
        <f t="shared" si="1141"/>
        <v>1</v>
      </c>
      <c r="Q342" s="92">
        <f t="shared" si="1141"/>
        <v>1</v>
      </c>
      <c r="R342" s="92">
        <f t="shared" si="1141"/>
        <v>0</v>
      </c>
      <c r="S342" s="92">
        <f t="shared" si="1141"/>
        <v>1</v>
      </c>
      <c r="T342" s="92">
        <f t="shared" si="1141"/>
        <v>0</v>
      </c>
      <c r="U342" s="92">
        <f t="shared" si="1141"/>
        <v>8</v>
      </c>
      <c r="V342" s="92">
        <f t="shared" si="1141"/>
        <v>8</v>
      </c>
      <c r="W342" s="92">
        <f t="shared" si="1141"/>
        <v>1</v>
      </c>
      <c r="X342" s="92">
        <f t="shared" si="1141"/>
        <v>0</v>
      </c>
      <c r="Y342" s="92">
        <f t="shared" si="1141"/>
        <v>0</v>
      </c>
      <c r="Z342" s="92">
        <f t="shared" si="1141"/>
        <v>0</v>
      </c>
      <c r="AA342" s="92">
        <f t="shared" si="1141"/>
        <v>0</v>
      </c>
      <c r="AB342" s="92">
        <f t="shared" si="1141"/>
        <v>1</v>
      </c>
      <c r="AC342" s="92">
        <f t="shared" si="1141"/>
        <v>0</v>
      </c>
      <c r="AD342" s="92">
        <f t="shared" si="1141"/>
        <v>1</v>
      </c>
      <c r="AE342" s="92">
        <f t="shared" si="1141"/>
        <v>0</v>
      </c>
      <c r="AF342" s="92">
        <f t="shared" si="1141"/>
        <v>0</v>
      </c>
      <c r="AG342" s="92">
        <f t="shared" si="1141"/>
        <v>0</v>
      </c>
      <c r="AH342" s="92">
        <f t="shared" si="1141"/>
        <v>0</v>
      </c>
      <c r="AI342" s="92">
        <f t="shared" si="1141"/>
        <v>0</v>
      </c>
      <c r="AJ342" s="92">
        <f t="shared" si="1141"/>
        <v>0</v>
      </c>
      <c r="AK342" s="92">
        <f t="shared" si="1141"/>
        <v>0</v>
      </c>
      <c r="AL342" s="92">
        <f t="shared" si="1141"/>
        <v>0</v>
      </c>
      <c r="AM342" s="92">
        <f t="shared" si="1141"/>
        <v>0</v>
      </c>
      <c r="AN342" s="92">
        <f t="shared" si="1141"/>
        <v>0</v>
      </c>
      <c r="AO342" s="92">
        <f t="shared" si="1141"/>
        <v>0</v>
      </c>
      <c r="AP342" s="92">
        <f t="shared" si="1141"/>
        <v>0</v>
      </c>
      <c r="AQ342" s="92">
        <f t="shared" si="1141"/>
        <v>0</v>
      </c>
      <c r="AR342" s="92">
        <f t="shared" si="1141"/>
        <v>0</v>
      </c>
      <c r="AS342" s="31" t="str">
        <f t="shared" si="1099"/>
        <v>SimulationStorage,1,</v>
      </c>
      <c r="AT342" s="31" t="str">
        <f t="shared" si="1100"/>
        <v>AnalysisStorage,1,</v>
      </c>
      <c r="AU342" s="31" t="str">
        <f t="shared" si="1101"/>
        <v>LogRuleEvaluation,0,</v>
      </c>
      <c r="AV342" s="31" t="str">
        <f t="shared" si="1102"/>
        <v>ParallelSimulations,1,</v>
      </c>
      <c r="AW342" s="31" t="str">
        <f t="shared" si="1103"/>
        <v>DurationStats,0,</v>
      </c>
      <c r="AX342" s="31" t="str">
        <f t="shared" si="1104"/>
        <v>AnalysisThruStep,8,</v>
      </c>
      <c r="AY342" s="31" t="str">
        <f t="shared" si="1105"/>
        <v>DontAbortOnErrorsThruStep,8,</v>
      </c>
      <c r="AZ342" s="31" t="str">
        <f t="shared" si="1106"/>
        <v>BypassValidFileChecks,1,</v>
      </c>
      <c r="BA342" s="31" t="str">
        <f t="shared" si="1107"/>
        <v>BypassInputChecks,0,</v>
      </c>
      <c r="BB342" s="31" t="str">
        <f t="shared" si="1108"/>
        <v>BypassUMLHChecks,0,</v>
      </c>
      <c r="BC342" s="31" t="str">
        <f t="shared" si="1109"/>
        <v>BypassCheckSimRules,0,</v>
      </c>
      <c r="BD342" s="31" t="str">
        <f t="shared" si="1110"/>
        <v>BypassCheckCodeRules,0,</v>
      </c>
      <c r="BE342" s="31" t="str">
        <f t="shared" si="1111"/>
        <v>StoreResultsToModelInput,1,</v>
      </c>
      <c r="BF342" s="31" t="str">
        <f t="shared" si="1112"/>
        <v>StoreBEMDetails,0,</v>
      </c>
      <c r="BG342" s="31" t="str">
        <f t="shared" si="1113"/>
        <v>ModelRpt_ALL,1,</v>
      </c>
      <c r="BH342" s="31" t="str">
        <f t="shared" si="1114"/>
        <v>ExportHourlyResults_All,0,</v>
      </c>
      <c r="BI342" s="31" t="str">
        <f t="shared" si="1115"/>
        <v>ComplianceReportPDF,0,</v>
      </c>
      <c r="BJ342" s="31" t="str">
        <f t="shared" si="1116"/>
        <v>ComplianceReportXML,0,</v>
      </c>
      <c r="BK342" s="31" t="str">
        <f t="shared" si="1117"/>
        <v>QuickAnalysis,0,</v>
      </c>
      <c r="BL342" s="31" t="str">
        <f t="shared" si="1118"/>
        <v>PromptUserUMLHWarning,0,</v>
      </c>
      <c r="BM342" s="31" t="str">
        <f t="shared" si="1119"/>
        <v>BypassOpenStudio_all,0,</v>
      </c>
      <c r="BN342" s="31" t="str">
        <f t="shared" si="1120"/>
        <v>BypassOpenStudio_zp,0,</v>
      </c>
      <c r="BO342" s="31" t="str">
        <f t="shared" si="1121"/>
        <v>BypassOpenStudio_zb,0,</v>
      </c>
      <c r="BP342" s="31" t="str">
        <f t="shared" si="1122"/>
        <v>BypassOpenStudio_ap,0,</v>
      </c>
      <c r="BQ342" s="31" t="str">
        <f t="shared" si="1123"/>
        <v>BypassOpenStudio_ab,0,</v>
      </c>
      <c r="BR342" s="31" t="str">
        <f t="shared" si="1124"/>
        <v>BypassOpenStudio_zp,0,</v>
      </c>
      <c r="BS342" s="31" t="str">
        <f t="shared" si="1125"/>
        <v>BypassOpenStudio_zb,0,</v>
      </c>
      <c r="BT342" s="31" t="str">
        <f t="shared" si="1126"/>
        <v>BypassOpenStudio_ap,0,</v>
      </c>
      <c r="BU342" s="31" t="str">
        <f t="shared" si="1127"/>
        <v>BypassOpenStudio_ab,0,</v>
      </c>
    </row>
    <row r="343" spans="1:73" outlineLevel="1" x14ac:dyDescent="0.25">
      <c r="A343" s="39">
        <f t="shared" si="1095"/>
        <v>1</v>
      </c>
      <c r="B343" s="27" t="str">
        <f t="shared" si="1128"/>
        <v>SoftwareSensitivity2016Tests\SimplifiedGeometry\0415506-OffLrg-TES-StoTnkVol_NDL.cibd16</v>
      </c>
      <c r="C343" s="27" t="str">
        <f t="shared" si="1129"/>
        <v>BatchOut_171026_r5178_FinalRel-v3-SSTSG_SSTSG\0415506-OffLrg-TES-StoTnkVol_NDL.cibd16</v>
      </c>
      <c r="D343" s="27" t="str">
        <f t="shared" si="1130"/>
        <v>BatchOut_171026_r5178_FinalRel-v3-SSTSG_SSTSG\XML\</v>
      </c>
      <c r="E343" s="9" t="str">
        <f t="shared" si="1131"/>
        <v>0415506-OffLrg-TES-StoTnkVol_NDL</v>
      </c>
      <c r="F343" s="22"/>
      <c r="G343" s="29"/>
      <c r="H343" s="23" t="str">
        <f t="shared" si="1132"/>
        <v/>
      </c>
      <c r="I343" s="9" t="s">
        <v>11</v>
      </c>
      <c r="J34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3" s="15" t="s">
        <v>1</v>
      </c>
      <c r="L343" s="92">
        <f t="shared" si="1135"/>
        <v>1</v>
      </c>
      <c r="M343" s="91" t="str">
        <f t="shared" si="1133"/>
        <v>0415506-OffLrg-TES-StoTnkVol_NDL</v>
      </c>
      <c r="N343" s="90" t="s">
        <v>243</v>
      </c>
      <c r="O343" s="90" t="str">
        <f t="shared" si="1097"/>
        <v>0415506-OffLrg-TES-StoTnkVol_NDL</v>
      </c>
      <c r="P343" s="92">
        <f t="shared" si="1141"/>
        <v>1</v>
      </c>
      <c r="Q343" s="92">
        <f t="shared" si="1141"/>
        <v>1</v>
      </c>
      <c r="R343" s="92">
        <f t="shared" si="1141"/>
        <v>0</v>
      </c>
      <c r="S343" s="92">
        <f t="shared" si="1141"/>
        <v>1</v>
      </c>
      <c r="T343" s="92">
        <f t="shared" si="1141"/>
        <v>0</v>
      </c>
      <c r="U343" s="92">
        <f t="shared" si="1141"/>
        <v>8</v>
      </c>
      <c r="V343" s="92">
        <f t="shared" si="1141"/>
        <v>8</v>
      </c>
      <c r="W343" s="92">
        <f t="shared" si="1141"/>
        <v>1</v>
      </c>
      <c r="X343" s="92">
        <f t="shared" si="1141"/>
        <v>0</v>
      </c>
      <c r="Y343" s="92">
        <f t="shared" si="1141"/>
        <v>0</v>
      </c>
      <c r="Z343" s="92">
        <f t="shared" si="1141"/>
        <v>0</v>
      </c>
      <c r="AA343" s="92">
        <f t="shared" si="1141"/>
        <v>0</v>
      </c>
      <c r="AB343" s="92">
        <f t="shared" si="1141"/>
        <v>1</v>
      </c>
      <c r="AC343" s="92">
        <f t="shared" si="1141"/>
        <v>0</v>
      </c>
      <c r="AD343" s="92">
        <f t="shared" si="1141"/>
        <v>1</v>
      </c>
      <c r="AE343" s="92">
        <f t="shared" si="1141"/>
        <v>0</v>
      </c>
      <c r="AF343" s="92">
        <f t="shared" si="1141"/>
        <v>0</v>
      </c>
      <c r="AG343" s="92">
        <f t="shared" si="1141"/>
        <v>0</v>
      </c>
      <c r="AH343" s="92">
        <f t="shared" si="1141"/>
        <v>0</v>
      </c>
      <c r="AI343" s="92">
        <f t="shared" si="1141"/>
        <v>0</v>
      </c>
      <c r="AJ343" s="92">
        <f t="shared" si="1141"/>
        <v>0</v>
      </c>
      <c r="AK343" s="92">
        <f t="shared" si="1141"/>
        <v>0</v>
      </c>
      <c r="AL343" s="92">
        <f t="shared" si="1141"/>
        <v>0</v>
      </c>
      <c r="AM343" s="92">
        <f t="shared" si="1141"/>
        <v>0</v>
      </c>
      <c r="AN343" s="92">
        <f t="shared" si="1141"/>
        <v>0</v>
      </c>
      <c r="AO343" s="92">
        <f t="shared" si="1141"/>
        <v>0</v>
      </c>
      <c r="AP343" s="92">
        <f t="shared" si="1141"/>
        <v>0</v>
      </c>
      <c r="AQ343" s="92">
        <f t="shared" si="1141"/>
        <v>0</v>
      </c>
      <c r="AR343" s="92">
        <f t="shared" si="1141"/>
        <v>0</v>
      </c>
      <c r="AS343" s="31" t="str">
        <f t="shared" si="1099"/>
        <v>SimulationStorage,1,</v>
      </c>
      <c r="AT343" s="31" t="str">
        <f t="shared" si="1100"/>
        <v>AnalysisStorage,1,</v>
      </c>
      <c r="AU343" s="31" t="str">
        <f t="shared" si="1101"/>
        <v>LogRuleEvaluation,0,</v>
      </c>
      <c r="AV343" s="31" t="str">
        <f t="shared" si="1102"/>
        <v>ParallelSimulations,1,</v>
      </c>
      <c r="AW343" s="31" t="str">
        <f t="shared" si="1103"/>
        <v>DurationStats,0,</v>
      </c>
      <c r="AX343" s="31" t="str">
        <f t="shared" si="1104"/>
        <v>AnalysisThruStep,8,</v>
      </c>
      <c r="AY343" s="31" t="str">
        <f t="shared" si="1105"/>
        <v>DontAbortOnErrorsThruStep,8,</v>
      </c>
      <c r="AZ343" s="31" t="str">
        <f t="shared" si="1106"/>
        <v>BypassValidFileChecks,1,</v>
      </c>
      <c r="BA343" s="31" t="str">
        <f t="shared" si="1107"/>
        <v>BypassInputChecks,0,</v>
      </c>
      <c r="BB343" s="31" t="str">
        <f t="shared" si="1108"/>
        <v>BypassUMLHChecks,0,</v>
      </c>
      <c r="BC343" s="31" t="str">
        <f t="shared" si="1109"/>
        <v>BypassCheckSimRules,0,</v>
      </c>
      <c r="BD343" s="31" t="str">
        <f t="shared" si="1110"/>
        <v>BypassCheckCodeRules,0,</v>
      </c>
      <c r="BE343" s="31" t="str">
        <f t="shared" si="1111"/>
        <v>StoreResultsToModelInput,1,</v>
      </c>
      <c r="BF343" s="31" t="str">
        <f t="shared" si="1112"/>
        <v>StoreBEMDetails,0,</v>
      </c>
      <c r="BG343" s="31" t="str">
        <f t="shared" si="1113"/>
        <v>ModelRpt_ALL,1,</v>
      </c>
      <c r="BH343" s="31" t="str">
        <f t="shared" si="1114"/>
        <v>ExportHourlyResults_All,0,</v>
      </c>
      <c r="BI343" s="31" t="str">
        <f t="shared" si="1115"/>
        <v>ComplianceReportPDF,0,</v>
      </c>
      <c r="BJ343" s="31" t="str">
        <f t="shared" si="1116"/>
        <v>ComplianceReportXML,0,</v>
      </c>
      <c r="BK343" s="31" t="str">
        <f t="shared" si="1117"/>
        <v>QuickAnalysis,0,</v>
      </c>
      <c r="BL343" s="31" t="str">
        <f t="shared" si="1118"/>
        <v>PromptUserUMLHWarning,0,</v>
      </c>
      <c r="BM343" s="31" t="str">
        <f t="shared" si="1119"/>
        <v>BypassOpenStudio_all,0,</v>
      </c>
      <c r="BN343" s="31" t="str">
        <f t="shared" si="1120"/>
        <v>BypassOpenStudio_zp,0,</v>
      </c>
      <c r="BO343" s="31" t="str">
        <f t="shared" si="1121"/>
        <v>BypassOpenStudio_zb,0,</v>
      </c>
      <c r="BP343" s="31" t="str">
        <f t="shared" si="1122"/>
        <v>BypassOpenStudio_ap,0,</v>
      </c>
      <c r="BQ343" s="31" t="str">
        <f t="shared" si="1123"/>
        <v>BypassOpenStudio_ab,0,</v>
      </c>
      <c r="BR343" s="31" t="str">
        <f t="shared" si="1124"/>
        <v>BypassOpenStudio_zp,0,</v>
      </c>
      <c r="BS343" s="31" t="str">
        <f t="shared" si="1125"/>
        <v>BypassOpenStudio_zb,0,</v>
      </c>
      <c r="BT343" s="31" t="str">
        <f t="shared" si="1126"/>
        <v>BypassOpenStudio_ap,0,</v>
      </c>
      <c r="BU343" s="31" t="str">
        <f t="shared" si="1127"/>
        <v>BypassOpenStudio_ab,0,</v>
      </c>
    </row>
    <row r="344" spans="1:73" outlineLevel="1" x14ac:dyDescent="0.25">
      <c r="A344" s="39">
        <f t="shared" si="1095"/>
        <v>1</v>
      </c>
      <c r="B344" s="27" t="str">
        <f t="shared" si="1128"/>
        <v>SoftwareSensitivity2016Tests\SimplifiedGeometry\0416006-OffLrg-ActiveBeam_NDL.cibd16</v>
      </c>
      <c r="C344" s="27" t="str">
        <f t="shared" si="1129"/>
        <v>BatchOut_171026_r5178_FinalRel-v3-SSTSG_SSTSG\0416006-OffLrg-ActiveBeam_NDL.cibd16</v>
      </c>
      <c r="D344" s="27" t="str">
        <f t="shared" si="1130"/>
        <v>BatchOut_171026_r5178_FinalRel-v3-SSTSG_SSTSG\XML\</v>
      </c>
      <c r="E344" s="9" t="str">
        <f t="shared" si="1131"/>
        <v>0416006-OffLrg-ActiveBeam_NDL</v>
      </c>
      <c r="F344" s="22"/>
      <c r="G344" s="29"/>
      <c r="H344" s="23" t="str">
        <f t="shared" si="1132"/>
        <v/>
      </c>
      <c r="I344" s="9" t="s">
        <v>11</v>
      </c>
      <c r="J34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4" s="15" t="s">
        <v>1</v>
      </c>
      <c r="L344" s="92">
        <f t="shared" si="1135"/>
        <v>1</v>
      </c>
      <c r="M344" s="91" t="str">
        <f t="shared" si="1133"/>
        <v>0416006-OffLrg-ActiveBeam_NDL</v>
      </c>
      <c r="N344" s="90" t="s">
        <v>244</v>
      </c>
      <c r="O344" s="90" t="str">
        <f t="shared" si="1097"/>
        <v>0416006-OffLrg-ActiveBeam_NDL</v>
      </c>
      <c r="P344" s="92">
        <f t="shared" si="1141"/>
        <v>1</v>
      </c>
      <c r="Q344" s="92">
        <f t="shared" si="1141"/>
        <v>1</v>
      </c>
      <c r="R344" s="92">
        <f t="shared" si="1141"/>
        <v>0</v>
      </c>
      <c r="S344" s="92">
        <f t="shared" si="1141"/>
        <v>1</v>
      </c>
      <c r="T344" s="92">
        <f t="shared" si="1141"/>
        <v>0</v>
      </c>
      <c r="U344" s="92">
        <f t="shared" si="1141"/>
        <v>8</v>
      </c>
      <c r="V344" s="92">
        <f t="shared" si="1141"/>
        <v>8</v>
      </c>
      <c r="W344" s="92">
        <f t="shared" si="1141"/>
        <v>1</v>
      </c>
      <c r="X344" s="92">
        <f t="shared" si="1141"/>
        <v>0</v>
      </c>
      <c r="Y344" s="92">
        <f t="shared" si="1141"/>
        <v>0</v>
      </c>
      <c r="Z344" s="92">
        <f t="shared" si="1141"/>
        <v>0</v>
      </c>
      <c r="AA344" s="92">
        <f t="shared" si="1141"/>
        <v>0</v>
      </c>
      <c r="AB344" s="92">
        <f t="shared" si="1141"/>
        <v>1</v>
      </c>
      <c r="AC344" s="92">
        <f t="shared" si="1141"/>
        <v>0</v>
      </c>
      <c r="AD344" s="92">
        <f t="shared" si="1141"/>
        <v>1</v>
      </c>
      <c r="AE344" s="92">
        <f t="shared" si="1141"/>
        <v>0</v>
      </c>
      <c r="AF344" s="92">
        <f t="shared" si="1141"/>
        <v>0</v>
      </c>
      <c r="AG344" s="92">
        <f t="shared" si="1141"/>
        <v>0</v>
      </c>
      <c r="AH344" s="92">
        <f t="shared" si="1141"/>
        <v>0</v>
      </c>
      <c r="AI344" s="92">
        <f t="shared" si="1141"/>
        <v>0</v>
      </c>
      <c r="AJ344" s="92">
        <f t="shared" si="1141"/>
        <v>0</v>
      </c>
      <c r="AK344" s="92">
        <f t="shared" si="1141"/>
        <v>0</v>
      </c>
      <c r="AL344" s="92">
        <f t="shared" si="1141"/>
        <v>0</v>
      </c>
      <c r="AM344" s="92">
        <f t="shared" si="1141"/>
        <v>0</v>
      </c>
      <c r="AN344" s="92">
        <f t="shared" si="1141"/>
        <v>0</v>
      </c>
      <c r="AO344" s="92">
        <f t="shared" si="1141"/>
        <v>0</v>
      </c>
      <c r="AP344" s="92">
        <f t="shared" si="1141"/>
        <v>0</v>
      </c>
      <c r="AQ344" s="92">
        <f t="shared" si="1141"/>
        <v>0</v>
      </c>
      <c r="AR344" s="92">
        <f t="shared" si="1141"/>
        <v>0</v>
      </c>
      <c r="AS344" s="31" t="str">
        <f t="shared" si="1099"/>
        <v>SimulationStorage,1,</v>
      </c>
      <c r="AT344" s="31" t="str">
        <f t="shared" si="1100"/>
        <v>AnalysisStorage,1,</v>
      </c>
      <c r="AU344" s="31" t="str">
        <f t="shared" si="1101"/>
        <v>LogRuleEvaluation,0,</v>
      </c>
      <c r="AV344" s="31" t="str">
        <f t="shared" si="1102"/>
        <v>ParallelSimulations,1,</v>
      </c>
      <c r="AW344" s="31" t="str">
        <f t="shared" si="1103"/>
        <v>DurationStats,0,</v>
      </c>
      <c r="AX344" s="31" t="str">
        <f t="shared" si="1104"/>
        <v>AnalysisThruStep,8,</v>
      </c>
      <c r="AY344" s="31" t="str">
        <f t="shared" si="1105"/>
        <v>DontAbortOnErrorsThruStep,8,</v>
      </c>
      <c r="AZ344" s="31" t="str">
        <f t="shared" si="1106"/>
        <v>BypassValidFileChecks,1,</v>
      </c>
      <c r="BA344" s="31" t="str">
        <f t="shared" si="1107"/>
        <v>BypassInputChecks,0,</v>
      </c>
      <c r="BB344" s="31" t="str">
        <f t="shared" si="1108"/>
        <v>BypassUMLHChecks,0,</v>
      </c>
      <c r="BC344" s="31" t="str">
        <f t="shared" si="1109"/>
        <v>BypassCheckSimRules,0,</v>
      </c>
      <c r="BD344" s="31" t="str">
        <f t="shared" si="1110"/>
        <v>BypassCheckCodeRules,0,</v>
      </c>
      <c r="BE344" s="31" t="str">
        <f t="shared" si="1111"/>
        <v>StoreResultsToModelInput,1,</v>
      </c>
      <c r="BF344" s="31" t="str">
        <f t="shared" si="1112"/>
        <v>StoreBEMDetails,0,</v>
      </c>
      <c r="BG344" s="31" t="str">
        <f t="shared" si="1113"/>
        <v>ModelRpt_ALL,1,</v>
      </c>
      <c r="BH344" s="31" t="str">
        <f t="shared" si="1114"/>
        <v>ExportHourlyResults_All,0,</v>
      </c>
      <c r="BI344" s="31" t="str">
        <f t="shared" si="1115"/>
        <v>ComplianceReportPDF,0,</v>
      </c>
      <c r="BJ344" s="31" t="str">
        <f t="shared" si="1116"/>
        <v>ComplianceReportXML,0,</v>
      </c>
      <c r="BK344" s="31" t="str">
        <f t="shared" si="1117"/>
        <v>QuickAnalysis,0,</v>
      </c>
      <c r="BL344" s="31" t="str">
        <f t="shared" si="1118"/>
        <v>PromptUserUMLHWarning,0,</v>
      </c>
      <c r="BM344" s="31" t="str">
        <f t="shared" si="1119"/>
        <v>BypassOpenStudio_all,0,</v>
      </c>
      <c r="BN344" s="31" t="str">
        <f t="shared" si="1120"/>
        <v>BypassOpenStudio_zp,0,</v>
      </c>
      <c r="BO344" s="31" t="str">
        <f t="shared" si="1121"/>
        <v>BypassOpenStudio_zb,0,</v>
      </c>
      <c r="BP344" s="31" t="str">
        <f t="shared" si="1122"/>
        <v>BypassOpenStudio_ap,0,</v>
      </c>
      <c r="BQ344" s="31" t="str">
        <f t="shared" si="1123"/>
        <v>BypassOpenStudio_ab,0,</v>
      </c>
      <c r="BR344" s="31" t="str">
        <f t="shared" si="1124"/>
        <v>BypassOpenStudio_zp,0,</v>
      </c>
      <c r="BS344" s="31" t="str">
        <f t="shared" si="1125"/>
        <v>BypassOpenStudio_zb,0,</v>
      </c>
      <c r="BT344" s="31" t="str">
        <f t="shared" si="1126"/>
        <v>BypassOpenStudio_ap,0,</v>
      </c>
      <c r="BU344" s="31" t="str">
        <f t="shared" si="1127"/>
        <v>BypassOpenStudio_ab,0,</v>
      </c>
    </row>
    <row r="345" spans="1:73" outlineLevel="1" x14ac:dyDescent="0.25">
      <c r="A345" s="39">
        <f t="shared" si="1095"/>
        <v>1</v>
      </c>
      <c r="B345" s="27" t="str">
        <f t="shared" si="1128"/>
        <v>SoftwareSensitivity2016Tests\SimplifiedGeometry\0416106-OffLrg-PassiveBeam_NDL.cibd16</v>
      </c>
      <c r="C345" s="27" t="str">
        <f t="shared" si="1129"/>
        <v>BatchOut_171026_r5178_FinalRel-v3-SSTSG_SSTSG\0416106-OffLrg-PassiveBeam_NDL.cibd16</v>
      </c>
      <c r="D345" s="27" t="str">
        <f t="shared" si="1130"/>
        <v>BatchOut_171026_r5178_FinalRel-v3-SSTSG_SSTSG\XML\</v>
      </c>
      <c r="E345" s="9" t="str">
        <f t="shared" si="1131"/>
        <v>0416106-OffLrg-PassiveBeam_NDL</v>
      </c>
      <c r="F345" s="22"/>
      <c r="G345" s="29"/>
      <c r="H345" s="23" t="str">
        <f t="shared" si="1132"/>
        <v/>
      </c>
      <c r="I345" s="9" t="s">
        <v>11</v>
      </c>
      <c r="J34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5" s="15" t="s">
        <v>1</v>
      </c>
      <c r="L345" s="92">
        <f t="shared" si="1135"/>
        <v>1</v>
      </c>
      <c r="M345" s="91" t="str">
        <f t="shared" si="1133"/>
        <v>0416106-OffLrg-PassiveBeam_NDL</v>
      </c>
      <c r="N345" s="90" t="s">
        <v>245</v>
      </c>
      <c r="O345" s="90" t="str">
        <f t="shared" si="1097"/>
        <v>0416106-OffLrg-PassiveBeam_NDL</v>
      </c>
      <c r="P345" s="92">
        <f t="shared" si="1141"/>
        <v>1</v>
      </c>
      <c r="Q345" s="92">
        <f t="shared" si="1141"/>
        <v>1</v>
      </c>
      <c r="R345" s="92">
        <f t="shared" ref="P345:AR353" si="1142">R344</f>
        <v>0</v>
      </c>
      <c r="S345" s="92">
        <f t="shared" si="1142"/>
        <v>1</v>
      </c>
      <c r="T345" s="92">
        <f t="shared" si="1142"/>
        <v>0</v>
      </c>
      <c r="U345" s="92">
        <f t="shared" si="1142"/>
        <v>8</v>
      </c>
      <c r="V345" s="92">
        <f t="shared" si="1142"/>
        <v>8</v>
      </c>
      <c r="W345" s="92">
        <f t="shared" si="1142"/>
        <v>1</v>
      </c>
      <c r="X345" s="92">
        <f t="shared" si="1142"/>
        <v>0</v>
      </c>
      <c r="Y345" s="92">
        <f t="shared" si="1142"/>
        <v>0</v>
      </c>
      <c r="Z345" s="92">
        <f t="shared" si="1142"/>
        <v>0</v>
      </c>
      <c r="AA345" s="92">
        <f t="shared" si="1142"/>
        <v>0</v>
      </c>
      <c r="AB345" s="92">
        <f t="shared" si="1142"/>
        <v>1</v>
      </c>
      <c r="AC345" s="92">
        <f t="shared" si="1142"/>
        <v>0</v>
      </c>
      <c r="AD345" s="92">
        <f t="shared" si="1142"/>
        <v>1</v>
      </c>
      <c r="AE345" s="92">
        <f t="shared" si="1142"/>
        <v>0</v>
      </c>
      <c r="AF345" s="92">
        <f t="shared" si="1142"/>
        <v>0</v>
      </c>
      <c r="AG345" s="92">
        <f t="shared" si="1142"/>
        <v>0</v>
      </c>
      <c r="AH345" s="92">
        <f t="shared" si="1142"/>
        <v>0</v>
      </c>
      <c r="AI345" s="92">
        <f t="shared" si="1142"/>
        <v>0</v>
      </c>
      <c r="AJ345" s="92">
        <f t="shared" si="1142"/>
        <v>0</v>
      </c>
      <c r="AK345" s="92">
        <f t="shared" si="1142"/>
        <v>0</v>
      </c>
      <c r="AL345" s="92">
        <f t="shared" si="1142"/>
        <v>0</v>
      </c>
      <c r="AM345" s="92">
        <f t="shared" si="1142"/>
        <v>0</v>
      </c>
      <c r="AN345" s="92">
        <f t="shared" si="1142"/>
        <v>0</v>
      </c>
      <c r="AO345" s="92">
        <f t="shared" si="1142"/>
        <v>0</v>
      </c>
      <c r="AP345" s="92">
        <f t="shared" si="1142"/>
        <v>0</v>
      </c>
      <c r="AQ345" s="92">
        <f t="shared" si="1142"/>
        <v>0</v>
      </c>
      <c r="AR345" s="92">
        <f t="shared" si="1142"/>
        <v>0</v>
      </c>
      <c r="AS345" s="31" t="str">
        <f t="shared" si="1099"/>
        <v>SimulationStorage,1,</v>
      </c>
      <c r="AT345" s="31" t="str">
        <f t="shared" si="1100"/>
        <v>AnalysisStorage,1,</v>
      </c>
      <c r="AU345" s="31" t="str">
        <f t="shared" si="1101"/>
        <v>LogRuleEvaluation,0,</v>
      </c>
      <c r="AV345" s="31" t="str">
        <f t="shared" si="1102"/>
        <v>ParallelSimulations,1,</v>
      </c>
      <c r="AW345" s="31" t="str">
        <f t="shared" si="1103"/>
        <v>DurationStats,0,</v>
      </c>
      <c r="AX345" s="31" t="str">
        <f t="shared" si="1104"/>
        <v>AnalysisThruStep,8,</v>
      </c>
      <c r="AY345" s="31" t="str">
        <f t="shared" si="1105"/>
        <v>DontAbortOnErrorsThruStep,8,</v>
      </c>
      <c r="AZ345" s="31" t="str">
        <f t="shared" si="1106"/>
        <v>BypassValidFileChecks,1,</v>
      </c>
      <c r="BA345" s="31" t="str">
        <f t="shared" si="1107"/>
        <v>BypassInputChecks,0,</v>
      </c>
      <c r="BB345" s="31" t="str">
        <f t="shared" si="1108"/>
        <v>BypassUMLHChecks,0,</v>
      </c>
      <c r="BC345" s="31" t="str">
        <f t="shared" si="1109"/>
        <v>BypassCheckSimRules,0,</v>
      </c>
      <c r="BD345" s="31" t="str">
        <f t="shared" si="1110"/>
        <v>BypassCheckCodeRules,0,</v>
      </c>
      <c r="BE345" s="31" t="str">
        <f t="shared" si="1111"/>
        <v>StoreResultsToModelInput,1,</v>
      </c>
      <c r="BF345" s="31" t="str">
        <f t="shared" si="1112"/>
        <v>StoreBEMDetails,0,</v>
      </c>
      <c r="BG345" s="31" t="str">
        <f t="shared" si="1113"/>
        <v>ModelRpt_ALL,1,</v>
      </c>
      <c r="BH345" s="31" t="str">
        <f t="shared" si="1114"/>
        <v>ExportHourlyResults_All,0,</v>
      </c>
      <c r="BI345" s="31" t="str">
        <f t="shared" si="1115"/>
        <v>ComplianceReportPDF,0,</v>
      </c>
      <c r="BJ345" s="31" t="str">
        <f t="shared" si="1116"/>
        <v>ComplianceReportXML,0,</v>
      </c>
      <c r="BK345" s="31" t="str">
        <f t="shared" si="1117"/>
        <v>QuickAnalysis,0,</v>
      </c>
      <c r="BL345" s="31" t="str">
        <f t="shared" si="1118"/>
        <v>PromptUserUMLHWarning,0,</v>
      </c>
      <c r="BM345" s="31" t="str">
        <f t="shared" si="1119"/>
        <v>BypassOpenStudio_all,0,</v>
      </c>
      <c r="BN345" s="31" t="str">
        <f t="shared" si="1120"/>
        <v>BypassOpenStudio_zp,0,</v>
      </c>
      <c r="BO345" s="31" t="str">
        <f t="shared" si="1121"/>
        <v>BypassOpenStudio_zb,0,</v>
      </c>
      <c r="BP345" s="31" t="str">
        <f t="shared" si="1122"/>
        <v>BypassOpenStudio_ap,0,</v>
      </c>
      <c r="BQ345" s="31" t="str">
        <f t="shared" si="1123"/>
        <v>BypassOpenStudio_ab,0,</v>
      </c>
      <c r="BR345" s="31" t="str">
        <f t="shared" si="1124"/>
        <v>BypassOpenStudio_zp,0,</v>
      </c>
      <c r="BS345" s="31" t="str">
        <f t="shared" si="1125"/>
        <v>BypassOpenStudio_zb,0,</v>
      </c>
      <c r="BT345" s="31" t="str">
        <f t="shared" si="1126"/>
        <v>BypassOpenStudio_ap,0,</v>
      </c>
      <c r="BU345" s="31" t="str">
        <f t="shared" si="1127"/>
        <v>BypassOpenStudio_ab,0,</v>
      </c>
    </row>
    <row r="346" spans="1:73" outlineLevel="1" x14ac:dyDescent="0.25">
      <c r="A346" s="39">
        <f t="shared" si="1095"/>
        <v>1</v>
      </c>
      <c r="B346" s="27" t="str">
        <f t="shared" si="1128"/>
        <v>SoftwareSensitivity2016Tests\SimplifiedGeometry\0500015-RetlMed-SG-Baseline.cibd16</v>
      </c>
      <c r="C346" s="27" t="str">
        <f t="shared" si="1129"/>
        <v>BatchOut_171026_r5178_FinalRel-v3-SSTSG_SSTSG\0500015-RetlMed-SG-Baseline.cibd16</v>
      </c>
      <c r="D346" s="27" t="str">
        <f t="shared" si="1130"/>
        <v>BatchOut_171026_r5178_FinalRel-v3-SSTSG_SSTSG\XML\</v>
      </c>
      <c r="E346" s="9" t="str">
        <f t="shared" si="1131"/>
        <v>0500015-RetlMed-SG-Baseline</v>
      </c>
      <c r="F346" s="22"/>
      <c r="G346" s="29"/>
      <c r="H346" s="23" t="str">
        <f t="shared" si="1132"/>
        <v/>
      </c>
      <c r="I346" s="9" t="s">
        <v>11</v>
      </c>
      <c r="J34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6" s="15" t="s">
        <v>1</v>
      </c>
      <c r="L346" s="92">
        <f t="shared" si="1135"/>
        <v>1</v>
      </c>
      <c r="M346" s="91" t="str">
        <f t="shared" si="1133"/>
        <v>0500015-RetlMed-SG-Baseline</v>
      </c>
      <c r="N346" s="90" t="s">
        <v>203</v>
      </c>
      <c r="O346" s="90" t="str">
        <f t="shared" si="1097"/>
        <v>0500015-RetlMed-SG-Baseline</v>
      </c>
      <c r="P346" s="92">
        <f t="shared" si="1142"/>
        <v>1</v>
      </c>
      <c r="Q346" s="92">
        <f t="shared" si="1142"/>
        <v>1</v>
      </c>
      <c r="R346" s="92">
        <f t="shared" si="1142"/>
        <v>0</v>
      </c>
      <c r="S346" s="92">
        <f t="shared" si="1142"/>
        <v>1</v>
      </c>
      <c r="T346" s="92">
        <f t="shared" si="1142"/>
        <v>0</v>
      </c>
      <c r="U346" s="92">
        <f t="shared" si="1142"/>
        <v>8</v>
      </c>
      <c r="V346" s="92">
        <f t="shared" si="1142"/>
        <v>8</v>
      </c>
      <c r="W346" s="92">
        <f t="shared" si="1142"/>
        <v>1</v>
      </c>
      <c r="X346" s="92">
        <f t="shared" si="1142"/>
        <v>0</v>
      </c>
      <c r="Y346" s="92">
        <f t="shared" si="1142"/>
        <v>0</v>
      </c>
      <c r="Z346" s="92">
        <f t="shared" si="1142"/>
        <v>0</v>
      </c>
      <c r="AA346" s="92">
        <f t="shared" si="1142"/>
        <v>0</v>
      </c>
      <c r="AB346" s="92">
        <f t="shared" si="1142"/>
        <v>1</v>
      </c>
      <c r="AC346" s="92">
        <f t="shared" si="1142"/>
        <v>0</v>
      </c>
      <c r="AD346" s="92">
        <f t="shared" si="1142"/>
        <v>1</v>
      </c>
      <c r="AE346" s="92">
        <f t="shared" si="1142"/>
        <v>0</v>
      </c>
      <c r="AF346" s="92">
        <f t="shared" si="1142"/>
        <v>0</v>
      </c>
      <c r="AG346" s="92">
        <f t="shared" si="1142"/>
        <v>0</v>
      </c>
      <c r="AH346" s="92">
        <f t="shared" si="1142"/>
        <v>0</v>
      </c>
      <c r="AI346" s="92">
        <f t="shared" si="1142"/>
        <v>0</v>
      </c>
      <c r="AJ346" s="92">
        <f t="shared" si="1142"/>
        <v>0</v>
      </c>
      <c r="AK346" s="92">
        <f t="shared" si="1142"/>
        <v>0</v>
      </c>
      <c r="AL346" s="92">
        <f t="shared" si="1142"/>
        <v>0</v>
      </c>
      <c r="AM346" s="92">
        <f t="shared" si="1142"/>
        <v>0</v>
      </c>
      <c r="AN346" s="92">
        <f t="shared" si="1142"/>
        <v>0</v>
      </c>
      <c r="AO346" s="92">
        <f t="shared" si="1142"/>
        <v>0</v>
      </c>
      <c r="AP346" s="92">
        <f t="shared" si="1142"/>
        <v>0</v>
      </c>
      <c r="AQ346" s="92">
        <f t="shared" si="1142"/>
        <v>0</v>
      </c>
      <c r="AR346" s="92">
        <f t="shared" si="1142"/>
        <v>0</v>
      </c>
      <c r="AS346" s="31" t="str">
        <f t="shared" si="1099"/>
        <v>SimulationStorage,1,</v>
      </c>
      <c r="AT346" s="31" t="str">
        <f t="shared" si="1100"/>
        <v>AnalysisStorage,1,</v>
      </c>
      <c r="AU346" s="31" t="str">
        <f t="shared" si="1101"/>
        <v>LogRuleEvaluation,0,</v>
      </c>
      <c r="AV346" s="31" t="str">
        <f t="shared" si="1102"/>
        <v>ParallelSimulations,1,</v>
      </c>
      <c r="AW346" s="31" t="str">
        <f t="shared" si="1103"/>
        <v>DurationStats,0,</v>
      </c>
      <c r="AX346" s="31" t="str">
        <f t="shared" si="1104"/>
        <v>AnalysisThruStep,8,</v>
      </c>
      <c r="AY346" s="31" t="str">
        <f t="shared" si="1105"/>
        <v>DontAbortOnErrorsThruStep,8,</v>
      </c>
      <c r="AZ346" s="31" t="str">
        <f t="shared" si="1106"/>
        <v>BypassValidFileChecks,1,</v>
      </c>
      <c r="BA346" s="31" t="str">
        <f t="shared" si="1107"/>
        <v>BypassInputChecks,0,</v>
      </c>
      <c r="BB346" s="31" t="str">
        <f t="shared" si="1108"/>
        <v>BypassUMLHChecks,0,</v>
      </c>
      <c r="BC346" s="31" t="str">
        <f t="shared" si="1109"/>
        <v>BypassCheckSimRules,0,</v>
      </c>
      <c r="BD346" s="31" t="str">
        <f t="shared" si="1110"/>
        <v>BypassCheckCodeRules,0,</v>
      </c>
      <c r="BE346" s="31" t="str">
        <f t="shared" si="1111"/>
        <v>StoreResultsToModelInput,1,</v>
      </c>
      <c r="BF346" s="31" t="str">
        <f t="shared" si="1112"/>
        <v>StoreBEMDetails,0,</v>
      </c>
      <c r="BG346" s="31" t="str">
        <f t="shared" si="1113"/>
        <v>ModelRpt_ALL,1,</v>
      </c>
      <c r="BH346" s="31" t="str">
        <f t="shared" si="1114"/>
        <v>ExportHourlyResults_All,0,</v>
      </c>
      <c r="BI346" s="31" t="str">
        <f t="shared" si="1115"/>
        <v>ComplianceReportPDF,0,</v>
      </c>
      <c r="BJ346" s="31" t="str">
        <f t="shared" si="1116"/>
        <v>ComplianceReportXML,0,</v>
      </c>
      <c r="BK346" s="31" t="str">
        <f t="shared" si="1117"/>
        <v>QuickAnalysis,0,</v>
      </c>
      <c r="BL346" s="31" t="str">
        <f t="shared" si="1118"/>
        <v>PromptUserUMLHWarning,0,</v>
      </c>
      <c r="BM346" s="31" t="str">
        <f t="shared" si="1119"/>
        <v>BypassOpenStudio_all,0,</v>
      </c>
      <c r="BN346" s="31" t="str">
        <f t="shared" si="1120"/>
        <v>BypassOpenStudio_zp,0,</v>
      </c>
      <c r="BO346" s="31" t="str">
        <f t="shared" si="1121"/>
        <v>BypassOpenStudio_zb,0,</v>
      </c>
      <c r="BP346" s="31" t="str">
        <f t="shared" si="1122"/>
        <v>BypassOpenStudio_ap,0,</v>
      </c>
      <c r="BQ346" s="31" t="str">
        <f t="shared" si="1123"/>
        <v>BypassOpenStudio_ab,0,</v>
      </c>
      <c r="BR346" s="31" t="str">
        <f t="shared" si="1124"/>
        <v>BypassOpenStudio_zp,0,</v>
      </c>
      <c r="BS346" s="31" t="str">
        <f t="shared" si="1125"/>
        <v>BypassOpenStudio_zb,0,</v>
      </c>
      <c r="BT346" s="31" t="str">
        <f t="shared" si="1126"/>
        <v>BypassOpenStudio_ap,0,</v>
      </c>
      <c r="BU346" s="31" t="str">
        <f t="shared" si="1127"/>
        <v>BypassOpenStudio_ab,0,</v>
      </c>
    </row>
    <row r="347" spans="1:73" outlineLevel="1" x14ac:dyDescent="0.25">
      <c r="A347" s="39">
        <f t="shared" si="1095"/>
        <v>1</v>
      </c>
      <c r="B347" s="27" t="str">
        <f t="shared" si="1128"/>
        <v>SoftwareSensitivity2016Tests\SimplifiedGeometry\0515015-RetlMed-SG-HPWtrHtrPckgdEF2x.cibd16</v>
      </c>
      <c r="C347" s="27" t="str">
        <f t="shared" si="1129"/>
        <v>BatchOut_171026_r5178_FinalRel-v3-SSTSG_SSTSG\0515015-RetlMed-SG-HPWtrHtrPckgdEF2x.cibd16</v>
      </c>
      <c r="D347" s="27" t="str">
        <f t="shared" si="1130"/>
        <v>BatchOut_171026_r5178_FinalRel-v3-SSTSG_SSTSG\XML\</v>
      </c>
      <c r="E347" s="9" t="str">
        <f t="shared" si="1131"/>
        <v>0515015-RetlMed-SG-HPWtrHtrPckgdEF2x</v>
      </c>
      <c r="F347" s="22"/>
      <c r="G347" s="29"/>
      <c r="H347" s="23" t="str">
        <f t="shared" si="1132"/>
        <v/>
      </c>
      <c r="I347" s="9" t="s">
        <v>11</v>
      </c>
      <c r="J34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7" s="15" t="s">
        <v>1</v>
      </c>
      <c r="L347" s="92">
        <f t="shared" si="1135"/>
        <v>1</v>
      </c>
      <c r="M347" s="91" t="str">
        <f t="shared" si="1133"/>
        <v>0515015-RetlMed-SG-HPWtrHtrPckgdEF2x</v>
      </c>
      <c r="N347" s="90" t="s">
        <v>246</v>
      </c>
      <c r="O347" s="90" t="str">
        <f t="shared" si="1097"/>
        <v>0515015-RetlMed-SG-HPWtrHtrPckgdEF2x</v>
      </c>
      <c r="P347" s="92">
        <f t="shared" si="1142"/>
        <v>1</v>
      </c>
      <c r="Q347" s="92">
        <f t="shared" si="1142"/>
        <v>1</v>
      </c>
      <c r="R347" s="92">
        <f t="shared" si="1142"/>
        <v>0</v>
      </c>
      <c r="S347" s="92">
        <f t="shared" si="1142"/>
        <v>1</v>
      </c>
      <c r="T347" s="92">
        <f t="shared" si="1142"/>
        <v>0</v>
      </c>
      <c r="U347" s="92">
        <f t="shared" si="1142"/>
        <v>8</v>
      </c>
      <c r="V347" s="92">
        <f t="shared" si="1142"/>
        <v>8</v>
      </c>
      <c r="W347" s="92">
        <f t="shared" si="1142"/>
        <v>1</v>
      </c>
      <c r="X347" s="92">
        <f t="shared" si="1142"/>
        <v>0</v>
      </c>
      <c r="Y347" s="92">
        <f t="shared" si="1142"/>
        <v>0</v>
      </c>
      <c r="Z347" s="92">
        <f t="shared" si="1142"/>
        <v>0</v>
      </c>
      <c r="AA347" s="92">
        <f t="shared" si="1142"/>
        <v>0</v>
      </c>
      <c r="AB347" s="92">
        <f t="shared" si="1142"/>
        <v>1</v>
      </c>
      <c r="AC347" s="92">
        <f t="shared" si="1142"/>
        <v>0</v>
      </c>
      <c r="AD347" s="92">
        <f t="shared" si="1142"/>
        <v>1</v>
      </c>
      <c r="AE347" s="92">
        <f t="shared" si="1142"/>
        <v>0</v>
      </c>
      <c r="AF347" s="92">
        <f t="shared" si="1142"/>
        <v>0</v>
      </c>
      <c r="AG347" s="92">
        <f t="shared" si="1142"/>
        <v>0</v>
      </c>
      <c r="AH347" s="92">
        <f t="shared" si="1142"/>
        <v>0</v>
      </c>
      <c r="AI347" s="92">
        <f t="shared" si="1142"/>
        <v>0</v>
      </c>
      <c r="AJ347" s="92">
        <f t="shared" si="1142"/>
        <v>0</v>
      </c>
      <c r="AK347" s="92">
        <f t="shared" si="1142"/>
        <v>0</v>
      </c>
      <c r="AL347" s="92">
        <f t="shared" si="1142"/>
        <v>0</v>
      </c>
      <c r="AM347" s="92">
        <f t="shared" si="1142"/>
        <v>0</v>
      </c>
      <c r="AN347" s="92">
        <f t="shared" si="1142"/>
        <v>0</v>
      </c>
      <c r="AO347" s="92">
        <f t="shared" si="1142"/>
        <v>0</v>
      </c>
      <c r="AP347" s="92">
        <f t="shared" si="1142"/>
        <v>0</v>
      </c>
      <c r="AQ347" s="92">
        <f t="shared" si="1142"/>
        <v>0</v>
      </c>
      <c r="AR347" s="92">
        <f t="shared" si="1142"/>
        <v>0</v>
      </c>
      <c r="AS347" s="31" t="str">
        <f t="shared" si="1099"/>
        <v>SimulationStorage,1,</v>
      </c>
      <c r="AT347" s="31" t="str">
        <f t="shared" si="1100"/>
        <v>AnalysisStorage,1,</v>
      </c>
      <c r="AU347" s="31" t="str">
        <f t="shared" si="1101"/>
        <v>LogRuleEvaluation,0,</v>
      </c>
      <c r="AV347" s="31" t="str">
        <f t="shared" si="1102"/>
        <v>ParallelSimulations,1,</v>
      </c>
      <c r="AW347" s="31" t="str">
        <f t="shared" si="1103"/>
        <v>DurationStats,0,</v>
      </c>
      <c r="AX347" s="31" t="str">
        <f t="shared" si="1104"/>
        <v>AnalysisThruStep,8,</v>
      </c>
      <c r="AY347" s="31" t="str">
        <f t="shared" si="1105"/>
        <v>DontAbortOnErrorsThruStep,8,</v>
      </c>
      <c r="AZ347" s="31" t="str">
        <f t="shared" si="1106"/>
        <v>BypassValidFileChecks,1,</v>
      </c>
      <c r="BA347" s="31" t="str">
        <f t="shared" si="1107"/>
        <v>BypassInputChecks,0,</v>
      </c>
      <c r="BB347" s="31" t="str">
        <f t="shared" si="1108"/>
        <v>BypassUMLHChecks,0,</v>
      </c>
      <c r="BC347" s="31" t="str">
        <f t="shared" si="1109"/>
        <v>BypassCheckSimRules,0,</v>
      </c>
      <c r="BD347" s="31" t="str">
        <f t="shared" si="1110"/>
        <v>BypassCheckCodeRules,0,</v>
      </c>
      <c r="BE347" s="31" t="str">
        <f t="shared" si="1111"/>
        <v>StoreResultsToModelInput,1,</v>
      </c>
      <c r="BF347" s="31" t="str">
        <f t="shared" si="1112"/>
        <v>StoreBEMDetails,0,</v>
      </c>
      <c r="BG347" s="31" t="str">
        <f t="shared" si="1113"/>
        <v>ModelRpt_ALL,1,</v>
      </c>
      <c r="BH347" s="31" t="str">
        <f t="shared" si="1114"/>
        <v>ExportHourlyResults_All,0,</v>
      </c>
      <c r="BI347" s="31" t="str">
        <f t="shared" si="1115"/>
        <v>ComplianceReportPDF,0,</v>
      </c>
      <c r="BJ347" s="31" t="str">
        <f t="shared" si="1116"/>
        <v>ComplianceReportXML,0,</v>
      </c>
      <c r="BK347" s="31" t="str">
        <f t="shared" si="1117"/>
        <v>QuickAnalysis,0,</v>
      </c>
      <c r="BL347" s="31" t="str">
        <f t="shared" si="1118"/>
        <v>PromptUserUMLHWarning,0,</v>
      </c>
      <c r="BM347" s="31" t="str">
        <f t="shared" si="1119"/>
        <v>BypassOpenStudio_all,0,</v>
      </c>
      <c r="BN347" s="31" t="str">
        <f t="shared" si="1120"/>
        <v>BypassOpenStudio_zp,0,</v>
      </c>
      <c r="BO347" s="31" t="str">
        <f t="shared" si="1121"/>
        <v>BypassOpenStudio_zb,0,</v>
      </c>
      <c r="BP347" s="31" t="str">
        <f t="shared" si="1122"/>
        <v>BypassOpenStudio_ap,0,</v>
      </c>
      <c r="BQ347" s="31" t="str">
        <f t="shared" si="1123"/>
        <v>BypassOpenStudio_ab,0,</v>
      </c>
      <c r="BR347" s="31" t="str">
        <f t="shared" si="1124"/>
        <v>BypassOpenStudio_zp,0,</v>
      </c>
      <c r="BS347" s="31" t="str">
        <f t="shared" si="1125"/>
        <v>BypassOpenStudio_zb,0,</v>
      </c>
      <c r="BT347" s="31" t="str">
        <f t="shared" si="1126"/>
        <v>BypassOpenStudio_ap,0,</v>
      </c>
      <c r="BU347" s="31" t="str">
        <f t="shared" si="1127"/>
        <v>BypassOpenStudio_ab,0,</v>
      </c>
    </row>
    <row r="348" spans="1:73" outlineLevel="1" x14ac:dyDescent="0.25">
      <c r="A348" s="39">
        <f t="shared" si="1095"/>
        <v>1</v>
      </c>
      <c r="B348" s="27" t="str">
        <f t="shared" si="1128"/>
        <v>SoftwareSensitivity2016Tests\SimplifiedGeometry\0515115-RetlMed-SG-HPWtrHtrPckgdEF3x.cibd16</v>
      </c>
      <c r="C348" s="27" t="str">
        <f t="shared" si="1129"/>
        <v>BatchOut_171026_r5178_FinalRel-v3-SSTSG_SSTSG\0515115-RetlMed-SG-HPWtrHtrPckgdEF3x.cibd16</v>
      </c>
      <c r="D348" s="27" t="str">
        <f t="shared" si="1130"/>
        <v>BatchOut_171026_r5178_FinalRel-v3-SSTSG_SSTSG\XML\</v>
      </c>
      <c r="E348" s="9" t="str">
        <f t="shared" si="1131"/>
        <v>0515115-RetlMed-SG-HPWtrHtrPckgdEF3x</v>
      </c>
      <c r="F348" s="22"/>
      <c r="G348" s="29"/>
      <c r="H348" s="23" t="str">
        <f t="shared" si="1132"/>
        <v/>
      </c>
      <c r="I348" s="9" t="s">
        <v>11</v>
      </c>
      <c r="J34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8" s="15" t="s">
        <v>1</v>
      </c>
      <c r="L348" s="92">
        <f t="shared" si="1135"/>
        <v>1</v>
      </c>
      <c r="M348" s="91" t="str">
        <f t="shared" si="1133"/>
        <v>0515115-RetlMed-SG-HPWtrHtrPckgdEF3x</v>
      </c>
      <c r="N348" s="90" t="s">
        <v>247</v>
      </c>
      <c r="O348" s="90" t="str">
        <f t="shared" si="1097"/>
        <v>0515115-RetlMed-SG-HPWtrHtrPckgdEF3x</v>
      </c>
      <c r="P348" s="92">
        <f t="shared" si="1142"/>
        <v>1</v>
      </c>
      <c r="Q348" s="92">
        <f t="shared" si="1142"/>
        <v>1</v>
      </c>
      <c r="R348" s="92">
        <f t="shared" si="1142"/>
        <v>0</v>
      </c>
      <c r="S348" s="92">
        <f t="shared" si="1142"/>
        <v>1</v>
      </c>
      <c r="T348" s="92">
        <f t="shared" si="1142"/>
        <v>0</v>
      </c>
      <c r="U348" s="92">
        <f t="shared" si="1142"/>
        <v>8</v>
      </c>
      <c r="V348" s="92">
        <f t="shared" si="1142"/>
        <v>8</v>
      </c>
      <c r="W348" s="92">
        <f t="shared" si="1142"/>
        <v>1</v>
      </c>
      <c r="X348" s="92">
        <f t="shared" si="1142"/>
        <v>0</v>
      </c>
      <c r="Y348" s="92">
        <f t="shared" si="1142"/>
        <v>0</v>
      </c>
      <c r="Z348" s="92">
        <f t="shared" si="1142"/>
        <v>0</v>
      </c>
      <c r="AA348" s="92">
        <f t="shared" si="1142"/>
        <v>0</v>
      </c>
      <c r="AB348" s="92">
        <f t="shared" si="1142"/>
        <v>1</v>
      </c>
      <c r="AC348" s="92">
        <f t="shared" si="1142"/>
        <v>0</v>
      </c>
      <c r="AD348" s="92">
        <f t="shared" si="1142"/>
        <v>1</v>
      </c>
      <c r="AE348" s="92">
        <f t="shared" si="1142"/>
        <v>0</v>
      </c>
      <c r="AF348" s="92">
        <f t="shared" si="1142"/>
        <v>0</v>
      </c>
      <c r="AG348" s="92">
        <f t="shared" si="1142"/>
        <v>0</v>
      </c>
      <c r="AH348" s="92">
        <f t="shared" si="1142"/>
        <v>0</v>
      </c>
      <c r="AI348" s="92">
        <f t="shared" si="1142"/>
        <v>0</v>
      </c>
      <c r="AJ348" s="92">
        <f t="shared" si="1142"/>
        <v>0</v>
      </c>
      <c r="AK348" s="92">
        <f t="shared" si="1142"/>
        <v>0</v>
      </c>
      <c r="AL348" s="92">
        <f t="shared" si="1142"/>
        <v>0</v>
      </c>
      <c r="AM348" s="92">
        <f t="shared" si="1142"/>
        <v>0</v>
      </c>
      <c r="AN348" s="92">
        <f t="shared" si="1142"/>
        <v>0</v>
      </c>
      <c r="AO348" s="92">
        <f t="shared" si="1142"/>
        <v>0</v>
      </c>
      <c r="AP348" s="92">
        <f t="shared" si="1142"/>
        <v>0</v>
      </c>
      <c r="AQ348" s="92">
        <f t="shared" si="1142"/>
        <v>0</v>
      </c>
      <c r="AR348" s="92">
        <f t="shared" si="1142"/>
        <v>0</v>
      </c>
      <c r="AS348" s="31" t="str">
        <f t="shared" si="1099"/>
        <v>SimulationStorage,1,</v>
      </c>
      <c r="AT348" s="31" t="str">
        <f t="shared" si="1100"/>
        <v>AnalysisStorage,1,</v>
      </c>
      <c r="AU348" s="31" t="str">
        <f t="shared" si="1101"/>
        <v>LogRuleEvaluation,0,</v>
      </c>
      <c r="AV348" s="31" t="str">
        <f t="shared" si="1102"/>
        <v>ParallelSimulations,1,</v>
      </c>
      <c r="AW348" s="31" t="str">
        <f t="shared" si="1103"/>
        <v>DurationStats,0,</v>
      </c>
      <c r="AX348" s="31" t="str">
        <f t="shared" si="1104"/>
        <v>AnalysisThruStep,8,</v>
      </c>
      <c r="AY348" s="31" t="str">
        <f t="shared" si="1105"/>
        <v>DontAbortOnErrorsThruStep,8,</v>
      </c>
      <c r="AZ348" s="31" t="str">
        <f t="shared" si="1106"/>
        <v>BypassValidFileChecks,1,</v>
      </c>
      <c r="BA348" s="31" t="str">
        <f t="shared" si="1107"/>
        <v>BypassInputChecks,0,</v>
      </c>
      <c r="BB348" s="31" t="str">
        <f t="shared" si="1108"/>
        <v>BypassUMLHChecks,0,</v>
      </c>
      <c r="BC348" s="31" t="str">
        <f t="shared" si="1109"/>
        <v>BypassCheckSimRules,0,</v>
      </c>
      <c r="BD348" s="31" t="str">
        <f t="shared" si="1110"/>
        <v>BypassCheckCodeRules,0,</v>
      </c>
      <c r="BE348" s="31" t="str">
        <f t="shared" si="1111"/>
        <v>StoreResultsToModelInput,1,</v>
      </c>
      <c r="BF348" s="31" t="str">
        <f t="shared" si="1112"/>
        <v>StoreBEMDetails,0,</v>
      </c>
      <c r="BG348" s="31" t="str">
        <f t="shared" si="1113"/>
        <v>ModelRpt_ALL,1,</v>
      </c>
      <c r="BH348" s="31" t="str">
        <f t="shared" si="1114"/>
        <v>ExportHourlyResults_All,0,</v>
      </c>
      <c r="BI348" s="31" t="str">
        <f t="shared" si="1115"/>
        <v>ComplianceReportPDF,0,</v>
      </c>
      <c r="BJ348" s="31" t="str">
        <f t="shared" si="1116"/>
        <v>ComplianceReportXML,0,</v>
      </c>
      <c r="BK348" s="31" t="str">
        <f t="shared" si="1117"/>
        <v>QuickAnalysis,0,</v>
      </c>
      <c r="BL348" s="31" t="str">
        <f t="shared" si="1118"/>
        <v>PromptUserUMLHWarning,0,</v>
      </c>
      <c r="BM348" s="31" t="str">
        <f t="shared" si="1119"/>
        <v>BypassOpenStudio_all,0,</v>
      </c>
      <c r="BN348" s="31" t="str">
        <f t="shared" si="1120"/>
        <v>BypassOpenStudio_zp,0,</v>
      </c>
      <c r="BO348" s="31" t="str">
        <f t="shared" si="1121"/>
        <v>BypassOpenStudio_zb,0,</v>
      </c>
      <c r="BP348" s="31" t="str">
        <f t="shared" si="1122"/>
        <v>BypassOpenStudio_ap,0,</v>
      </c>
      <c r="BQ348" s="31" t="str">
        <f t="shared" si="1123"/>
        <v>BypassOpenStudio_ab,0,</v>
      </c>
      <c r="BR348" s="31" t="str">
        <f t="shared" si="1124"/>
        <v>BypassOpenStudio_zp,0,</v>
      </c>
      <c r="BS348" s="31" t="str">
        <f t="shared" si="1125"/>
        <v>BypassOpenStudio_zb,0,</v>
      </c>
      <c r="BT348" s="31" t="str">
        <f t="shared" si="1126"/>
        <v>BypassOpenStudio_ap,0,</v>
      </c>
      <c r="BU348" s="31" t="str">
        <f t="shared" si="1127"/>
        <v>BypassOpenStudio_ab,0,</v>
      </c>
    </row>
    <row r="349" spans="1:73" outlineLevel="1" x14ac:dyDescent="0.25">
      <c r="A349" s="39">
        <f t="shared" si="1095"/>
        <v>1</v>
      </c>
      <c r="B349" s="27" t="str">
        <f t="shared" si="1128"/>
        <v>SoftwareSensitivity2016Tests\SimplifiedGeometry\0515215-RetlMed-SG-HPWtrHtrSplitTnkCprsrOut.cibd16</v>
      </c>
      <c r="C349" s="27" t="str">
        <f t="shared" si="1129"/>
        <v>BatchOut_171026_r5178_FinalRel-v3-SSTSG_SSTSG\0515215-RetlMed-SG-HPWtrHtrSplitTnkCprsrOut.cibd16</v>
      </c>
      <c r="D349" s="27" t="str">
        <f t="shared" si="1130"/>
        <v>BatchOut_171026_r5178_FinalRel-v3-SSTSG_SSTSG\XML\</v>
      </c>
      <c r="E349" s="9" t="str">
        <f t="shared" si="1131"/>
        <v>0515215-RetlMed-SG-HPWtrHtrSplitTnkCprsrOut</v>
      </c>
      <c r="F349" s="22"/>
      <c r="G349" s="29"/>
      <c r="H349" s="23" t="str">
        <f t="shared" si="1132"/>
        <v/>
      </c>
      <c r="I349" s="9" t="s">
        <v>11</v>
      </c>
      <c r="J34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9" s="15" t="s">
        <v>1</v>
      </c>
      <c r="L349" s="92">
        <f t="shared" si="1135"/>
        <v>1</v>
      </c>
      <c r="M349" s="91" t="str">
        <f t="shared" si="1133"/>
        <v>0515215-RetlMed-SG-HPWtrHtrSplitTnkCprsrOut</v>
      </c>
      <c r="N349" s="90" t="s">
        <v>248</v>
      </c>
      <c r="O349" s="90" t="str">
        <f t="shared" si="1097"/>
        <v>0515215-RetlMed-SG-HPWtrHtrSplitTnkCprsrOut</v>
      </c>
      <c r="P349" s="92">
        <f t="shared" si="1142"/>
        <v>1</v>
      </c>
      <c r="Q349" s="92">
        <f t="shared" si="1142"/>
        <v>1</v>
      </c>
      <c r="R349" s="92">
        <f t="shared" si="1142"/>
        <v>0</v>
      </c>
      <c r="S349" s="92">
        <f t="shared" si="1142"/>
        <v>1</v>
      </c>
      <c r="T349" s="92">
        <f t="shared" si="1142"/>
        <v>0</v>
      </c>
      <c r="U349" s="92">
        <f t="shared" si="1142"/>
        <v>8</v>
      </c>
      <c r="V349" s="92">
        <f t="shared" si="1142"/>
        <v>8</v>
      </c>
      <c r="W349" s="92">
        <f t="shared" si="1142"/>
        <v>1</v>
      </c>
      <c r="X349" s="92">
        <f t="shared" si="1142"/>
        <v>0</v>
      </c>
      <c r="Y349" s="92">
        <f t="shared" si="1142"/>
        <v>0</v>
      </c>
      <c r="Z349" s="92">
        <f t="shared" si="1142"/>
        <v>0</v>
      </c>
      <c r="AA349" s="92">
        <f t="shared" si="1142"/>
        <v>0</v>
      </c>
      <c r="AB349" s="92">
        <f t="shared" si="1142"/>
        <v>1</v>
      </c>
      <c r="AC349" s="92">
        <f t="shared" si="1142"/>
        <v>0</v>
      </c>
      <c r="AD349" s="92">
        <f t="shared" si="1142"/>
        <v>1</v>
      </c>
      <c r="AE349" s="92">
        <f t="shared" si="1142"/>
        <v>0</v>
      </c>
      <c r="AF349" s="92">
        <f t="shared" si="1142"/>
        <v>0</v>
      </c>
      <c r="AG349" s="92">
        <f t="shared" si="1142"/>
        <v>0</v>
      </c>
      <c r="AH349" s="92">
        <f t="shared" si="1142"/>
        <v>0</v>
      </c>
      <c r="AI349" s="92">
        <f t="shared" si="1142"/>
        <v>0</v>
      </c>
      <c r="AJ349" s="92">
        <f t="shared" si="1142"/>
        <v>0</v>
      </c>
      <c r="AK349" s="92">
        <f t="shared" si="1142"/>
        <v>0</v>
      </c>
      <c r="AL349" s="92">
        <f t="shared" si="1142"/>
        <v>0</v>
      </c>
      <c r="AM349" s="92">
        <f t="shared" si="1142"/>
        <v>0</v>
      </c>
      <c r="AN349" s="92">
        <f t="shared" si="1142"/>
        <v>0</v>
      </c>
      <c r="AO349" s="92">
        <f t="shared" si="1142"/>
        <v>0</v>
      </c>
      <c r="AP349" s="92">
        <f t="shared" si="1142"/>
        <v>0</v>
      </c>
      <c r="AQ349" s="92">
        <f t="shared" si="1142"/>
        <v>0</v>
      </c>
      <c r="AR349" s="92">
        <f t="shared" si="1142"/>
        <v>0</v>
      </c>
      <c r="AS349" s="31" t="str">
        <f t="shared" si="1099"/>
        <v>SimulationStorage,1,</v>
      </c>
      <c r="AT349" s="31" t="str">
        <f t="shared" si="1100"/>
        <v>AnalysisStorage,1,</v>
      </c>
      <c r="AU349" s="31" t="str">
        <f t="shared" si="1101"/>
        <v>LogRuleEvaluation,0,</v>
      </c>
      <c r="AV349" s="31" t="str">
        <f t="shared" si="1102"/>
        <v>ParallelSimulations,1,</v>
      </c>
      <c r="AW349" s="31" t="str">
        <f t="shared" si="1103"/>
        <v>DurationStats,0,</v>
      </c>
      <c r="AX349" s="31" t="str">
        <f t="shared" si="1104"/>
        <v>AnalysisThruStep,8,</v>
      </c>
      <c r="AY349" s="31" t="str">
        <f t="shared" si="1105"/>
        <v>DontAbortOnErrorsThruStep,8,</v>
      </c>
      <c r="AZ349" s="31" t="str">
        <f t="shared" si="1106"/>
        <v>BypassValidFileChecks,1,</v>
      </c>
      <c r="BA349" s="31" t="str">
        <f t="shared" si="1107"/>
        <v>BypassInputChecks,0,</v>
      </c>
      <c r="BB349" s="31" t="str">
        <f t="shared" si="1108"/>
        <v>BypassUMLHChecks,0,</v>
      </c>
      <c r="BC349" s="31" t="str">
        <f t="shared" si="1109"/>
        <v>BypassCheckSimRules,0,</v>
      </c>
      <c r="BD349" s="31" t="str">
        <f t="shared" si="1110"/>
        <v>BypassCheckCodeRules,0,</v>
      </c>
      <c r="BE349" s="31" t="str">
        <f t="shared" si="1111"/>
        <v>StoreResultsToModelInput,1,</v>
      </c>
      <c r="BF349" s="31" t="str">
        <f t="shared" si="1112"/>
        <v>StoreBEMDetails,0,</v>
      </c>
      <c r="BG349" s="31" t="str">
        <f t="shared" si="1113"/>
        <v>ModelRpt_ALL,1,</v>
      </c>
      <c r="BH349" s="31" t="str">
        <f t="shared" si="1114"/>
        <v>ExportHourlyResults_All,0,</v>
      </c>
      <c r="BI349" s="31" t="str">
        <f t="shared" si="1115"/>
        <v>ComplianceReportPDF,0,</v>
      </c>
      <c r="BJ349" s="31" t="str">
        <f t="shared" si="1116"/>
        <v>ComplianceReportXML,0,</v>
      </c>
      <c r="BK349" s="31" t="str">
        <f t="shared" si="1117"/>
        <v>QuickAnalysis,0,</v>
      </c>
      <c r="BL349" s="31" t="str">
        <f t="shared" si="1118"/>
        <v>PromptUserUMLHWarning,0,</v>
      </c>
      <c r="BM349" s="31" t="str">
        <f t="shared" si="1119"/>
        <v>BypassOpenStudio_all,0,</v>
      </c>
      <c r="BN349" s="31" t="str">
        <f t="shared" si="1120"/>
        <v>BypassOpenStudio_zp,0,</v>
      </c>
      <c r="BO349" s="31" t="str">
        <f t="shared" si="1121"/>
        <v>BypassOpenStudio_zb,0,</v>
      </c>
      <c r="BP349" s="31" t="str">
        <f t="shared" si="1122"/>
        <v>BypassOpenStudio_ap,0,</v>
      </c>
      <c r="BQ349" s="31" t="str">
        <f t="shared" si="1123"/>
        <v>BypassOpenStudio_ab,0,</v>
      </c>
      <c r="BR349" s="31" t="str">
        <f t="shared" si="1124"/>
        <v>BypassOpenStudio_zp,0,</v>
      </c>
      <c r="BS349" s="31" t="str">
        <f t="shared" si="1125"/>
        <v>BypassOpenStudio_zb,0,</v>
      </c>
      <c r="BT349" s="31" t="str">
        <f t="shared" si="1126"/>
        <v>BypassOpenStudio_ap,0,</v>
      </c>
      <c r="BU349" s="31" t="str">
        <f t="shared" si="1127"/>
        <v>BypassOpenStudio_ab,0,</v>
      </c>
    </row>
    <row r="350" spans="1:73" outlineLevel="1" x14ac:dyDescent="0.25">
      <c r="A350" s="39">
        <f t="shared" si="1095"/>
        <v>1</v>
      </c>
      <c r="B350" s="27" t="str">
        <f t="shared" si="1128"/>
        <v>SoftwareSensitivity2016Tests\SimplifiedGeometry\0515315-RetlMed-SG-HPWtrHtrSplitTnkOutCprsrIns.cibd16</v>
      </c>
      <c r="C350" s="27" t="str">
        <f t="shared" si="1129"/>
        <v>BatchOut_171026_r5178_FinalRel-v3-SSTSG_SSTSG\0515315-RetlMed-SG-HPWtrHtrSplitTnkOutCprsrIns.cibd16</v>
      </c>
      <c r="D350" s="27" t="str">
        <f t="shared" si="1130"/>
        <v>BatchOut_171026_r5178_FinalRel-v3-SSTSG_SSTSG\XML\</v>
      </c>
      <c r="E350" s="9" t="str">
        <f t="shared" si="1131"/>
        <v>0515315-RetlMed-SG-HPWtrHtrSplitTnkOutCprsrIns</v>
      </c>
      <c r="F350" s="22"/>
      <c r="G350" s="29"/>
      <c r="H350" s="23" t="str">
        <f t="shared" si="1132"/>
        <v/>
      </c>
      <c r="I350" s="9" t="s">
        <v>11</v>
      </c>
      <c r="J35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0" s="15" t="s">
        <v>1</v>
      </c>
      <c r="L350" s="92">
        <f t="shared" si="1135"/>
        <v>1</v>
      </c>
      <c r="M350" s="91" t="str">
        <f t="shared" si="1133"/>
        <v>0515315-RetlMed-SG-HPWtrHtrSplitTnkOutCprsrIns</v>
      </c>
      <c r="N350" s="90" t="s">
        <v>249</v>
      </c>
      <c r="O350" s="90" t="str">
        <f t="shared" si="1097"/>
        <v>0515315-RetlMed-SG-HPWtrHtrSplitTnkOutCprsrIns</v>
      </c>
      <c r="P350" s="92">
        <f t="shared" si="1142"/>
        <v>1</v>
      </c>
      <c r="Q350" s="92">
        <f t="shared" si="1142"/>
        <v>1</v>
      </c>
      <c r="R350" s="92">
        <f t="shared" si="1142"/>
        <v>0</v>
      </c>
      <c r="S350" s="92">
        <f t="shared" si="1142"/>
        <v>1</v>
      </c>
      <c r="T350" s="92">
        <f t="shared" si="1142"/>
        <v>0</v>
      </c>
      <c r="U350" s="92">
        <f t="shared" si="1142"/>
        <v>8</v>
      </c>
      <c r="V350" s="92">
        <f t="shared" si="1142"/>
        <v>8</v>
      </c>
      <c r="W350" s="92">
        <f t="shared" si="1142"/>
        <v>1</v>
      </c>
      <c r="X350" s="92">
        <f t="shared" si="1142"/>
        <v>0</v>
      </c>
      <c r="Y350" s="92">
        <f t="shared" si="1142"/>
        <v>0</v>
      </c>
      <c r="Z350" s="92">
        <f t="shared" si="1142"/>
        <v>0</v>
      </c>
      <c r="AA350" s="92">
        <f t="shared" si="1142"/>
        <v>0</v>
      </c>
      <c r="AB350" s="92">
        <f t="shared" si="1142"/>
        <v>1</v>
      </c>
      <c r="AC350" s="92">
        <f t="shared" si="1142"/>
        <v>0</v>
      </c>
      <c r="AD350" s="92">
        <f t="shared" si="1142"/>
        <v>1</v>
      </c>
      <c r="AE350" s="92">
        <f t="shared" si="1142"/>
        <v>0</v>
      </c>
      <c r="AF350" s="92">
        <f t="shared" si="1142"/>
        <v>0</v>
      </c>
      <c r="AG350" s="92">
        <f t="shared" si="1142"/>
        <v>0</v>
      </c>
      <c r="AH350" s="92">
        <f t="shared" si="1142"/>
        <v>0</v>
      </c>
      <c r="AI350" s="92">
        <f t="shared" si="1142"/>
        <v>0</v>
      </c>
      <c r="AJ350" s="92">
        <f t="shared" si="1142"/>
        <v>0</v>
      </c>
      <c r="AK350" s="92">
        <f t="shared" si="1142"/>
        <v>0</v>
      </c>
      <c r="AL350" s="92">
        <f t="shared" si="1142"/>
        <v>0</v>
      </c>
      <c r="AM350" s="92">
        <f t="shared" si="1142"/>
        <v>0</v>
      </c>
      <c r="AN350" s="92">
        <f t="shared" si="1142"/>
        <v>0</v>
      </c>
      <c r="AO350" s="92">
        <f t="shared" si="1142"/>
        <v>0</v>
      </c>
      <c r="AP350" s="92">
        <f t="shared" si="1142"/>
        <v>0</v>
      </c>
      <c r="AQ350" s="92">
        <f t="shared" si="1142"/>
        <v>0</v>
      </c>
      <c r="AR350" s="92">
        <f t="shared" si="1142"/>
        <v>0</v>
      </c>
      <c r="AS350" s="31" t="str">
        <f t="shared" si="1099"/>
        <v>SimulationStorage,1,</v>
      </c>
      <c r="AT350" s="31" t="str">
        <f t="shared" si="1100"/>
        <v>AnalysisStorage,1,</v>
      </c>
      <c r="AU350" s="31" t="str">
        <f t="shared" si="1101"/>
        <v>LogRuleEvaluation,0,</v>
      </c>
      <c r="AV350" s="31" t="str">
        <f t="shared" si="1102"/>
        <v>ParallelSimulations,1,</v>
      </c>
      <c r="AW350" s="31" t="str">
        <f t="shared" si="1103"/>
        <v>DurationStats,0,</v>
      </c>
      <c r="AX350" s="31" t="str">
        <f t="shared" si="1104"/>
        <v>AnalysisThruStep,8,</v>
      </c>
      <c r="AY350" s="31" t="str">
        <f t="shared" si="1105"/>
        <v>DontAbortOnErrorsThruStep,8,</v>
      </c>
      <c r="AZ350" s="31" t="str">
        <f t="shared" si="1106"/>
        <v>BypassValidFileChecks,1,</v>
      </c>
      <c r="BA350" s="31" t="str">
        <f t="shared" si="1107"/>
        <v>BypassInputChecks,0,</v>
      </c>
      <c r="BB350" s="31" t="str">
        <f t="shared" si="1108"/>
        <v>BypassUMLHChecks,0,</v>
      </c>
      <c r="BC350" s="31" t="str">
        <f t="shared" si="1109"/>
        <v>BypassCheckSimRules,0,</v>
      </c>
      <c r="BD350" s="31" t="str">
        <f t="shared" si="1110"/>
        <v>BypassCheckCodeRules,0,</v>
      </c>
      <c r="BE350" s="31" t="str">
        <f t="shared" si="1111"/>
        <v>StoreResultsToModelInput,1,</v>
      </c>
      <c r="BF350" s="31" t="str">
        <f t="shared" si="1112"/>
        <v>StoreBEMDetails,0,</v>
      </c>
      <c r="BG350" s="31" t="str">
        <f t="shared" si="1113"/>
        <v>ModelRpt_ALL,1,</v>
      </c>
      <c r="BH350" s="31" t="str">
        <f t="shared" si="1114"/>
        <v>ExportHourlyResults_All,0,</v>
      </c>
      <c r="BI350" s="31" t="str">
        <f t="shared" si="1115"/>
        <v>ComplianceReportPDF,0,</v>
      </c>
      <c r="BJ350" s="31" t="str">
        <f t="shared" si="1116"/>
        <v>ComplianceReportXML,0,</v>
      </c>
      <c r="BK350" s="31" t="str">
        <f t="shared" si="1117"/>
        <v>QuickAnalysis,0,</v>
      </c>
      <c r="BL350" s="31" t="str">
        <f t="shared" si="1118"/>
        <v>PromptUserUMLHWarning,0,</v>
      </c>
      <c r="BM350" s="31" t="str">
        <f t="shared" si="1119"/>
        <v>BypassOpenStudio_all,0,</v>
      </c>
      <c r="BN350" s="31" t="str">
        <f t="shared" si="1120"/>
        <v>BypassOpenStudio_zp,0,</v>
      </c>
      <c r="BO350" s="31" t="str">
        <f t="shared" si="1121"/>
        <v>BypassOpenStudio_zb,0,</v>
      </c>
      <c r="BP350" s="31" t="str">
        <f t="shared" si="1122"/>
        <v>BypassOpenStudio_ap,0,</v>
      </c>
      <c r="BQ350" s="31" t="str">
        <f t="shared" si="1123"/>
        <v>BypassOpenStudio_ab,0,</v>
      </c>
      <c r="BR350" s="31" t="str">
        <f t="shared" si="1124"/>
        <v>BypassOpenStudio_zp,0,</v>
      </c>
      <c r="BS350" s="31" t="str">
        <f t="shared" si="1125"/>
        <v>BypassOpenStudio_zb,0,</v>
      </c>
      <c r="BT350" s="31" t="str">
        <f t="shared" si="1126"/>
        <v>BypassOpenStudio_ap,0,</v>
      </c>
      <c r="BU350" s="31" t="str">
        <f t="shared" si="1127"/>
        <v>BypassOpenStudio_ab,0,</v>
      </c>
    </row>
    <row r="351" spans="1:73" outlineLevel="1" x14ac:dyDescent="0.25">
      <c r="A351" s="39">
        <f t="shared" si="1095"/>
        <v>1</v>
      </c>
      <c r="B351" s="27" t="str">
        <f t="shared" si="1128"/>
        <v>SoftwareSensitivity2016Tests\SimplifiedGeometry\0515415-RetlMed-SG-UEFConsumerStoGas.cibd16</v>
      </c>
      <c r="C351" s="27" t="str">
        <f t="shared" si="1129"/>
        <v>BatchOut_171026_r5178_FinalRel-v3-SSTSG_SSTSG\0515415-RetlMed-SG-UEFConsumerStoGas.cibd16</v>
      </c>
      <c r="D351" s="27" t="str">
        <f t="shared" si="1130"/>
        <v>BatchOut_171026_r5178_FinalRel-v3-SSTSG_SSTSG\XML\</v>
      </c>
      <c r="E351" s="9" t="str">
        <f t="shared" si="1131"/>
        <v>0515415-RetlMed-SG-UEFConsumerStoGas</v>
      </c>
      <c r="F351" s="22"/>
      <c r="G351" s="29"/>
      <c r="H351" s="23" t="str">
        <f t="shared" si="1132"/>
        <v/>
      </c>
      <c r="I351" s="9" t="s">
        <v>11</v>
      </c>
      <c r="J35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1" s="15" t="s">
        <v>1</v>
      </c>
      <c r="L351" s="92">
        <f t="shared" si="1135"/>
        <v>1</v>
      </c>
      <c r="M351" s="91" t="str">
        <f t="shared" si="1133"/>
        <v>0515415-RetlMed-SG-UEFConsumerStoGas</v>
      </c>
      <c r="N351" s="90" t="s">
        <v>250</v>
      </c>
      <c r="O351" s="90" t="str">
        <f t="shared" si="1097"/>
        <v>0515415-RetlMed-SG-UEFConsumerStoGas</v>
      </c>
      <c r="P351" s="92">
        <f t="shared" si="1142"/>
        <v>1</v>
      </c>
      <c r="Q351" s="92">
        <f t="shared" si="1142"/>
        <v>1</v>
      </c>
      <c r="R351" s="92">
        <f t="shared" si="1142"/>
        <v>0</v>
      </c>
      <c r="S351" s="92">
        <f t="shared" si="1142"/>
        <v>1</v>
      </c>
      <c r="T351" s="92">
        <f t="shared" si="1142"/>
        <v>0</v>
      </c>
      <c r="U351" s="92">
        <f t="shared" si="1142"/>
        <v>8</v>
      </c>
      <c r="V351" s="92">
        <f t="shared" si="1142"/>
        <v>8</v>
      </c>
      <c r="W351" s="92">
        <f t="shared" si="1142"/>
        <v>1</v>
      </c>
      <c r="X351" s="92">
        <f t="shared" si="1142"/>
        <v>0</v>
      </c>
      <c r="Y351" s="92">
        <f t="shared" si="1142"/>
        <v>0</v>
      </c>
      <c r="Z351" s="92">
        <f t="shared" si="1142"/>
        <v>0</v>
      </c>
      <c r="AA351" s="92">
        <f t="shared" si="1142"/>
        <v>0</v>
      </c>
      <c r="AB351" s="92">
        <f t="shared" si="1142"/>
        <v>1</v>
      </c>
      <c r="AC351" s="92">
        <f t="shared" si="1142"/>
        <v>0</v>
      </c>
      <c r="AD351" s="92">
        <f t="shared" si="1142"/>
        <v>1</v>
      </c>
      <c r="AE351" s="92">
        <f t="shared" si="1142"/>
        <v>0</v>
      </c>
      <c r="AF351" s="92">
        <f t="shared" si="1142"/>
        <v>0</v>
      </c>
      <c r="AG351" s="92">
        <f t="shared" si="1142"/>
        <v>0</v>
      </c>
      <c r="AH351" s="92">
        <f t="shared" si="1142"/>
        <v>0</v>
      </c>
      <c r="AI351" s="92">
        <f t="shared" si="1142"/>
        <v>0</v>
      </c>
      <c r="AJ351" s="92">
        <f t="shared" si="1142"/>
        <v>0</v>
      </c>
      <c r="AK351" s="92">
        <f t="shared" si="1142"/>
        <v>0</v>
      </c>
      <c r="AL351" s="92">
        <f t="shared" si="1142"/>
        <v>0</v>
      </c>
      <c r="AM351" s="92">
        <f t="shared" si="1142"/>
        <v>0</v>
      </c>
      <c r="AN351" s="92">
        <f t="shared" si="1142"/>
        <v>0</v>
      </c>
      <c r="AO351" s="92">
        <f t="shared" si="1142"/>
        <v>0</v>
      </c>
      <c r="AP351" s="92">
        <f t="shared" si="1142"/>
        <v>0</v>
      </c>
      <c r="AQ351" s="92">
        <f t="shared" si="1142"/>
        <v>0</v>
      </c>
      <c r="AR351" s="92">
        <f t="shared" si="1142"/>
        <v>0</v>
      </c>
      <c r="AS351" s="31" t="str">
        <f t="shared" si="1099"/>
        <v>SimulationStorage,1,</v>
      </c>
      <c r="AT351" s="31" t="str">
        <f t="shared" si="1100"/>
        <v>AnalysisStorage,1,</v>
      </c>
      <c r="AU351" s="31" t="str">
        <f t="shared" si="1101"/>
        <v>LogRuleEvaluation,0,</v>
      </c>
      <c r="AV351" s="31" t="str">
        <f t="shared" si="1102"/>
        <v>ParallelSimulations,1,</v>
      </c>
      <c r="AW351" s="31" t="str">
        <f t="shared" si="1103"/>
        <v>DurationStats,0,</v>
      </c>
      <c r="AX351" s="31" t="str">
        <f t="shared" si="1104"/>
        <v>AnalysisThruStep,8,</v>
      </c>
      <c r="AY351" s="31" t="str">
        <f t="shared" si="1105"/>
        <v>DontAbortOnErrorsThruStep,8,</v>
      </c>
      <c r="AZ351" s="31" t="str">
        <f t="shared" si="1106"/>
        <v>BypassValidFileChecks,1,</v>
      </c>
      <c r="BA351" s="31" t="str">
        <f t="shared" si="1107"/>
        <v>BypassInputChecks,0,</v>
      </c>
      <c r="BB351" s="31" t="str">
        <f t="shared" si="1108"/>
        <v>BypassUMLHChecks,0,</v>
      </c>
      <c r="BC351" s="31" t="str">
        <f t="shared" si="1109"/>
        <v>BypassCheckSimRules,0,</v>
      </c>
      <c r="BD351" s="31" t="str">
        <f t="shared" si="1110"/>
        <v>BypassCheckCodeRules,0,</v>
      </c>
      <c r="BE351" s="31" t="str">
        <f t="shared" si="1111"/>
        <v>StoreResultsToModelInput,1,</v>
      </c>
      <c r="BF351" s="31" t="str">
        <f t="shared" si="1112"/>
        <v>StoreBEMDetails,0,</v>
      </c>
      <c r="BG351" s="31" t="str">
        <f t="shared" si="1113"/>
        <v>ModelRpt_ALL,1,</v>
      </c>
      <c r="BH351" s="31" t="str">
        <f t="shared" si="1114"/>
        <v>ExportHourlyResults_All,0,</v>
      </c>
      <c r="BI351" s="31" t="str">
        <f t="shared" si="1115"/>
        <v>ComplianceReportPDF,0,</v>
      </c>
      <c r="BJ351" s="31" t="str">
        <f t="shared" si="1116"/>
        <v>ComplianceReportXML,0,</v>
      </c>
      <c r="BK351" s="31" t="str">
        <f t="shared" si="1117"/>
        <v>QuickAnalysis,0,</v>
      </c>
      <c r="BL351" s="31" t="str">
        <f t="shared" si="1118"/>
        <v>PromptUserUMLHWarning,0,</v>
      </c>
      <c r="BM351" s="31" t="str">
        <f t="shared" si="1119"/>
        <v>BypassOpenStudio_all,0,</v>
      </c>
      <c r="BN351" s="31" t="str">
        <f t="shared" si="1120"/>
        <v>BypassOpenStudio_zp,0,</v>
      </c>
      <c r="BO351" s="31" t="str">
        <f t="shared" si="1121"/>
        <v>BypassOpenStudio_zb,0,</v>
      </c>
      <c r="BP351" s="31" t="str">
        <f t="shared" si="1122"/>
        <v>BypassOpenStudio_ap,0,</v>
      </c>
      <c r="BQ351" s="31" t="str">
        <f t="shared" si="1123"/>
        <v>BypassOpenStudio_ab,0,</v>
      </c>
      <c r="BR351" s="31" t="str">
        <f t="shared" si="1124"/>
        <v>BypassOpenStudio_zp,0,</v>
      </c>
      <c r="BS351" s="31" t="str">
        <f t="shared" si="1125"/>
        <v>BypassOpenStudio_zb,0,</v>
      </c>
      <c r="BT351" s="31" t="str">
        <f t="shared" si="1126"/>
        <v>BypassOpenStudio_ap,0,</v>
      </c>
      <c r="BU351" s="31" t="str">
        <f t="shared" si="1127"/>
        <v>BypassOpenStudio_ab,0,</v>
      </c>
    </row>
    <row r="352" spans="1:73" outlineLevel="1" x14ac:dyDescent="0.25">
      <c r="A352" s="39">
        <f t="shared" si="1095"/>
        <v>1</v>
      </c>
      <c r="B352" s="27" t="str">
        <f t="shared" si="1128"/>
        <v>SoftwareSensitivity2016Tests\SimplifiedGeometry\0515515-RetlMed-SG-UEFConsumerInstGas.cibd16</v>
      </c>
      <c r="C352" s="27" t="str">
        <f t="shared" si="1129"/>
        <v>BatchOut_171026_r5178_FinalRel-v3-SSTSG_SSTSG\0515515-RetlMed-SG-UEFConsumerInstGas.cibd16</v>
      </c>
      <c r="D352" s="27" t="str">
        <f t="shared" si="1130"/>
        <v>BatchOut_171026_r5178_FinalRel-v3-SSTSG_SSTSG\XML\</v>
      </c>
      <c r="E352" s="9" t="str">
        <f t="shared" si="1131"/>
        <v>0515515-RetlMed-SG-UEFConsumerInstGas</v>
      </c>
      <c r="F352" s="22"/>
      <c r="G352" s="29"/>
      <c r="H352" s="23" t="str">
        <f t="shared" si="1132"/>
        <v/>
      </c>
      <c r="I352" s="9" t="s">
        <v>11</v>
      </c>
      <c r="J35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2" s="15" t="s">
        <v>1</v>
      </c>
      <c r="L352" s="92">
        <f t="shared" si="1135"/>
        <v>1</v>
      </c>
      <c r="M352" s="91" t="str">
        <f t="shared" si="1133"/>
        <v>0515515-RetlMed-SG-UEFConsumerInstGas</v>
      </c>
      <c r="N352" s="90" t="s">
        <v>251</v>
      </c>
      <c r="O352" s="90" t="str">
        <f t="shared" si="1097"/>
        <v>0515515-RetlMed-SG-UEFConsumerInstGas</v>
      </c>
      <c r="P352" s="92">
        <f t="shared" si="1142"/>
        <v>1</v>
      </c>
      <c r="Q352" s="92">
        <f t="shared" si="1142"/>
        <v>1</v>
      </c>
      <c r="R352" s="92">
        <f t="shared" si="1142"/>
        <v>0</v>
      </c>
      <c r="S352" s="92">
        <f t="shared" si="1142"/>
        <v>1</v>
      </c>
      <c r="T352" s="92">
        <f t="shared" si="1142"/>
        <v>0</v>
      </c>
      <c r="U352" s="92">
        <f t="shared" si="1142"/>
        <v>8</v>
      </c>
      <c r="V352" s="92">
        <f t="shared" si="1142"/>
        <v>8</v>
      </c>
      <c r="W352" s="92">
        <f t="shared" si="1142"/>
        <v>1</v>
      </c>
      <c r="X352" s="92">
        <f t="shared" si="1142"/>
        <v>0</v>
      </c>
      <c r="Y352" s="92">
        <f t="shared" si="1142"/>
        <v>0</v>
      </c>
      <c r="Z352" s="92">
        <f t="shared" si="1142"/>
        <v>0</v>
      </c>
      <c r="AA352" s="92">
        <f t="shared" si="1142"/>
        <v>0</v>
      </c>
      <c r="AB352" s="92">
        <f t="shared" si="1142"/>
        <v>1</v>
      </c>
      <c r="AC352" s="92">
        <f t="shared" si="1142"/>
        <v>0</v>
      </c>
      <c r="AD352" s="92">
        <f t="shared" si="1142"/>
        <v>1</v>
      </c>
      <c r="AE352" s="92">
        <f t="shared" si="1142"/>
        <v>0</v>
      </c>
      <c r="AF352" s="92">
        <f t="shared" si="1142"/>
        <v>0</v>
      </c>
      <c r="AG352" s="92">
        <f t="shared" si="1142"/>
        <v>0</v>
      </c>
      <c r="AH352" s="92">
        <f t="shared" si="1142"/>
        <v>0</v>
      </c>
      <c r="AI352" s="92">
        <f t="shared" si="1142"/>
        <v>0</v>
      </c>
      <c r="AJ352" s="92">
        <f t="shared" si="1142"/>
        <v>0</v>
      </c>
      <c r="AK352" s="92">
        <f t="shared" si="1142"/>
        <v>0</v>
      </c>
      <c r="AL352" s="92">
        <f t="shared" si="1142"/>
        <v>0</v>
      </c>
      <c r="AM352" s="92">
        <f t="shared" si="1142"/>
        <v>0</v>
      </c>
      <c r="AN352" s="92">
        <f t="shared" si="1142"/>
        <v>0</v>
      </c>
      <c r="AO352" s="92">
        <f t="shared" si="1142"/>
        <v>0</v>
      </c>
      <c r="AP352" s="92">
        <f t="shared" si="1142"/>
        <v>0</v>
      </c>
      <c r="AQ352" s="92">
        <f t="shared" si="1142"/>
        <v>0</v>
      </c>
      <c r="AR352" s="92">
        <f t="shared" si="1142"/>
        <v>0</v>
      </c>
      <c r="AS352" s="31" t="str">
        <f t="shared" si="1099"/>
        <v>SimulationStorage,1,</v>
      </c>
      <c r="AT352" s="31" t="str">
        <f t="shared" si="1100"/>
        <v>AnalysisStorage,1,</v>
      </c>
      <c r="AU352" s="31" t="str">
        <f t="shared" si="1101"/>
        <v>LogRuleEvaluation,0,</v>
      </c>
      <c r="AV352" s="31" t="str">
        <f t="shared" si="1102"/>
        <v>ParallelSimulations,1,</v>
      </c>
      <c r="AW352" s="31" t="str">
        <f t="shared" si="1103"/>
        <v>DurationStats,0,</v>
      </c>
      <c r="AX352" s="31" t="str">
        <f t="shared" si="1104"/>
        <v>AnalysisThruStep,8,</v>
      </c>
      <c r="AY352" s="31" t="str">
        <f t="shared" si="1105"/>
        <v>DontAbortOnErrorsThruStep,8,</v>
      </c>
      <c r="AZ352" s="31" t="str">
        <f t="shared" si="1106"/>
        <v>BypassValidFileChecks,1,</v>
      </c>
      <c r="BA352" s="31" t="str">
        <f t="shared" si="1107"/>
        <v>BypassInputChecks,0,</v>
      </c>
      <c r="BB352" s="31" t="str">
        <f t="shared" si="1108"/>
        <v>BypassUMLHChecks,0,</v>
      </c>
      <c r="BC352" s="31" t="str">
        <f t="shared" si="1109"/>
        <v>BypassCheckSimRules,0,</v>
      </c>
      <c r="BD352" s="31" t="str">
        <f t="shared" si="1110"/>
        <v>BypassCheckCodeRules,0,</v>
      </c>
      <c r="BE352" s="31" t="str">
        <f t="shared" si="1111"/>
        <v>StoreResultsToModelInput,1,</v>
      </c>
      <c r="BF352" s="31" t="str">
        <f t="shared" si="1112"/>
        <v>StoreBEMDetails,0,</v>
      </c>
      <c r="BG352" s="31" t="str">
        <f t="shared" si="1113"/>
        <v>ModelRpt_ALL,1,</v>
      </c>
      <c r="BH352" s="31" t="str">
        <f t="shared" si="1114"/>
        <v>ExportHourlyResults_All,0,</v>
      </c>
      <c r="BI352" s="31" t="str">
        <f t="shared" si="1115"/>
        <v>ComplianceReportPDF,0,</v>
      </c>
      <c r="BJ352" s="31" t="str">
        <f t="shared" si="1116"/>
        <v>ComplianceReportXML,0,</v>
      </c>
      <c r="BK352" s="31" t="str">
        <f t="shared" si="1117"/>
        <v>QuickAnalysis,0,</v>
      </c>
      <c r="BL352" s="31" t="str">
        <f t="shared" si="1118"/>
        <v>PromptUserUMLHWarning,0,</v>
      </c>
      <c r="BM352" s="31" t="str">
        <f t="shared" si="1119"/>
        <v>BypassOpenStudio_all,0,</v>
      </c>
      <c r="BN352" s="31" t="str">
        <f t="shared" si="1120"/>
        <v>BypassOpenStudio_zp,0,</v>
      </c>
      <c r="BO352" s="31" t="str">
        <f t="shared" si="1121"/>
        <v>BypassOpenStudio_zb,0,</v>
      </c>
      <c r="BP352" s="31" t="str">
        <f t="shared" si="1122"/>
        <v>BypassOpenStudio_ap,0,</v>
      </c>
      <c r="BQ352" s="31" t="str">
        <f t="shared" si="1123"/>
        <v>BypassOpenStudio_ab,0,</v>
      </c>
      <c r="BR352" s="31" t="str">
        <f t="shared" si="1124"/>
        <v>BypassOpenStudio_zp,0,</v>
      </c>
      <c r="BS352" s="31" t="str">
        <f t="shared" si="1125"/>
        <v>BypassOpenStudio_zb,0,</v>
      </c>
      <c r="BT352" s="31" t="str">
        <f t="shared" si="1126"/>
        <v>BypassOpenStudio_ap,0,</v>
      </c>
      <c r="BU352" s="31" t="str">
        <f t="shared" si="1127"/>
        <v>BypassOpenStudio_ab,0,</v>
      </c>
    </row>
    <row r="353" spans="1:73" outlineLevel="1" x14ac:dyDescent="0.25">
      <c r="A353" s="39">
        <f t="shared" si="1095"/>
        <v>1</v>
      </c>
      <c r="B353" s="27" t="str">
        <f t="shared" si="1128"/>
        <v>SoftwareSensitivity2016Tests\SimplifiedGeometry\0515615-RetlMed-SG-UEFConsumerStoElec.cibd16</v>
      </c>
      <c r="C353" s="27" t="str">
        <f t="shared" si="1129"/>
        <v>BatchOut_171026_r5178_FinalRel-v3-SSTSG_SSTSG\0515615-RetlMed-SG-UEFConsumerStoElec.cibd16</v>
      </c>
      <c r="D353" s="27" t="str">
        <f t="shared" si="1130"/>
        <v>BatchOut_171026_r5178_FinalRel-v3-SSTSG_SSTSG\XML\</v>
      </c>
      <c r="E353" s="9" t="str">
        <f t="shared" si="1131"/>
        <v>0515615-RetlMed-SG-UEFConsumerStoElec</v>
      </c>
      <c r="F353" s="22"/>
      <c r="G353" s="29"/>
      <c r="H353" s="23" t="str">
        <f t="shared" si="1132"/>
        <v/>
      </c>
      <c r="I353" s="9" t="s">
        <v>11</v>
      </c>
      <c r="J35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3" s="15" t="s">
        <v>1</v>
      </c>
      <c r="L353" s="92">
        <f t="shared" si="1135"/>
        <v>1</v>
      </c>
      <c r="M353" s="91" t="str">
        <f t="shared" si="1133"/>
        <v>0515615-RetlMed-SG-UEFConsumerStoElec</v>
      </c>
      <c r="N353" s="90" t="s">
        <v>252</v>
      </c>
      <c r="O353" s="90" t="str">
        <f t="shared" si="1097"/>
        <v>0515615-RetlMed-SG-UEFConsumerStoElec</v>
      </c>
      <c r="P353" s="92">
        <f t="shared" si="1142"/>
        <v>1</v>
      </c>
      <c r="Q353" s="92">
        <f t="shared" si="1142"/>
        <v>1</v>
      </c>
      <c r="R353" s="92">
        <f t="shared" si="1142"/>
        <v>0</v>
      </c>
      <c r="S353" s="92">
        <f t="shared" si="1142"/>
        <v>1</v>
      </c>
      <c r="T353" s="92">
        <f t="shared" si="1142"/>
        <v>0</v>
      </c>
      <c r="U353" s="92">
        <f t="shared" si="1142"/>
        <v>8</v>
      </c>
      <c r="V353" s="92">
        <f t="shared" si="1142"/>
        <v>8</v>
      </c>
      <c r="W353" s="92">
        <f t="shared" si="1142"/>
        <v>1</v>
      </c>
      <c r="X353" s="92">
        <f t="shared" si="1142"/>
        <v>0</v>
      </c>
      <c r="Y353" s="92">
        <f t="shared" si="1142"/>
        <v>0</v>
      </c>
      <c r="Z353" s="92">
        <f t="shared" si="1142"/>
        <v>0</v>
      </c>
      <c r="AA353" s="92">
        <f t="shared" si="1142"/>
        <v>0</v>
      </c>
      <c r="AB353" s="92">
        <f t="shared" si="1142"/>
        <v>1</v>
      </c>
      <c r="AC353" s="92">
        <f t="shared" si="1142"/>
        <v>0</v>
      </c>
      <c r="AD353" s="92">
        <f t="shared" si="1142"/>
        <v>1</v>
      </c>
      <c r="AE353" s="92">
        <f t="shared" si="1142"/>
        <v>0</v>
      </c>
      <c r="AF353" s="92">
        <f t="shared" si="1142"/>
        <v>0</v>
      </c>
      <c r="AG353" s="92">
        <f t="shared" si="1142"/>
        <v>0</v>
      </c>
      <c r="AH353" s="92">
        <f t="shared" si="1142"/>
        <v>0</v>
      </c>
      <c r="AI353" s="92">
        <f t="shared" si="1142"/>
        <v>0</v>
      </c>
      <c r="AJ353" s="92">
        <f t="shared" si="1142"/>
        <v>0</v>
      </c>
      <c r="AK353" s="92">
        <f t="shared" si="1142"/>
        <v>0</v>
      </c>
      <c r="AL353" s="92">
        <f t="shared" si="1142"/>
        <v>0</v>
      </c>
      <c r="AM353" s="92">
        <f t="shared" si="1142"/>
        <v>0</v>
      </c>
      <c r="AN353" s="92">
        <f t="shared" si="1142"/>
        <v>0</v>
      </c>
      <c r="AO353" s="92">
        <f t="shared" ref="AO353:AR368" si="1143">AO352</f>
        <v>0</v>
      </c>
      <c r="AP353" s="92">
        <f t="shared" si="1143"/>
        <v>0</v>
      </c>
      <c r="AQ353" s="92">
        <f t="shared" si="1143"/>
        <v>0</v>
      </c>
      <c r="AR353" s="92">
        <f t="shared" si="1143"/>
        <v>0</v>
      </c>
      <c r="AS353" s="31" t="str">
        <f t="shared" si="1099"/>
        <v>SimulationStorage,1,</v>
      </c>
      <c r="AT353" s="31" t="str">
        <f t="shared" si="1100"/>
        <v>AnalysisStorage,1,</v>
      </c>
      <c r="AU353" s="31" t="str">
        <f t="shared" si="1101"/>
        <v>LogRuleEvaluation,0,</v>
      </c>
      <c r="AV353" s="31" t="str">
        <f t="shared" si="1102"/>
        <v>ParallelSimulations,1,</v>
      </c>
      <c r="AW353" s="31" t="str">
        <f t="shared" si="1103"/>
        <v>DurationStats,0,</v>
      </c>
      <c r="AX353" s="31" t="str">
        <f t="shared" si="1104"/>
        <v>AnalysisThruStep,8,</v>
      </c>
      <c r="AY353" s="31" t="str">
        <f t="shared" si="1105"/>
        <v>DontAbortOnErrorsThruStep,8,</v>
      </c>
      <c r="AZ353" s="31" t="str">
        <f t="shared" si="1106"/>
        <v>BypassValidFileChecks,1,</v>
      </c>
      <c r="BA353" s="31" t="str">
        <f t="shared" si="1107"/>
        <v>BypassInputChecks,0,</v>
      </c>
      <c r="BB353" s="31" t="str">
        <f t="shared" si="1108"/>
        <v>BypassUMLHChecks,0,</v>
      </c>
      <c r="BC353" s="31" t="str">
        <f t="shared" si="1109"/>
        <v>BypassCheckSimRules,0,</v>
      </c>
      <c r="BD353" s="31" t="str">
        <f t="shared" si="1110"/>
        <v>BypassCheckCodeRules,0,</v>
      </c>
      <c r="BE353" s="31" t="str">
        <f t="shared" si="1111"/>
        <v>StoreResultsToModelInput,1,</v>
      </c>
      <c r="BF353" s="31" t="str">
        <f t="shared" si="1112"/>
        <v>StoreBEMDetails,0,</v>
      </c>
      <c r="BG353" s="31" t="str">
        <f t="shared" si="1113"/>
        <v>ModelRpt_ALL,1,</v>
      </c>
      <c r="BH353" s="31" t="str">
        <f t="shared" si="1114"/>
        <v>ExportHourlyResults_All,0,</v>
      </c>
      <c r="BI353" s="31" t="str">
        <f t="shared" si="1115"/>
        <v>ComplianceReportPDF,0,</v>
      </c>
      <c r="BJ353" s="31" t="str">
        <f t="shared" si="1116"/>
        <v>ComplianceReportXML,0,</v>
      </c>
      <c r="BK353" s="31" t="str">
        <f t="shared" si="1117"/>
        <v>QuickAnalysis,0,</v>
      </c>
      <c r="BL353" s="31" t="str">
        <f t="shared" si="1118"/>
        <v>PromptUserUMLHWarning,0,</v>
      </c>
      <c r="BM353" s="31" t="str">
        <f t="shared" si="1119"/>
        <v>BypassOpenStudio_all,0,</v>
      </c>
      <c r="BN353" s="31" t="str">
        <f t="shared" si="1120"/>
        <v>BypassOpenStudio_zp,0,</v>
      </c>
      <c r="BO353" s="31" t="str">
        <f t="shared" si="1121"/>
        <v>BypassOpenStudio_zb,0,</v>
      </c>
      <c r="BP353" s="31" t="str">
        <f t="shared" si="1122"/>
        <v>BypassOpenStudio_ap,0,</v>
      </c>
      <c r="BQ353" s="31" t="str">
        <f t="shared" si="1123"/>
        <v>BypassOpenStudio_ab,0,</v>
      </c>
      <c r="BR353" s="31" t="str">
        <f t="shared" si="1124"/>
        <v>BypassOpenStudio_zp,0,</v>
      </c>
      <c r="BS353" s="31" t="str">
        <f t="shared" si="1125"/>
        <v>BypassOpenStudio_zb,0,</v>
      </c>
      <c r="BT353" s="31" t="str">
        <f t="shared" si="1126"/>
        <v>BypassOpenStudio_ap,0,</v>
      </c>
      <c r="BU353" s="31" t="str">
        <f t="shared" si="1127"/>
        <v>BypassOpenStudio_ab,0,</v>
      </c>
    </row>
    <row r="354" spans="1:73" outlineLevel="1" x14ac:dyDescent="0.25">
      <c r="A354" s="39">
        <f t="shared" si="1095"/>
        <v>1</v>
      </c>
      <c r="B354" s="27" t="str">
        <f t="shared" si="1128"/>
        <v>SoftwareSensitivity2016Tests\SimplifiedGeometry\0515715-RetlMed-SG-UEFConsumerInstElec.cibd16</v>
      </c>
      <c r="C354" s="27" t="str">
        <f t="shared" si="1129"/>
        <v>BatchOut_171026_r5178_FinalRel-v3-SSTSG_SSTSG\0515715-RetlMed-SG-UEFConsumerInstElec.cibd16</v>
      </c>
      <c r="D354" s="27" t="str">
        <f t="shared" si="1130"/>
        <v>BatchOut_171026_r5178_FinalRel-v3-SSTSG_SSTSG\XML\</v>
      </c>
      <c r="E354" s="9" t="str">
        <f t="shared" si="1131"/>
        <v>0515715-RetlMed-SG-UEFConsumerInstElec</v>
      </c>
      <c r="F354" s="22"/>
      <c r="G354" s="29"/>
      <c r="H354" s="23" t="str">
        <f t="shared" si="1132"/>
        <v/>
      </c>
      <c r="I354" s="9" t="s">
        <v>11</v>
      </c>
      <c r="J35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4" s="15" t="s">
        <v>1</v>
      </c>
      <c r="L354" s="92">
        <f t="shared" si="1135"/>
        <v>1</v>
      </c>
      <c r="M354" s="91" t="str">
        <f t="shared" si="1133"/>
        <v>0515715-RetlMed-SG-UEFConsumerInstElec</v>
      </c>
      <c r="N354" s="90" t="s">
        <v>253</v>
      </c>
      <c r="O354" s="90" t="str">
        <f t="shared" si="1097"/>
        <v>0515715-RetlMed-SG-UEFConsumerInstElec</v>
      </c>
      <c r="P354" s="92">
        <f t="shared" ref="P354:AQ363" si="1144">P353</f>
        <v>1</v>
      </c>
      <c r="Q354" s="92">
        <f t="shared" si="1144"/>
        <v>1</v>
      </c>
      <c r="R354" s="92">
        <f t="shared" si="1144"/>
        <v>0</v>
      </c>
      <c r="S354" s="92">
        <f t="shared" si="1144"/>
        <v>1</v>
      </c>
      <c r="T354" s="92">
        <f t="shared" si="1144"/>
        <v>0</v>
      </c>
      <c r="U354" s="92">
        <f t="shared" si="1144"/>
        <v>8</v>
      </c>
      <c r="V354" s="92">
        <f t="shared" si="1144"/>
        <v>8</v>
      </c>
      <c r="W354" s="92">
        <f t="shared" si="1144"/>
        <v>1</v>
      </c>
      <c r="X354" s="92">
        <f t="shared" si="1144"/>
        <v>0</v>
      </c>
      <c r="Y354" s="92">
        <f t="shared" si="1144"/>
        <v>0</v>
      </c>
      <c r="Z354" s="92">
        <f t="shared" si="1144"/>
        <v>0</v>
      </c>
      <c r="AA354" s="92">
        <f t="shared" si="1144"/>
        <v>0</v>
      </c>
      <c r="AB354" s="92">
        <f t="shared" si="1144"/>
        <v>1</v>
      </c>
      <c r="AC354" s="92">
        <f t="shared" si="1144"/>
        <v>0</v>
      </c>
      <c r="AD354" s="92">
        <f t="shared" si="1144"/>
        <v>1</v>
      </c>
      <c r="AE354" s="92">
        <f t="shared" si="1144"/>
        <v>0</v>
      </c>
      <c r="AF354" s="92">
        <f t="shared" si="1144"/>
        <v>0</v>
      </c>
      <c r="AG354" s="92">
        <f t="shared" si="1144"/>
        <v>0</v>
      </c>
      <c r="AH354" s="92">
        <f t="shared" si="1144"/>
        <v>0</v>
      </c>
      <c r="AI354" s="92">
        <f t="shared" si="1144"/>
        <v>0</v>
      </c>
      <c r="AJ354" s="92">
        <f t="shared" si="1144"/>
        <v>0</v>
      </c>
      <c r="AK354" s="92">
        <f t="shared" si="1144"/>
        <v>0</v>
      </c>
      <c r="AL354" s="92">
        <f t="shared" si="1144"/>
        <v>0</v>
      </c>
      <c r="AM354" s="92">
        <f t="shared" si="1144"/>
        <v>0</v>
      </c>
      <c r="AN354" s="92">
        <f t="shared" si="1144"/>
        <v>0</v>
      </c>
      <c r="AO354" s="92">
        <f t="shared" si="1144"/>
        <v>0</v>
      </c>
      <c r="AP354" s="92">
        <f t="shared" si="1144"/>
        <v>0</v>
      </c>
      <c r="AQ354" s="92">
        <f t="shared" si="1144"/>
        <v>0</v>
      </c>
      <c r="AR354" s="92">
        <f t="shared" si="1143"/>
        <v>0</v>
      </c>
      <c r="AS354" s="31" t="str">
        <f t="shared" si="1099"/>
        <v>SimulationStorage,1,</v>
      </c>
      <c r="AT354" s="31" t="str">
        <f t="shared" si="1100"/>
        <v>AnalysisStorage,1,</v>
      </c>
      <c r="AU354" s="31" t="str">
        <f t="shared" si="1101"/>
        <v>LogRuleEvaluation,0,</v>
      </c>
      <c r="AV354" s="31" t="str">
        <f t="shared" si="1102"/>
        <v>ParallelSimulations,1,</v>
      </c>
      <c r="AW354" s="31" t="str">
        <f t="shared" si="1103"/>
        <v>DurationStats,0,</v>
      </c>
      <c r="AX354" s="31" t="str">
        <f t="shared" si="1104"/>
        <v>AnalysisThruStep,8,</v>
      </c>
      <c r="AY354" s="31" t="str">
        <f t="shared" si="1105"/>
        <v>DontAbortOnErrorsThruStep,8,</v>
      </c>
      <c r="AZ354" s="31" t="str">
        <f t="shared" si="1106"/>
        <v>BypassValidFileChecks,1,</v>
      </c>
      <c r="BA354" s="31" t="str">
        <f t="shared" si="1107"/>
        <v>BypassInputChecks,0,</v>
      </c>
      <c r="BB354" s="31" t="str">
        <f t="shared" si="1108"/>
        <v>BypassUMLHChecks,0,</v>
      </c>
      <c r="BC354" s="31" t="str">
        <f t="shared" si="1109"/>
        <v>BypassCheckSimRules,0,</v>
      </c>
      <c r="BD354" s="31" t="str">
        <f t="shared" si="1110"/>
        <v>BypassCheckCodeRules,0,</v>
      </c>
      <c r="BE354" s="31" t="str">
        <f t="shared" si="1111"/>
        <v>StoreResultsToModelInput,1,</v>
      </c>
      <c r="BF354" s="31" t="str">
        <f t="shared" si="1112"/>
        <v>StoreBEMDetails,0,</v>
      </c>
      <c r="BG354" s="31" t="str">
        <f t="shared" si="1113"/>
        <v>ModelRpt_ALL,1,</v>
      </c>
      <c r="BH354" s="31" t="str">
        <f t="shared" si="1114"/>
        <v>ExportHourlyResults_All,0,</v>
      </c>
      <c r="BI354" s="31" t="str">
        <f t="shared" si="1115"/>
        <v>ComplianceReportPDF,0,</v>
      </c>
      <c r="BJ354" s="31" t="str">
        <f t="shared" si="1116"/>
        <v>ComplianceReportXML,0,</v>
      </c>
      <c r="BK354" s="31" t="str">
        <f t="shared" si="1117"/>
        <v>QuickAnalysis,0,</v>
      </c>
      <c r="BL354" s="31" t="str">
        <f t="shared" si="1118"/>
        <v>PromptUserUMLHWarning,0,</v>
      </c>
      <c r="BM354" s="31" t="str">
        <f t="shared" si="1119"/>
        <v>BypassOpenStudio_all,0,</v>
      </c>
      <c r="BN354" s="31" t="str">
        <f t="shared" si="1120"/>
        <v>BypassOpenStudio_zp,0,</v>
      </c>
      <c r="BO354" s="31" t="str">
        <f t="shared" si="1121"/>
        <v>BypassOpenStudio_zb,0,</v>
      </c>
      <c r="BP354" s="31" t="str">
        <f t="shared" si="1122"/>
        <v>BypassOpenStudio_ap,0,</v>
      </c>
      <c r="BQ354" s="31" t="str">
        <f t="shared" si="1123"/>
        <v>BypassOpenStudio_ab,0,</v>
      </c>
      <c r="BR354" s="31" t="str">
        <f t="shared" si="1124"/>
        <v>BypassOpenStudio_zp,0,</v>
      </c>
      <c r="BS354" s="31" t="str">
        <f t="shared" si="1125"/>
        <v>BypassOpenStudio_zb,0,</v>
      </c>
      <c r="BT354" s="31" t="str">
        <f t="shared" si="1126"/>
        <v>BypassOpenStudio_ap,0,</v>
      </c>
      <c r="BU354" s="31" t="str">
        <f t="shared" si="1127"/>
        <v>BypassOpenStudio_ab,0,</v>
      </c>
    </row>
    <row r="355" spans="1:73" outlineLevel="1" x14ac:dyDescent="0.25">
      <c r="A355" s="39">
        <f t="shared" si="1095"/>
        <v>1</v>
      </c>
      <c r="B355" s="27" t="str">
        <f t="shared" si="1128"/>
        <v>SoftwareSensitivity2016Tests\SimplifiedGeometry\0516015-RetlMed-SG-ExtWall-MtlFrmR0.cibd16</v>
      </c>
      <c r="C355" s="27" t="str">
        <f t="shared" si="1129"/>
        <v>BatchOut_171026_r5178_FinalRel-v3-SSTSG_SSTSG\0516015-RetlMed-SG-ExtWall-MtlFrmR0.cibd16</v>
      </c>
      <c r="D355" s="27" t="str">
        <f t="shared" si="1130"/>
        <v>BatchOut_171026_r5178_FinalRel-v3-SSTSG_SSTSG\XML\</v>
      </c>
      <c r="E355" s="9" t="str">
        <f t="shared" si="1131"/>
        <v>0516015-RetlMed-SG-ExtWall-MtlFrmR0</v>
      </c>
      <c r="F355" s="22"/>
      <c r="G355" s="29"/>
      <c r="H355" s="23" t="str">
        <f t="shared" si="1132"/>
        <v/>
      </c>
      <c r="I355" s="9" t="s">
        <v>11</v>
      </c>
      <c r="J35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5" s="15" t="s">
        <v>1</v>
      </c>
      <c r="L355" s="92">
        <f t="shared" si="1135"/>
        <v>1</v>
      </c>
      <c r="M355" s="91" t="str">
        <f t="shared" si="1133"/>
        <v>0516015-RetlMed-SG-ExtWall-MtlFrmR0</v>
      </c>
      <c r="N355" s="90" t="s">
        <v>254</v>
      </c>
      <c r="O355" s="90" t="str">
        <f t="shared" si="1097"/>
        <v>0516015-RetlMed-SG-ExtWall-MtlFrmR0</v>
      </c>
      <c r="P355" s="92">
        <f t="shared" si="1144"/>
        <v>1</v>
      </c>
      <c r="Q355" s="92">
        <f t="shared" si="1144"/>
        <v>1</v>
      </c>
      <c r="R355" s="92">
        <f t="shared" si="1144"/>
        <v>0</v>
      </c>
      <c r="S355" s="92">
        <f t="shared" si="1144"/>
        <v>1</v>
      </c>
      <c r="T355" s="92">
        <f t="shared" si="1144"/>
        <v>0</v>
      </c>
      <c r="U355" s="92">
        <f t="shared" si="1144"/>
        <v>8</v>
      </c>
      <c r="V355" s="92">
        <f t="shared" si="1144"/>
        <v>8</v>
      </c>
      <c r="W355" s="92">
        <f t="shared" si="1144"/>
        <v>1</v>
      </c>
      <c r="X355" s="92">
        <f t="shared" si="1144"/>
        <v>0</v>
      </c>
      <c r="Y355" s="92">
        <f t="shared" si="1144"/>
        <v>0</v>
      </c>
      <c r="Z355" s="92">
        <f t="shared" si="1144"/>
        <v>0</v>
      </c>
      <c r="AA355" s="92">
        <f t="shared" si="1144"/>
        <v>0</v>
      </c>
      <c r="AB355" s="92">
        <f t="shared" si="1144"/>
        <v>1</v>
      </c>
      <c r="AC355" s="92">
        <f t="shared" si="1144"/>
        <v>0</v>
      </c>
      <c r="AD355" s="92">
        <f t="shared" si="1144"/>
        <v>1</v>
      </c>
      <c r="AE355" s="92">
        <f t="shared" si="1144"/>
        <v>0</v>
      </c>
      <c r="AF355" s="92">
        <f t="shared" si="1144"/>
        <v>0</v>
      </c>
      <c r="AG355" s="92">
        <f t="shared" si="1144"/>
        <v>0</v>
      </c>
      <c r="AH355" s="92">
        <f t="shared" si="1144"/>
        <v>0</v>
      </c>
      <c r="AI355" s="92">
        <f t="shared" si="1144"/>
        <v>0</v>
      </c>
      <c r="AJ355" s="92">
        <f t="shared" si="1144"/>
        <v>0</v>
      </c>
      <c r="AK355" s="92">
        <f t="shared" si="1144"/>
        <v>0</v>
      </c>
      <c r="AL355" s="92">
        <f t="shared" si="1144"/>
        <v>0</v>
      </c>
      <c r="AM355" s="92">
        <f t="shared" si="1144"/>
        <v>0</v>
      </c>
      <c r="AN355" s="92">
        <f t="shared" si="1144"/>
        <v>0</v>
      </c>
      <c r="AO355" s="92">
        <f t="shared" si="1144"/>
        <v>0</v>
      </c>
      <c r="AP355" s="92">
        <f t="shared" si="1144"/>
        <v>0</v>
      </c>
      <c r="AQ355" s="92">
        <f t="shared" si="1144"/>
        <v>0</v>
      </c>
      <c r="AR355" s="92">
        <f t="shared" si="1143"/>
        <v>0</v>
      </c>
      <c r="AS355" s="31" t="str">
        <f t="shared" si="1099"/>
        <v>SimulationStorage,1,</v>
      </c>
      <c r="AT355" s="31" t="str">
        <f t="shared" si="1100"/>
        <v>AnalysisStorage,1,</v>
      </c>
      <c r="AU355" s="31" t="str">
        <f t="shared" si="1101"/>
        <v>LogRuleEvaluation,0,</v>
      </c>
      <c r="AV355" s="31" t="str">
        <f t="shared" si="1102"/>
        <v>ParallelSimulations,1,</v>
      </c>
      <c r="AW355" s="31" t="str">
        <f t="shared" si="1103"/>
        <v>DurationStats,0,</v>
      </c>
      <c r="AX355" s="31" t="str">
        <f t="shared" si="1104"/>
        <v>AnalysisThruStep,8,</v>
      </c>
      <c r="AY355" s="31" t="str">
        <f t="shared" si="1105"/>
        <v>DontAbortOnErrorsThruStep,8,</v>
      </c>
      <c r="AZ355" s="31" t="str">
        <f t="shared" si="1106"/>
        <v>BypassValidFileChecks,1,</v>
      </c>
      <c r="BA355" s="31" t="str">
        <f t="shared" si="1107"/>
        <v>BypassInputChecks,0,</v>
      </c>
      <c r="BB355" s="31" t="str">
        <f t="shared" si="1108"/>
        <v>BypassUMLHChecks,0,</v>
      </c>
      <c r="BC355" s="31" t="str">
        <f t="shared" si="1109"/>
        <v>BypassCheckSimRules,0,</v>
      </c>
      <c r="BD355" s="31" t="str">
        <f t="shared" si="1110"/>
        <v>BypassCheckCodeRules,0,</v>
      </c>
      <c r="BE355" s="31" t="str">
        <f t="shared" si="1111"/>
        <v>StoreResultsToModelInput,1,</v>
      </c>
      <c r="BF355" s="31" t="str">
        <f t="shared" si="1112"/>
        <v>StoreBEMDetails,0,</v>
      </c>
      <c r="BG355" s="31" t="str">
        <f t="shared" si="1113"/>
        <v>ModelRpt_ALL,1,</v>
      </c>
      <c r="BH355" s="31" t="str">
        <f t="shared" si="1114"/>
        <v>ExportHourlyResults_All,0,</v>
      </c>
      <c r="BI355" s="31" t="str">
        <f t="shared" si="1115"/>
        <v>ComplianceReportPDF,0,</v>
      </c>
      <c r="BJ355" s="31" t="str">
        <f t="shared" si="1116"/>
        <v>ComplianceReportXML,0,</v>
      </c>
      <c r="BK355" s="31" t="str">
        <f t="shared" si="1117"/>
        <v>QuickAnalysis,0,</v>
      </c>
      <c r="BL355" s="31" t="str">
        <f t="shared" si="1118"/>
        <v>PromptUserUMLHWarning,0,</v>
      </c>
      <c r="BM355" s="31" t="str">
        <f t="shared" si="1119"/>
        <v>BypassOpenStudio_all,0,</v>
      </c>
      <c r="BN355" s="31" t="str">
        <f t="shared" si="1120"/>
        <v>BypassOpenStudio_zp,0,</v>
      </c>
      <c r="BO355" s="31" t="str">
        <f t="shared" si="1121"/>
        <v>BypassOpenStudio_zb,0,</v>
      </c>
      <c r="BP355" s="31" t="str">
        <f t="shared" si="1122"/>
        <v>BypassOpenStudio_ap,0,</v>
      </c>
      <c r="BQ355" s="31" t="str">
        <f t="shared" si="1123"/>
        <v>BypassOpenStudio_ab,0,</v>
      </c>
      <c r="BR355" s="31" t="str">
        <f t="shared" si="1124"/>
        <v>BypassOpenStudio_zp,0,</v>
      </c>
      <c r="BS355" s="31" t="str">
        <f t="shared" si="1125"/>
        <v>BypassOpenStudio_zb,0,</v>
      </c>
      <c r="BT355" s="31" t="str">
        <f t="shared" si="1126"/>
        <v>BypassOpenStudio_ap,0,</v>
      </c>
      <c r="BU355" s="31" t="str">
        <f t="shared" si="1127"/>
        <v>BypassOpenStudio_ab,0,</v>
      </c>
    </row>
    <row r="356" spans="1:73" outlineLevel="1" x14ac:dyDescent="0.25">
      <c r="A356" s="39">
        <f t="shared" si="1095"/>
        <v>1</v>
      </c>
      <c r="B356" s="27" t="str">
        <f t="shared" si="1128"/>
        <v>SoftwareSensitivity2016Tests\SimplifiedGeometry\0516115-RetlMed-SG-ExtWall-WdFrmR0.cibd16</v>
      </c>
      <c r="C356" s="27" t="str">
        <f t="shared" si="1129"/>
        <v>BatchOut_171026_r5178_FinalRel-v3-SSTSG_SSTSG\0516115-RetlMed-SG-ExtWall-WdFrmR0.cibd16</v>
      </c>
      <c r="D356" s="27" t="str">
        <f t="shared" si="1130"/>
        <v>BatchOut_171026_r5178_FinalRel-v3-SSTSG_SSTSG\XML\</v>
      </c>
      <c r="E356" s="9" t="str">
        <f t="shared" si="1131"/>
        <v>0516115-RetlMed-SG-ExtWall-WdFrmR0</v>
      </c>
      <c r="F356" s="22"/>
      <c r="G356" s="29"/>
      <c r="H356" s="23" t="str">
        <f t="shared" si="1132"/>
        <v/>
      </c>
      <c r="I356" s="9" t="s">
        <v>11</v>
      </c>
      <c r="J35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6" s="15" t="s">
        <v>1</v>
      </c>
      <c r="L356" s="92">
        <f t="shared" si="1135"/>
        <v>1</v>
      </c>
      <c r="M356" s="91" t="str">
        <f t="shared" si="1133"/>
        <v>0516115-RetlMed-SG-ExtWall-WdFrmR0</v>
      </c>
      <c r="N356" s="90" t="s">
        <v>255</v>
      </c>
      <c r="O356" s="90" t="str">
        <f t="shared" si="1097"/>
        <v>0516115-RetlMed-SG-ExtWall-WdFrmR0</v>
      </c>
      <c r="P356" s="92">
        <f t="shared" si="1144"/>
        <v>1</v>
      </c>
      <c r="Q356" s="92">
        <f t="shared" si="1144"/>
        <v>1</v>
      </c>
      <c r="R356" s="92">
        <f t="shared" si="1144"/>
        <v>0</v>
      </c>
      <c r="S356" s="92">
        <f t="shared" si="1144"/>
        <v>1</v>
      </c>
      <c r="T356" s="92">
        <f t="shared" si="1144"/>
        <v>0</v>
      </c>
      <c r="U356" s="92">
        <f t="shared" si="1144"/>
        <v>8</v>
      </c>
      <c r="V356" s="92">
        <f t="shared" si="1144"/>
        <v>8</v>
      </c>
      <c r="W356" s="92">
        <f t="shared" si="1144"/>
        <v>1</v>
      </c>
      <c r="X356" s="92">
        <f t="shared" si="1144"/>
        <v>0</v>
      </c>
      <c r="Y356" s="92">
        <f t="shared" si="1144"/>
        <v>0</v>
      </c>
      <c r="Z356" s="92">
        <f t="shared" si="1144"/>
        <v>0</v>
      </c>
      <c r="AA356" s="92">
        <f t="shared" si="1144"/>
        <v>0</v>
      </c>
      <c r="AB356" s="92">
        <f t="shared" si="1144"/>
        <v>1</v>
      </c>
      <c r="AC356" s="92">
        <f t="shared" si="1144"/>
        <v>0</v>
      </c>
      <c r="AD356" s="92">
        <f t="shared" si="1144"/>
        <v>1</v>
      </c>
      <c r="AE356" s="92">
        <f t="shared" si="1144"/>
        <v>0</v>
      </c>
      <c r="AF356" s="92">
        <f t="shared" si="1144"/>
        <v>0</v>
      </c>
      <c r="AG356" s="92">
        <f t="shared" si="1144"/>
        <v>0</v>
      </c>
      <c r="AH356" s="92">
        <f t="shared" si="1144"/>
        <v>0</v>
      </c>
      <c r="AI356" s="92">
        <f t="shared" si="1144"/>
        <v>0</v>
      </c>
      <c r="AJ356" s="92">
        <f t="shared" si="1144"/>
        <v>0</v>
      </c>
      <c r="AK356" s="92">
        <f t="shared" si="1144"/>
        <v>0</v>
      </c>
      <c r="AL356" s="92">
        <f t="shared" si="1144"/>
        <v>0</v>
      </c>
      <c r="AM356" s="92">
        <f t="shared" si="1144"/>
        <v>0</v>
      </c>
      <c r="AN356" s="92">
        <f t="shared" si="1144"/>
        <v>0</v>
      </c>
      <c r="AO356" s="92">
        <f t="shared" si="1144"/>
        <v>0</v>
      </c>
      <c r="AP356" s="92">
        <f t="shared" si="1144"/>
        <v>0</v>
      </c>
      <c r="AQ356" s="92">
        <f t="shared" si="1144"/>
        <v>0</v>
      </c>
      <c r="AR356" s="92">
        <f t="shared" si="1143"/>
        <v>0</v>
      </c>
      <c r="AS356" s="31" t="str">
        <f t="shared" si="1099"/>
        <v>SimulationStorage,1,</v>
      </c>
      <c r="AT356" s="31" t="str">
        <f t="shared" si="1100"/>
        <v>AnalysisStorage,1,</v>
      </c>
      <c r="AU356" s="31" t="str">
        <f t="shared" si="1101"/>
        <v>LogRuleEvaluation,0,</v>
      </c>
      <c r="AV356" s="31" t="str">
        <f t="shared" si="1102"/>
        <v>ParallelSimulations,1,</v>
      </c>
      <c r="AW356" s="31" t="str">
        <f t="shared" si="1103"/>
        <v>DurationStats,0,</v>
      </c>
      <c r="AX356" s="31" t="str">
        <f t="shared" si="1104"/>
        <v>AnalysisThruStep,8,</v>
      </c>
      <c r="AY356" s="31" t="str">
        <f t="shared" si="1105"/>
        <v>DontAbortOnErrorsThruStep,8,</v>
      </c>
      <c r="AZ356" s="31" t="str">
        <f t="shared" si="1106"/>
        <v>BypassValidFileChecks,1,</v>
      </c>
      <c r="BA356" s="31" t="str">
        <f t="shared" si="1107"/>
        <v>BypassInputChecks,0,</v>
      </c>
      <c r="BB356" s="31" t="str">
        <f t="shared" si="1108"/>
        <v>BypassUMLHChecks,0,</v>
      </c>
      <c r="BC356" s="31" t="str">
        <f t="shared" si="1109"/>
        <v>BypassCheckSimRules,0,</v>
      </c>
      <c r="BD356" s="31" t="str">
        <f t="shared" si="1110"/>
        <v>BypassCheckCodeRules,0,</v>
      </c>
      <c r="BE356" s="31" t="str">
        <f t="shared" si="1111"/>
        <v>StoreResultsToModelInput,1,</v>
      </c>
      <c r="BF356" s="31" t="str">
        <f t="shared" si="1112"/>
        <v>StoreBEMDetails,0,</v>
      </c>
      <c r="BG356" s="31" t="str">
        <f t="shared" si="1113"/>
        <v>ModelRpt_ALL,1,</v>
      </c>
      <c r="BH356" s="31" t="str">
        <f t="shared" si="1114"/>
        <v>ExportHourlyResults_All,0,</v>
      </c>
      <c r="BI356" s="31" t="str">
        <f t="shared" si="1115"/>
        <v>ComplianceReportPDF,0,</v>
      </c>
      <c r="BJ356" s="31" t="str">
        <f t="shared" si="1116"/>
        <v>ComplianceReportXML,0,</v>
      </c>
      <c r="BK356" s="31" t="str">
        <f t="shared" si="1117"/>
        <v>QuickAnalysis,0,</v>
      </c>
      <c r="BL356" s="31" t="str">
        <f t="shared" si="1118"/>
        <v>PromptUserUMLHWarning,0,</v>
      </c>
      <c r="BM356" s="31" t="str">
        <f t="shared" si="1119"/>
        <v>BypassOpenStudio_all,0,</v>
      </c>
      <c r="BN356" s="31" t="str">
        <f t="shared" si="1120"/>
        <v>BypassOpenStudio_zp,0,</v>
      </c>
      <c r="BO356" s="31" t="str">
        <f t="shared" si="1121"/>
        <v>BypassOpenStudio_zb,0,</v>
      </c>
      <c r="BP356" s="31" t="str">
        <f t="shared" si="1122"/>
        <v>BypassOpenStudio_ap,0,</v>
      </c>
      <c r="BQ356" s="31" t="str">
        <f t="shared" si="1123"/>
        <v>BypassOpenStudio_ab,0,</v>
      </c>
      <c r="BR356" s="31" t="str">
        <f t="shared" si="1124"/>
        <v>BypassOpenStudio_zp,0,</v>
      </c>
      <c r="BS356" s="31" t="str">
        <f t="shared" si="1125"/>
        <v>BypassOpenStudio_zb,0,</v>
      </c>
      <c r="BT356" s="31" t="str">
        <f t="shared" si="1126"/>
        <v>BypassOpenStudio_ap,0,</v>
      </c>
      <c r="BU356" s="31" t="str">
        <f t="shared" si="1127"/>
        <v>BypassOpenStudio_ab,0,</v>
      </c>
    </row>
    <row r="357" spans="1:73" outlineLevel="1" x14ac:dyDescent="0.25">
      <c r="A357" s="39">
        <f t="shared" si="1095"/>
        <v>1</v>
      </c>
      <c r="B357" s="27" t="str">
        <f t="shared" si="1128"/>
        <v>SoftwareSensitivity2016Tests\SimplifiedGeometry\0516215-RetlMed-SG-ExtWall-MtlWallSingleLyrBatt-R10.cibd16</v>
      </c>
      <c r="C357" s="27" t="str">
        <f t="shared" si="1129"/>
        <v>BatchOut_171026_r5178_FinalRel-v3-SSTSG_SSTSG\0516215-RetlMed-SG-ExtWall-MtlWallSingleLyrBatt-R10.cibd16</v>
      </c>
      <c r="D357" s="27" t="str">
        <f t="shared" si="1130"/>
        <v>BatchOut_171026_r5178_FinalRel-v3-SSTSG_SSTSG\XML\</v>
      </c>
      <c r="E357" s="9" t="str">
        <f t="shared" si="1131"/>
        <v>0516215-RetlMed-SG-ExtWall-MtlWallSingleLyrBatt-R10</v>
      </c>
      <c r="F357" s="22"/>
      <c r="G357" s="29"/>
      <c r="H357" s="23" t="str">
        <f t="shared" si="1132"/>
        <v/>
      </c>
      <c r="I357" s="9" t="s">
        <v>11</v>
      </c>
      <c r="J35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7" s="15" t="s">
        <v>1</v>
      </c>
      <c r="L357" s="92">
        <f t="shared" si="1135"/>
        <v>1</v>
      </c>
      <c r="M357" s="91" t="str">
        <f t="shared" si="1133"/>
        <v>0516215-RetlMed-SG-ExtWall-MtlWallSingleLyrBatt-R10</v>
      </c>
      <c r="N357" s="90" t="s">
        <v>256</v>
      </c>
      <c r="O357" s="90" t="str">
        <f t="shared" si="1097"/>
        <v>0516215-RetlMed-SG-ExtWall-MtlWallSingleLyrBatt-R10</v>
      </c>
      <c r="P357" s="92">
        <f t="shared" si="1144"/>
        <v>1</v>
      </c>
      <c r="Q357" s="92">
        <f t="shared" si="1144"/>
        <v>1</v>
      </c>
      <c r="R357" s="92">
        <f t="shared" si="1144"/>
        <v>0</v>
      </c>
      <c r="S357" s="92">
        <f t="shared" si="1144"/>
        <v>1</v>
      </c>
      <c r="T357" s="92">
        <f t="shared" si="1144"/>
        <v>0</v>
      </c>
      <c r="U357" s="92">
        <f t="shared" si="1144"/>
        <v>8</v>
      </c>
      <c r="V357" s="92">
        <f t="shared" si="1144"/>
        <v>8</v>
      </c>
      <c r="W357" s="92">
        <f t="shared" si="1144"/>
        <v>1</v>
      </c>
      <c r="X357" s="92">
        <f t="shared" si="1144"/>
        <v>0</v>
      </c>
      <c r="Y357" s="92">
        <f t="shared" si="1144"/>
        <v>0</v>
      </c>
      <c r="Z357" s="92">
        <f t="shared" si="1144"/>
        <v>0</v>
      </c>
      <c r="AA357" s="92">
        <f t="shared" si="1144"/>
        <v>0</v>
      </c>
      <c r="AB357" s="92">
        <f t="shared" si="1144"/>
        <v>1</v>
      </c>
      <c r="AC357" s="92">
        <f t="shared" si="1144"/>
        <v>0</v>
      </c>
      <c r="AD357" s="92">
        <f t="shared" si="1144"/>
        <v>1</v>
      </c>
      <c r="AE357" s="92">
        <f t="shared" si="1144"/>
        <v>0</v>
      </c>
      <c r="AF357" s="92">
        <f t="shared" si="1144"/>
        <v>0</v>
      </c>
      <c r="AG357" s="92">
        <f t="shared" si="1144"/>
        <v>0</v>
      </c>
      <c r="AH357" s="92">
        <f t="shared" si="1144"/>
        <v>0</v>
      </c>
      <c r="AI357" s="92">
        <f t="shared" si="1144"/>
        <v>0</v>
      </c>
      <c r="AJ357" s="92">
        <f t="shared" si="1144"/>
        <v>0</v>
      </c>
      <c r="AK357" s="92">
        <f t="shared" si="1144"/>
        <v>0</v>
      </c>
      <c r="AL357" s="92">
        <f t="shared" si="1144"/>
        <v>0</v>
      </c>
      <c r="AM357" s="92">
        <f t="shared" si="1144"/>
        <v>0</v>
      </c>
      <c r="AN357" s="92">
        <f t="shared" si="1144"/>
        <v>0</v>
      </c>
      <c r="AO357" s="92">
        <f t="shared" si="1144"/>
        <v>0</v>
      </c>
      <c r="AP357" s="92">
        <f t="shared" si="1144"/>
        <v>0</v>
      </c>
      <c r="AQ357" s="92">
        <f t="shared" si="1144"/>
        <v>0</v>
      </c>
      <c r="AR357" s="92">
        <f t="shared" si="1143"/>
        <v>0</v>
      </c>
      <c r="AS357" s="31" t="str">
        <f t="shared" si="1099"/>
        <v>SimulationStorage,1,</v>
      </c>
      <c r="AT357" s="31" t="str">
        <f t="shared" si="1100"/>
        <v>AnalysisStorage,1,</v>
      </c>
      <c r="AU357" s="31" t="str">
        <f t="shared" si="1101"/>
        <v>LogRuleEvaluation,0,</v>
      </c>
      <c r="AV357" s="31" t="str">
        <f t="shared" si="1102"/>
        <v>ParallelSimulations,1,</v>
      </c>
      <c r="AW357" s="31" t="str">
        <f t="shared" si="1103"/>
        <v>DurationStats,0,</v>
      </c>
      <c r="AX357" s="31" t="str">
        <f t="shared" si="1104"/>
        <v>AnalysisThruStep,8,</v>
      </c>
      <c r="AY357" s="31" t="str">
        <f t="shared" si="1105"/>
        <v>DontAbortOnErrorsThruStep,8,</v>
      </c>
      <c r="AZ357" s="31" t="str">
        <f t="shared" si="1106"/>
        <v>BypassValidFileChecks,1,</v>
      </c>
      <c r="BA357" s="31" t="str">
        <f t="shared" si="1107"/>
        <v>BypassInputChecks,0,</v>
      </c>
      <c r="BB357" s="31" t="str">
        <f t="shared" si="1108"/>
        <v>BypassUMLHChecks,0,</v>
      </c>
      <c r="BC357" s="31" t="str">
        <f t="shared" si="1109"/>
        <v>BypassCheckSimRules,0,</v>
      </c>
      <c r="BD357" s="31" t="str">
        <f t="shared" si="1110"/>
        <v>BypassCheckCodeRules,0,</v>
      </c>
      <c r="BE357" s="31" t="str">
        <f t="shared" si="1111"/>
        <v>StoreResultsToModelInput,1,</v>
      </c>
      <c r="BF357" s="31" t="str">
        <f t="shared" si="1112"/>
        <v>StoreBEMDetails,0,</v>
      </c>
      <c r="BG357" s="31" t="str">
        <f t="shared" si="1113"/>
        <v>ModelRpt_ALL,1,</v>
      </c>
      <c r="BH357" s="31" t="str">
        <f t="shared" si="1114"/>
        <v>ExportHourlyResults_All,0,</v>
      </c>
      <c r="BI357" s="31" t="str">
        <f t="shared" si="1115"/>
        <v>ComplianceReportPDF,0,</v>
      </c>
      <c r="BJ357" s="31" t="str">
        <f t="shared" si="1116"/>
        <v>ComplianceReportXML,0,</v>
      </c>
      <c r="BK357" s="31" t="str">
        <f t="shared" si="1117"/>
        <v>QuickAnalysis,0,</v>
      </c>
      <c r="BL357" s="31" t="str">
        <f t="shared" si="1118"/>
        <v>PromptUserUMLHWarning,0,</v>
      </c>
      <c r="BM357" s="31" t="str">
        <f t="shared" si="1119"/>
        <v>BypassOpenStudio_all,0,</v>
      </c>
      <c r="BN357" s="31" t="str">
        <f t="shared" si="1120"/>
        <v>BypassOpenStudio_zp,0,</v>
      </c>
      <c r="BO357" s="31" t="str">
        <f t="shared" si="1121"/>
        <v>BypassOpenStudio_zb,0,</v>
      </c>
      <c r="BP357" s="31" t="str">
        <f t="shared" si="1122"/>
        <v>BypassOpenStudio_ap,0,</v>
      </c>
      <c r="BQ357" s="31" t="str">
        <f t="shared" si="1123"/>
        <v>BypassOpenStudio_ab,0,</v>
      </c>
      <c r="BR357" s="31" t="str">
        <f t="shared" si="1124"/>
        <v>BypassOpenStudio_zp,0,</v>
      </c>
      <c r="BS357" s="31" t="str">
        <f t="shared" si="1125"/>
        <v>BypassOpenStudio_zb,0,</v>
      </c>
      <c r="BT357" s="31" t="str">
        <f t="shared" si="1126"/>
        <v>BypassOpenStudio_ap,0,</v>
      </c>
      <c r="BU357" s="31" t="str">
        <f t="shared" si="1127"/>
        <v>BypassOpenStudio_ab,0,</v>
      </c>
    </row>
    <row r="358" spans="1:73" outlineLevel="1" x14ac:dyDescent="0.25">
      <c r="A358" s="39">
        <f t="shared" si="1095"/>
        <v>1</v>
      </c>
      <c r="B358" s="27" t="str">
        <f t="shared" si="1128"/>
        <v>SoftwareSensitivity2016Tests\SimplifiedGeometry\0516315-RetlMed-SG-ExtWall-MtlWallDoubleLyrBatt-R13-R13.cibd16</v>
      </c>
      <c r="C358" s="27" t="str">
        <f t="shared" si="1129"/>
        <v>BatchOut_171026_r5178_FinalRel-v3-SSTSG_SSTSG\0516315-RetlMed-SG-ExtWall-MtlWallDoubleLyrBatt-R13-R13.cibd16</v>
      </c>
      <c r="D358" s="27" t="str">
        <f t="shared" si="1130"/>
        <v>BatchOut_171026_r5178_FinalRel-v3-SSTSG_SSTSG\XML\</v>
      </c>
      <c r="E358" s="9" t="str">
        <f t="shared" si="1131"/>
        <v>0516315-RetlMed-SG-ExtWall-MtlWallDoubleLyrBatt-R13-R13</v>
      </c>
      <c r="F358" s="22"/>
      <c r="G358" s="29"/>
      <c r="H358" s="23" t="str">
        <f t="shared" si="1132"/>
        <v/>
      </c>
      <c r="I358" s="9" t="s">
        <v>11</v>
      </c>
      <c r="J35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8" s="15" t="s">
        <v>1</v>
      </c>
      <c r="L358" s="92">
        <f t="shared" si="1135"/>
        <v>1</v>
      </c>
      <c r="M358" s="91" t="str">
        <f t="shared" si="1133"/>
        <v>0516315-RetlMed-SG-ExtWall-MtlWallDoubleLyrBatt-R13-R13</v>
      </c>
      <c r="N358" s="90" t="s">
        <v>257</v>
      </c>
      <c r="O358" s="90" t="str">
        <f t="shared" si="1097"/>
        <v>0516315-RetlMed-SG-ExtWall-MtlWallDoubleLyrBatt-R13-R13</v>
      </c>
      <c r="P358" s="92">
        <f t="shared" si="1144"/>
        <v>1</v>
      </c>
      <c r="Q358" s="92">
        <f t="shared" si="1144"/>
        <v>1</v>
      </c>
      <c r="R358" s="92">
        <f t="shared" si="1144"/>
        <v>0</v>
      </c>
      <c r="S358" s="92">
        <f t="shared" si="1144"/>
        <v>1</v>
      </c>
      <c r="T358" s="92">
        <f t="shared" si="1144"/>
        <v>0</v>
      </c>
      <c r="U358" s="92">
        <f t="shared" si="1144"/>
        <v>8</v>
      </c>
      <c r="V358" s="92">
        <f t="shared" si="1144"/>
        <v>8</v>
      </c>
      <c r="W358" s="92">
        <f t="shared" si="1144"/>
        <v>1</v>
      </c>
      <c r="X358" s="92">
        <f t="shared" si="1144"/>
        <v>0</v>
      </c>
      <c r="Y358" s="92">
        <f t="shared" si="1144"/>
        <v>0</v>
      </c>
      <c r="Z358" s="92">
        <f t="shared" si="1144"/>
        <v>0</v>
      </c>
      <c r="AA358" s="92">
        <f t="shared" si="1144"/>
        <v>0</v>
      </c>
      <c r="AB358" s="92">
        <f t="shared" si="1144"/>
        <v>1</v>
      </c>
      <c r="AC358" s="92">
        <f t="shared" si="1144"/>
        <v>0</v>
      </c>
      <c r="AD358" s="92">
        <f t="shared" si="1144"/>
        <v>1</v>
      </c>
      <c r="AE358" s="92">
        <f t="shared" si="1144"/>
        <v>0</v>
      </c>
      <c r="AF358" s="92">
        <f t="shared" si="1144"/>
        <v>0</v>
      </c>
      <c r="AG358" s="92">
        <f t="shared" si="1144"/>
        <v>0</v>
      </c>
      <c r="AH358" s="92">
        <f t="shared" si="1144"/>
        <v>0</v>
      </c>
      <c r="AI358" s="92">
        <f t="shared" si="1144"/>
        <v>0</v>
      </c>
      <c r="AJ358" s="92">
        <f t="shared" si="1144"/>
        <v>0</v>
      </c>
      <c r="AK358" s="92">
        <f t="shared" si="1144"/>
        <v>0</v>
      </c>
      <c r="AL358" s="92">
        <f t="shared" si="1144"/>
        <v>0</v>
      </c>
      <c r="AM358" s="92">
        <f t="shared" si="1144"/>
        <v>0</v>
      </c>
      <c r="AN358" s="92">
        <f t="shared" si="1144"/>
        <v>0</v>
      </c>
      <c r="AO358" s="92">
        <f t="shared" si="1144"/>
        <v>0</v>
      </c>
      <c r="AP358" s="92">
        <f t="shared" si="1144"/>
        <v>0</v>
      </c>
      <c r="AQ358" s="92">
        <f t="shared" si="1144"/>
        <v>0</v>
      </c>
      <c r="AR358" s="92">
        <f t="shared" si="1143"/>
        <v>0</v>
      </c>
      <c r="AS358" s="31" t="str">
        <f t="shared" si="1099"/>
        <v>SimulationStorage,1,</v>
      </c>
      <c r="AT358" s="31" t="str">
        <f t="shared" si="1100"/>
        <v>AnalysisStorage,1,</v>
      </c>
      <c r="AU358" s="31" t="str">
        <f t="shared" si="1101"/>
        <v>LogRuleEvaluation,0,</v>
      </c>
      <c r="AV358" s="31" t="str">
        <f t="shared" si="1102"/>
        <v>ParallelSimulations,1,</v>
      </c>
      <c r="AW358" s="31" t="str">
        <f t="shared" si="1103"/>
        <v>DurationStats,0,</v>
      </c>
      <c r="AX358" s="31" t="str">
        <f t="shared" si="1104"/>
        <v>AnalysisThruStep,8,</v>
      </c>
      <c r="AY358" s="31" t="str">
        <f t="shared" si="1105"/>
        <v>DontAbortOnErrorsThruStep,8,</v>
      </c>
      <c r="AZ358" s="31" t="str">
        <f t="shared" si="1106"/>
        <v>BypassValidFileChecks,1,</v>
      </c>
      <c r="BA358" s="31" t="str">
        <f t="shared" si="1107"/>
        <v>BypassInputChecks,0,</v>
      </c>
      <c r="BB358" s="31" t="str">
        <f t="shared" si="1108"/>
        <v>BypassUMLHChecks,0,</v>
      </c>
      <c r="BC358" s="31" t="str">
        <f t="shared" si="1109"/>
        <v>BypassCheckSimRules,0,</v>
      </c>
      <c r="BD358" s="31" t="str">
        <f t="shared" si="1110"/>
        <v>BypassCheckCodeRules,0,</v>
      </c>
      <c r="BE358" s="31" t="str">
        <f t="shared" si="1111"/>
        <v>StoreResultsToModelInput,1,</v>
      </c>
      <c r="BF358" s="31" t="str">
        <f t="shared" si="1112"/>
        <v>StoreBEMDetails,0,</v>
      </c>
      <c r="BG358" s="31" t="str">
        <f t="shared" si="1113"/>
        <v>ModelRpt_ALL,1,</v>
      </c>
      <c r="BH358" s="31" t="str">
        <f t="shared" si="1114"/>
        <v>ExportHourlyResults_All,0,</v>
      </c>
      <c r="BI358" s="31" t="str">
        <f t="shared" si="1115"/>
        <v>ComplianceReportPDF,0,</v>
      </c>
      <c r="BJ358" s="31" t="str">
        <f t="shared" si="1116"/>
        <v>ComplianceReportXML,0,</v>
      </c>
      <c r="BK358" s="31" t="str">
        <f t="shared" si="1117"/>
        <v>QuickAnalysis,0,</v>
      </c>
      <c r="BL358" s="31" t="str">
        <f t="shared" si="1118"/>
        <v>PromptUserUMLHWarning,0,</v>
      </c>
      <c r="BM358" s="31" t="str">
        <f t="shared" si="1119"/>
        <v>BypassOpenStudio_all,0,</v>
      </c>
      <c r="BN358" s="31" t="str">
        <f t="shared" si="1120"/>
        <v>BypassOpenStudio_zp,0,</v>
      </c>
      <c r="BO358" s="31" t="str">
        <f t="shared" si="1121"/>
        <v>BypassOpenStudio_zb,0,</v>
      </c>
      <c r="BP358" s="31" t="str">
        <f t="shared" si="1122"/>
        <v>BypassOpenStudio_ap,0,</v>
      </c>
      <c r="BQ358" s="31" t="str">
        <f t="shared" si="1123"/>
        <v>BypassOpenStudio_ab,0,</v>
      </c>
      <c r="BR358" s="31" t="str">
        <f t="shared" si="1124"/>
        <v>BypassOpenStudio_zp,0,</v>
      </c>
      <c r="BS358" s="31" t="str">
        <f t="shared" si="1125"/>
        <v>BypassOpenStudio_zb,0,</v>
      </c>
      <c r="BT358" s="31" t="str">
        <f t="shared" si="1126"/>
        <v>BypassOpenStudio_ap,0,</v>
      </c>
      <c r="BU358" s="31" t="str">
        <f t="shared" si="1127"/>
        <v>BypassOpenStudio_ab,0,</v>
      </c>
    </row>
    <row r="359" spans="1:73" outlineLevel="1" x14ac:dyDescent="0.25">
      <c r="A359" s="39">
        <f t="shared" si="1095"/>
        <v>1</v>
      </c>
      <c r="B359" s="27" t="str">
        <f t="shared" si="1128"/>
        <v>SoftwareSensitivity2016Tests\SimplifiedGeometry\0517015-RetlMed-SG-MiniSplitAC-EER11.2.cibd16</v>
      </c>
      <c r="C359" s="27" t="str">
        <f t="shared" si="1129"/>
        <v>BatchOut_171026_r5178_FinalRel-v3-SSTSG_SSTSG\0517015-RetlMed-SG-MiniSplitAC-EER11.2.cibd16</v>
      </c>
      <c r="D359" s="27" t="str">
        <f t="shared" si="1130"/>
        <v>BatchOut_171026_r5178_FinalRel-v3-SSTSG_SSTSG\XML\</v>
      </c>
      <c r="E359" s="9" t="str">
        <f t="shared" si="1131"/>
        <v>0517015-RetlMed-SG-MiniSplitAC-EER11.2</v>
      </c>
      <c r="F359" s="22"/>
      <c r="G359" s="29"/>
      <c r="H359" s="23" t="str">
        <f t="shared" si="1132"/>
        <v/>
      </c>
      <c r="I359" s="9" t="s">
        <v>11</v>
      </c>
      <c r="J35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9" s="15" t="s">
        <v>1</v>
      </c>
      <c r="L359" s="92">
        <f t="shared" si="1135"/>
        <v>1</v>
      </c>
      <c r="M359" s="91" t="str">
        <f t="shared" si="1133"/>
        <v>0517015-RetlMed-SG-MiniSplitAC-EER11.2</v>
      </c>
      <c r="N359" s="90" t="s">
        <v>258</v>
      </c>
      <c r="O359" s="90" t="str">
        <f t="shared" si="1097"/>
        <v>0517015-RetlMed-SG-MiniSplitAC-EER11.2</v>
      </c>
      <c r="P359" s="92">
        <f t="shared" si="1144"/>
        <v>1</v>
      </c>
      <c r="Q359" s="92">
        <f t="shared" si="1144"/>
        <v>1</v>
      </c>
      <c r="R359" s="92">
        <f t="shared" si="1144"/>
        <v>0</v>
      </c>
      <c r="S359" s="92">
        <f t="shared" si="1144"/>
        <v>1</v>
      </c>
      <c r="T359" s="92">
        <f t="shared" si="1144"/>
        <v>0</v>
      </c>
      <c r="U359" s="92">
        <f t="shared" si="1144"/>
        <v>8</v>
      </c>
      <c r="V359" s="92">
        <f t="shared" si="1144"/>
        <v>8</v>
      </c>
      <c r="W359" s="92">
        <f t="shared" si="1144"/>
        <v>1</v>
      </c>
      <c r="X359" s="92">
        <f t="shared" si="1144"/>
        <v>0</v>
      </c>
      <c r="Y359" s="92">
        <f t="shared" si="1144"/>
        <v>0</v>
      </c>
      <c r="Z359" s="92">
        <f t="shared" si="1144"/>
        <v>0</v>
      </c>
      <c r="AA359" s="92">
        <f t="shared" si="1144"/>
        <v>0</v>
      </c>
      <c r="AB359" s="92">
        <f t="shared" si="1144"/>
        <v>1</v>
      </c>
      <c r="AC359" s="92">
        <f t="shared" si="1144"/>
        <v>0</v>
      </c>
      <c r="AD359" s="92">
        <f t="shared" si="1144"/>
        <v>1</v>
      </c>
      <c r="AE359" s="92">
        <f t="shared" si="1144"/>
        <v>0</v>
      </c>
      <c r="AF359" s="92">
        <f t="shared" si="1144"/>
        <v>0</v>
      </c>
      <c r="AG359" s="92">
        <f t="shared" si="1144"/>
        <v>0</v>
      </c>
      <c r="AH359" s="92">
        <f t="shared" si="1144"/>
        <v>0</v>
      </c>
      <c r="AI359" s="92">
        <f t="shared" si="1144"/>
        <v>0</v>
      </c>
      <c r="AJ359" s="92">
        <f t="shared" si="1144"/>
        <v>0</v>
      </c>
      <c r="AK359" s="92">
        <f t="shared" si="1144"/>
        <v>0</v>
      </c>
      <c r="AL359" s="92">
        <f t="shared" si="1144"/>
        <v>0</v>
      </c>
      <c r="AM359" s="92">
        <f t="shared" si="1144"/>
        <v>0</v>
      </c>
      <c r="AN359" s="92">
        <f t="shared" si="1144"/>
        <v>0</v>
      </c>
      <c r="AO359" s="92">
        <f t="shared" si="1144"/>
        <v>0</v>
      </c>
      <c r="AP359" s="92">
        <f t="shared" si="1144"/>
        <v>0</v>
      </c>
      <c r="AQ359" s="92">
        <f t="shared" si="1144"/>
        <v>0</v>
      </c>
      <c r="AR359" s="92">
        <f t="shared" si="1143"/>
        <v>0</v>
      </c>
      <c r="AS359" s="31" t="str">
        <f t="shared" si="1099"/>
        <v>SimulationStorage,1,</v>
      </c>
      <c r="AT359" s="31" t="str">
        <f t="shared" si="1100"/>
        <v>AnalysisStorage,1,</v>
      </c>
      <c r="AU359" s="31" t="str">
        <f t="shared" si="1101"/>
        <v>LogRuleEvaluation,0,</v>
      </c>
      <c r="AV359" s="31" t="str">
        <f t="shared" si="1102"/>
        <v>ParallelSimulations,1,</v>
      </c>
      <c r="AW359" s="31" t="str">
        <f t="shared" si="1103"/>
        <v>DurationStats,0,</v>
      </c>
      <c r="AX359" s="31" t="str">
        <f t="shared" si="1104"/>
        <v>AnalysisThruStep,8,</v>
      </c>
      <c r="AY359" s="31" t="str">
        <f t="shared" si="1105"/>
        <v>DontAbortOnErrorsThruStep,8,</v>
      </c>
      <c r="AZ359" s="31" t="str">
        <f t="shared" si="1106"/>
        <v>BypassValidFileChecks,1,</v>
      </c>
      <c r="BA359" s="31" t="str">
        <f t="shared" si="1107"/>
        <v>BypassInputChecks,0,</v>
      </c>
      <c r="BB359" s="31" t="str">
        <f t="shared" si="1108"/>
        <v>BypassUMLHChecks,0,</v>
      </c>
      <c r="BC359" s="31" t="str">
        <f t="shared" si="1109"/>
        <v>BypassCheckSimRules,0,</v>
      </c>
      <c r="BD359" s="31" t="str">
        <f t="shared" si="1110"/>
        <v>BypassCheckCodeRules,0,</v>
      </c>
      <c r="BE359" s="31" t="str">
        <f t="shared" si="1111"/>
        <v>StoreResultsToModelInput,1,</v>
      </c>
      <c r="BF359" s="31" t="str">
        <f t="shared" si="1112"/>
        <v>StoreBEMDetails,0,</v>
      </c>
      <c r="BG359" s="31" t="str">
        <f t="shared" si="1113"/>
        <v>ModelRpt_ALL,1,</v>
      </c>
      <c r="BH359" s="31" t="str">
        <f t="shared" si="1114"/>
        <v>ExportHourlyResults_All,0,</v>
      </c>
      <c r="BI359" s="31" t="str">
        <f t="shared" si="1115"/>
        <v>ComplianceReportPDF,0,</v>
      </c>
      <c r="BJ359" s="31" t="str">
        <f t="shared" si="1116"/>
        <v>ComplianceReportXML,0,</v>
      </c>
      <c r="BK359" s="31" t="str">
        <f t="shared" si="1117"/>
        <v>QuickAnalysis,0,</v>
      </c>
      <c r="BL359" s="31" t="str">
        <f t="shared" si="1118"/>
        <v>PromptUserUMLHWarning,0,</v>
      </c>
      <c r="BM359" s="31" t="str">
        <f t="shared" si="1119"/>
        <v>BypassOpenStudio_all,0,</v>
      </c>
      <c r="BN359" s="31" t="str">
        <f t="shared" si="1120"/>
        <v>BypassOpenStudio_zp,0,</v>
      </c>
      <c r="BO359" s="31" t="str">
        <f t="shared" si="1121"/>
        <v>BypassOpenStudio_zb,0,</v>
      </c>
      <c r="BP359" s="31" t="str">
        <f t="shared" si="1122"/>
        <v>BypassOpenStudio_ap,0,</v>
      </c>
      <c r="BQ359" s="31" t="str">
        <f t="shared" si="1123"/>
        <v>BypassOpenStudio_ab,0,</v>
      </c>
      <c r="BR359" s="31" t="str">
        <f t="shared" si="1124"/>
        <v>BypassOpenStudio_zp,0,</v>
      </c>
      <c r="BS359" s="31" t="str">
        <f t="shared" si="1125"/>
        <v>BypassOpenStudio_zb,0,</v>
      </c>
      <c r="BT359" s="31" t="str">
        <f t="shared" si="1126"/>
        <v>BypassOpenStudio_ap,0,</v>
      </c>
      <c r="BU359" s="31" t="str">
        <f t="shared" si="1127"/>
        <v>BypassOpenStudio_ab,0,</v>
      </c>
    </row>
    <row r="360" spans="1:73" outlineLevel="1" x14ac:dyDescent="0.25">
      <c r="A360" s="39">
        <f t="shared" si="1095"/>
        <v>1</v>
      </c>
      <c r="B360" s="27" t="str">
        <f t="shared" si="1128"/>
        <v>SoftwareSensitivity2016Tests\SimplifiedGeometry\0517115-RetlMed-SG-MiniSplitHP-COP3.3.cibd16</v>
      </c>
      <c r="C360" s="27" t="str">
        <f t="shared" si="1129"/>
        <v>BatchOut_171026_r5178_FinalRel-v3-SSTSG_SSTSG\0517115-RetlMed-SG-MiniSplitHP-COP3.3.cibd16</v>
      </c>
      <c r="D360" s="27" t="str">
        <f t="shared" si="1130"/>
        <v>BatchOut_171026_r5178_FinalRel-v3-SSTSG_SSTSG\XML\</v>
      </c>
      <c r="E360" s="9" t="str">
        <f t="shared" si="1131"/>
        <v>0517115-RetlMed-SG-MiniSplitHP-COP3.3</v>
      </c>
      <c r="F360" s="22"/>
      <c r="G360" s="29"/>
      <c r="H360" s="23" t="str">
        <f t="shared" si="1132"/>
        <v/>
      </c>
      <c r="I360" s="9" t="s">
        <v>11</v>
      </c>
      <c r="J36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0" s="15" t="s">
        <v>1</v>
      </c>
      <c r="L360" s="92">
        <f t="shared" si="1135"/>
        <v>1</v>
      </c>
      <c r="M360" s="91" t="str">
        <f t="shared" si="1133"/>
        <v>0517115-RetlMed-SG-MiniSplitHP-COP3.3</v>
      </c>
      <c r="N360" s="90" t="s">
        <v>259</v>
      </c>
      <c r="O360" s="90" t="str">
        <f t="shared" si="1097"/>
        <v>0517115-RetlMed-SG-MiniSplitHP-COP3.3</v>
      </c>
      <c r="P360" s="92">
        <f t="shared" si="1144"/>
        <v>1</v>
      </c>
      <c r="Q360" s="92">
        <f t="shared" si="1144"/>
        <v>1</v>
      </c>
      <c r="R360" s="92">
        <f t="shared" si="1144"/>
        <v>0</v>
      </c>
      <c r="S360" s="92">
        <f t="shared" si="1144"/>
        <v>1</v>
      </c>
      <c r="T360" s="92">
        <f t="shared" si="1144"/>
        <v>0</v>
      </c>
      <c r="U360" s="92">
        <f t="shared" si="1144"/>
        <v>8</v>
      </c>
      <c r="V360" s="92">
        <f t="shared" si="1144"/>
        <v>8</v>
      </c>
      <c r="W360" s="92">
        <f t="shared" si="1144"/>
        <v>1</v>
      </c>
      <c r="X360" s="92">
        <f t="shared" si="1144"/>
        <v>0</v>
      </c>
      <c r="Y360" s="92">
        <f t="shared" si="1144"/>
        <v>0</v>
      </c>
      <c r="Z360" s="92">
        <f t="shared" si="1144"/>
        <v>0</v>
      </c>
      <c r="AA360" s="92">
        <f t="shared" si="1144"/>
        <v>0</v>
      </c>
      <c r="AB360" s="92">
        <f t="shared" si="1144"/>
        <v>1</v>
      </c>
      <c r="AC360" s="92">
        <f t="shared" si="1144"/>
        <v>0</v>
      </c>
      <c r="AD360" s="92">
        <f t="shared" si="1144"/>
        <v>1</v>
      </c>
      <c r="AE360" s="92">
        <f t="shared" si="1144"/>
        <v>0</v>
      </c>
      <c r="AF360" s="92">
        <f t="shared" si="1144"/>
        <v>0</v>
      </c>
      <c r="AG360" s="92">
        <f t="shared" si="1144"/>
        <v>0</v>
      </c>
      <c r="AH360" s="92">
        <f t="shared" si="1144"/>
        <v>0</v>
      </c>
      <c r="AI360" s="92">
        <f t="shared" si="1144"/>
        <v>0</v>
      </c>
      <c r="AJ360" s="92">
        <f t="shared" si="1144"/>
        <v>0</v>
      </c>
      <c r="AK360" s="92">
        <f t="shared" si="1144"/>
        <v>0</v>
      </c>
      <c r="AL360" s="92">
        <f t="shared" si="1144"/>
        <v>0</v>
      </c>
      <c r="AM360" s="92">
        <f t="shared" si="1144"/>
        <v>0</v>
      </c>
      <c r="AN360" s="92">
        <f t="shared" si="1144"/>
        <v>0</v>
      </c>
      <c r="AO360" s="92">
        <f t="shared" si="1144"/>
        <v>0</v>
      </c>
      <c r="AP360" s="92">
        <f t="shared" si="1144"/>
        <v>0</v>
      </c>
      <c r="AQ360" s="92">
        <f t="shared" si="1144"/>
        <v>0</v>
      </c>
      <c r="AR360" s="92">
        <f t="shared" si="1143"/>
        <v>0</v>
      </c>
      <c r="AS360" s="31" t="str">
        <f t="shared" si="1099"/>
        <v>SimulationStorage,1,</v>
      </c>
      <c r="AT360" s="31" t="str">
        <f t="shared" si="1100"/>
        <v>AnalysisStorage,1,</v>
      </c>
      <c r="AU360" s="31" t="str">
        <f t="shared" si="1101"/>
        <v>LogRuleEvaluation,0,</v>
      </c>
      <c r="AV360" s="31" t="str">
        <f t="shared" si="1102"/>
        <v>ParallelSimulations,1,</v>
      </c>
      <c r="AW360" s="31" t="str">
        <f t="shared" si="1103"/>
        <v>DurationStats,0,</v>
      </c>
      <c r="AX360" s="31" t="str">
        <f t="shared" si="1104"/>
        <v>AnalysisThruStep,8,</v>
      </c>
      <c r="AY360" s="31" t="str">
        <f t="shared" si="1105"/>
        <v>DontAbortOnErrorsThruStep,8,</v>
      </c>
      <c r="AZ360" s="31" t="str">
        <f t="shared" si="1106"/>
        <v>BypassValidFileChecks,1,</v>
      </c>
      <c r="BA360" s="31" t="str">
        <f t="shared" si="1107"/>
        <v>BypassInputChecks,0,</v>
      </c>
      <c r="BB360" s="31" t="str">
        <f t="shared" si="1108"/>
        <v>BypassUMLHChecks,0,</v>
      </c>
      <c r="BC360" s="31" t="str">
        <f t="shared" si="1109"/>
        <v>BypassCheckSimRules,0,</v>
      </c>
      <c r="BD360" s="31" t="str">
        <f t="shared" si="1110"/>
        <v>BypassCheckCodeRules,0,</v>
      </c>
      <c r="BE360" s="31" t="str">
        <f t="shared" si="1111"/>
        <v>StoreResultsToModelInput,1,</v>
      </c>
      <c r="BF360" s="31" t="str">
        <f t="shared" si="1112"/>
        <v>StoreBEMDetails,0,</v>
      </c>
      <c r="BG360" s="31" t="str">
        <f t="shared" si="1113"/>
        <v>ModelRpt_ALL,1,</v>
      </c>
      <c r="BH360" s="31" t="str">
        <f t="shared" si="1114"/>
        <v>ExportHourlyResults_All,0,</v>
      </c>
      <c r="BI360" s="31" t="str">
        <f t="shared" si="1115"/>
        <v>ComplianceReportPDF,0,</v>
      </c>
      <c r="BJ360" s="31" t="str">
        <f t="shared" si="1116"/>
        <v>ComplianceReportXML,0,</v>
      </c>
      <c r="BK360" s="31" t="str">
        <f t="shared" si="1117"/>
        <v>QuickAnalysis,0,</v>
      </c>
      <c r="BL360" s="31" t="str">
        <f t="shared" si="1118"/>
        <v>PromptUserUMLHWarning,0,</v>
      </c>
      <c r="BM360" s="31" t="str">
        <f t="shared" si="1119"/>
        <v>BypassOpenStudio_all,0,</v>
      </c>
      <c r="BN360" s="31" t="str">
        <f t="shared" si="1120"/>
        <v>BypassOpenStudio_zp,0,</v>
      </c>
      <c r="BO360" s="31" t="str">
        <f t="shared" si="1121"/>
        <v>BypassOpenStudio_zb,0,</v>
      </c>
      <c r="BP360" s="31" t="str">
        <f t="shared" si="1122"/>
        <v>BypassOpenStudio_ap,0,</v>
      </c>
      <c r="BQ360" s="31" t="str">
        <f t="shared" si="1123"/>
        <v>BypassOpenStudio_ab,0,</v>
      </c>
      <c r="BR360" s="31" t="str">
        <f t="shared" si="1124"/>
        <v>BypassOpenStudio_zp,0,</v>
      </c>
      <c r="BS360" s="31" t="str">
        <f t="shared" si="1125"/>
        <v>BypassOpenStudio_zb,0,</v>
      </c>
      <c r="BT360" s="31" t="str">
        <f t="shared" si="1126"/>
        <v>BypassOpenStudio_ap,0,</v>
      </c>
      <c r="BU360" s="31" t="str">
        <f t="shared" si="1127"/>
        <v>BypassOpenStudio_ab,0,</v>
      </c>
    </row>
    <row r="361" spans="1:73" outlineLevel="1" x14ac:dyDescent="0.25">
      <c r="A361" s="39">
        <f t="shared" si="1095"/>
        <v>0</v>
      </c>
      <c r="B361" s="27" t="str">
        <f t="shared" si="1128"/>
        <v>SoftwareSensitivity2016Tests\SimplifiedGeometry\x.cibd16</v>
      </c>
      <c r="C361" s="27" t="str">
        <f t="shared" si="1129"/>
        <v>BatchOut_171026_r5178_FinalRel-v3-SSTSG_SSTSG\x.cibd16</v>
      </c>
      <c r="D361" s="27" t="str">
        <f t="shared" si="1130"/>
        <v>BatchOut_171026_r5178_FinalRel-v3-SSTSG_SSTSG\XML\</v>
      </c>
      <c r="E361" s="9" t="str">
        <f t="shared" si="1131"/>
        <v>x</v>
      </c>
      <c r="F361" s="22"/>
      <c r="G361" s="29"/>
      <c r="H361" s="23" t="str">
        <f t="shared" si="1132"/>
        <v/>
      </c>
      <c r="I361" s="9" t="s">
        <v>11</v>
      </c>
      <c r="J36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1" s="15" t="s">
        <v>1</v>
      </c>
      <c r="L361" s="92">
        <v>0</v>
      </c>
      <c r="M361" s="91" t="str">
        <f t="shared" si="1133"/>
        <v>x</v>
      </c>
      <c r="N361" s="90" t="s">
        <v>149</v>
      </c>
      <c r="O361" s="90" t="str">
        <f t="shared" si="1097"/>
        <v>x</v>
      </c>
      <c r="P361" s="92">
        <f t="shared" si="1144"/>
        <v>1</v>
      </c>
      <c r="Q361" s="92">
        <f t="shared" si="1144"/>
        <v>1</v>
      </c>
      <c r="R361" s="92">
        <f t="shared" si="1144"/>
        <v>0</v>
      </c>
      <c r="S361" s="92">
        <f t="shared" si="1144"/>
        <v>1</v>
      </c>
      <c r="T361" s="92">
        <f t="shared" si="1144"/>
        <v>0</v>
      </c>
      <c r="U361" s="92">
        <f t="shared" si="1144"/>
        <v>8</v>
      </c>
      <c r="V361" s="92">
        <f t="shared" si="1144"/>
        <v>8</v>
      </c>
      <c r="W361" s="92">
        <f t="shared" si="1144"/>
        <v>1</v>
      </c>
      <c r="X361" s="92">
        <f t="shared" si="1144"/>
        <v>0</v>
      </c>
      <c r="Y361" s="92">
        <f t="shared" si="1144"/>
        <v>0</v>
      </c>
      <c r="Z361" s="92">
        <f t="shared" si="1144"/>
        <v>0</v>
      </c>
      <c r="AA361" s="92">
        <f t="shared" si="1144"/>
        <v>0</v>
      </c>
      <c r="AB361" s="92">
        <f t="shared" si="1144"/>
        <v>1</v>
      </c>
      <c r="AC361" s="92">
        <f t="shared" si="1144"/>
        <v>0</v>
      </c>
      <c r="AD361" s="92">
        <f t="shared" si="1144"/>
        <v>1</v>
      </c>
      <c r="AE361" s="92">
        <f t="shared" si="1144"/>
        <v>0</v>
      </c>
      <c r="AF361" s="92">
        <f t="shared" si="1144"/>
        <v>0</v>
      </c>
      <c r="AG361" s="92">
        <f t="shared" si="1144"/>
        <v>0</v>
      </c>
      <c r="AH361" s="92">
        <f t="shared" si="1144"/>
        <v>0</v>
      </c>
      <c r="AI361" s="92">
        <f t="shared" si="1144"/>
        <v>0</v>
      </c>
      <c r="AJ361" s="92">
        <f t="shared" si="1144"/>
        <v>0</v>
      </c>
      <c r="AK361" s="92">
        <f t="shared" si="1144"/>
        <v>0</v>
      </c>
      <c r="AL361" s="92">
        <f t="shared" si="1144"/>
        <v>0</v>
      </c>
      <c r="AM361" s="92">
        <f t="shared" si="1144"/>
        <v>0</v>
      </c>
      <c r="AN361" s="92">
        <f t="shared" si="1144"/>
        <v>0</v>
      </c>
      <c r="AO361" s="92">
        <f t="shared" si="1144"/>
        <v>0</v>
      </c>
      <c r="AP361" s="92">
        <f t="shared" si="1144"/>
        <v>0</v>
      </c>
      <c r="AQ361" s="92">
        <f t="shared" si="1144"/>
        <v>0</v>
      </c>
      <c r="AR361" s="92">
        <f t="shared" si="1143"/>
        <v>0</v>
      </c>
      <c r="AS361" s="31" t="str">
        <f t="shared" si="1099"/>
        <v>SimulationStorage,1,</v>
      </c>
      <c r="AT361" s="31" t="str">
        <f t="shared" si="1100"/>
        <v>AnalysisStorage,1,</v>
      </c>
      <c r="AU361" s="31" t="str">
        <f t="shared" si="1101"/>
        <v>LogRuleEvaluation,0,</v>
      </c>
      <c r="AV361" s="31" t="str">
        <f t="shared" si="1102"/>
        <v>ParallelSimulations,1,</v>
      </c>
      <c r="AW361" s="31" t="str">
        <f t="shared" si="1103"/>
        <v>DurationStats,0,</v>
      </c>
      <c r="AX361" s="31" t="str">
        <f t="shared" si="1104"/>
        <v>AnalysisThruStep,8,</v>
      </c>
      <c r="AY361" s="31" t="str">
        <f t="shared" si="1105"/>
        <v>DontAbortOnErrorsThruStep,8,</v>
      </c>
      <c r="AZ361" s="31" t="str">
        <f t="shared" si="1106"/>
        <v>BypassValidFileChecks,1,</v>
      </c>
      <c r="BA361" s="31" t="str">
        <f t="shared" si="1107"/>
        <v>BypassInputChecks,0,</v>
      </c>
      <c r="BB361" s="31" t="str">
        <f t="shared" si="1108"/>
        <v>BypassUMLHChecks,0,</v>
      </c>
      <c r="BC361" s="31" t="str">
        <f t="shared" si="1109"/>
        <v>BypassCheckSimRules,0,</v>
      </c>
      <c r="BD361" s="31" t="str">
        <f t="shared" si="1110"/>
        <v>BypassCheckCodeRules,0,</v>
      </c>
      <c r="BE361" s="31" t="str">
        <f t="shared" si="1111"/>
        <v>StoreResultsToModelInput,1,</v>
      </c>
      <c r="BF361" s="31" t="str">
        <f t="shared" si="1112"/>
        <v>StoreBEMDetails,0,</v>
      </c>
      <c r="BG361" s="31" t="str">
        <f t="shared" si="1113"/>
        <v>ModelRpt_ALL,1,</v>
      </c>
      <c r="BH361" s="31" t="str">
        <f t="shared" si="1114"/>
        <v>ExportHourlyResults_All,0,</v>
      </c>
      <c r="BI361" s="31" t="str">
        <f t="shared" si="1115"/>
        <v>ComplianceReportPDF,0,</v>
      </c>
      <c r="BJ361" s="31" t="str">
        <f t="shared" si="1116"/>
        <v>ComplianceReportXML,0,</v>
      </c>
      <c r="BK361" s="31" t="str">
        <f t="shared" si="1117"/>
        <v>QuickAnalysis,0,</v>
      </c>
      <c r="BL361" s="31" t="str">
        <f t="shared" si="1118"/>
        <v>PromptUserUMLHWarning,0,</v>
      </c>
      <c r="BM361" s="31" t="str">
        <f t="shared" si="1119"/>
        <v>BypassOpenStudio_all,0,</v>
      </c>
      <c r="BN361" s="31" t="str">
        <f t="shared" si="1120"/>
        <v>BypassOpenStudio_zp,0,</v>
      </c>
      <c r="BO361" s="31" t="str">
        <f t="shared" si="1121"/>
        <v>BypassOpenStudio_zb,0,</v>
      </c>
      <c r="BP361" s="31" t="str">
        <f t="shared" si="1122"/>
        <v>BypassOpenStudio_ap,0,</v>
      </c>
      <c r="BQ361" s="31" t="str">
        <f t="shared" si="1123"/>
        <v>BypassOpenStudio_ab,0,</v>
      </c>
      <c r="BR361" s="31" t="str">
        <f t="shared" si="1124"/>
        <v>BypassOpenStudio_zp,0,</v>
      </c>
      <c r="BS361" s="31" t="str">
        <f t="shared" si="1125"/>
        <v>BypassOpenStudio_zb,0,</v>
      </c>
      <c r="BT361" s="31" t="str">
        <f t="shared" si="1126"/>
        <v>BypassOpenStudio_ap,0,</v>
      </c>
      <c r="BU361" s="31" t="str">
        <f t="shared" si="1127"/>
        <v>BypassOpenStudio_ab,0,</v>
      </c>
    </row>
    <row r="362" spans="1:73" outlineLevel="1" x14ac:dyDescent="0.25">
      <c r="A362" s="39">
        <f t="shared" si="1095"/>
        <v>0</v>
      </c>
      <c r="B362" s="27" t="str">
        <f t="shared" si="1128"/>
        <v>SoftwareSensitivity2016Tests\SimplifiedGeometry\x.cibd16</v>
      </c>
      <c r="C362" s="27" t="str">
        <f t="shared" si="1129"/>
        <v>BatchOut_171026_r5178_FinalRel-v3-SSTSG_SSTSG\x.cibd16</v>
      </c>
      <c r="D362" s="27" t="str">
        <f t="shared" si="1130"/>
        <v>BatchOut_171026_r5178_FinalRel-v3-SSTSG_SSTSG\XML\</v>
      </c>
      <c r="E362" s="9" t="str">
        <f t="shared" si="1131"/>
        <v>x</v>
      </c>
      <c r="F362" s="22"/>
      <c r="G362" s="29"/>
      <c r="H362" s="23" t="str">
        <f t="shared" si="1132"/>
        <v/>
      </c>
      <c r="I362" s="9" t="s">
        <v>11</v>
      </c>
      <c r="J36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2" s="15" t="s">
        <v>1</v>
      </c>
      <c r="L362" s="92">
        <f t="shared" si="1135"/>
        <v>0</v>
      </c>
      <c r="M362" s="91" t="str">
        <f t="shared" si="1133"/>
        <v>x</v>
      </c>
      <c r="N362" s="90" t="s">
        <v>149</v>
      </c>
      <c r="O362" s="90" t="str">
        <f t="shared" si="1097"/>
        <v>x</v>
      </c>
      <c r="P362" s="92">
        <f t="shared" si="1144"/>
        <v>1</v>
      </c>
      <c r="Q362" s="92">
        <f t="shared" si="1144"/>
        <v>1</v>
      </c>
      <c r="R362" s="92">
        <f t="shared" si="1144"/>
        <v>0</v>
      </c>
      <c r="S362" s="92">
        <f t="shared" si="1144"/>
        <v>1</v>
      </c>
      <c r="T362" s="92">
        <f t="shared" si="1144"/>
        <v>0</v>
      </c>
      <c r="U362" s="92">
        <f t="shared" si="1144"/>
        <v>8</v>
      </c>
      <c r="V362" s="92">
        <f t="shared" si="1144"/>
        <v>8</v>
      </c>
      <c r="W362" s="92">
        <f t="shared" si="1144"/>
        <v>1</v>
      </c>
      <c r="X362" s="92">
        <f t="shared" si="1144"/>
        <v>0</v>
      </c>
      <c r="Y362" s="92">
        <f t="shared" si="1144"/>
        <v>0</v>
      </c>
      <c r="Z362" s="92">
        <f t="shared" si="1144"/>
        <v>0</v>
      </c>
      <c r="AA362" s="92">
        <f t="shared" si="1144"/>
        <v>0</v>
      </c>
      <c r="AB362" s="92">
        <f t="shared" si="1144"/>
        <v>1</v>
      </c>
      <c r="AC362" s="92">
        <f t="shared" si="1144"/>
        <v>0</v>
      </c>
      <c r="AD362" s="92">
        <f t="shared" si="1144"/>
        <v>1</v>
      </c>
      <c r="AE362" s="92">
        <f t="shared" si="1144"/>
        <v>0</v>
      </c>
      <c r="AF362" s="92">
        <f t="shared" si="1144"/>
        <v>0</v>
      </c>
      <c r="AG362" s="92">
        <f t="shared" si="1144"/>
        <v>0</v>
      </c>
      <c r="AH362" s="92">
        <f t="shared" si="1144"/>
        <v>0</v>
      </c>
      <c r="AI362" s="92">
        <f t="shared" si="1144"/>
        <v>0</v>
      </c>
      <c r="AJ362" s="92">
        <f t="shared" si="1144"/>
        <v>0</v>
      </c>
      <c r="AK362" s="92">
        <f t="shared" si="1144"/>
        <v>0</v>
      </c>
      <c r="AL362" s="92">
        <f t="shared" si="1144"/>
        <v>0</v>
      </c>
      <c r="AM362" s="92">
        <f t="shared" si="1144"/>
        <v>0</v>
      </c>
      <c r="AN362" s="92">
        <f t="shared" si="1144"/>
        <v>0</v>
      </c>
      <c r="AO362" s="92">
        <f t="shared" si="1144"/>
        <v>0</v>
      </c>
      <c r="AP362" s="92">
        <f t="shared" si="1144"/>
        <v>0</v>
      </c>
      <c r="AQ362" s="92">
        <f t="shared" si="1144"/>
        <v>0</v>
      </c>
      <c r="AR362" s="92">
        <f t="shared" si="1143"/>
        <v>0</v>
      </c>
      <c r="AS362" s="31" t="str">
        <f t="shared" si="1099"/>
        <v>SimulationStorage,1,</v>
      </c>
      <c r="AT362" s="31" t="str">
        <f t="shared" si="1100"/>
        <v>AnalysisStorage,1,</v>
      </c>
      <c r="AU362" s="31" t="str">
        <f t="shared" si="1101"/>
        <v>LogRuleEvaluation,0,</v>
      </c>
      <c r="AV362" s="31" t="str">
        <f t="shared" si="1102"/>
        <v>ParallelSimulations,1,</v>
      </c>
      <c r="AW362" s="31" t="str">
        <f t="shared" si="1103"/>
        <v>DurationStats,0,</v>
      </c>
      <c r="AX362" s="31" t="str">
        <f t="shared" si="1104"/>
        <v>AnalysisThruStep,8,</v>
      </c>
      <c r="AY362" s="31" t="str">
        <f t="shared" si="1105"/>
        <v>DontAbortOnErrorsThruStep,8,</v>
      </c>
      <c r="AZ362" s="31" t="str">
        <f t="shared" si="1106"/>
        <v>BypassValidFileChecks,1,</v>
      </c>
      <c r="BA362" s="31" t="str">
        <f t="shared" si="1107"/>
        <v>BypassInputChecks,0,</v>
      </c>
      <c r="BB362" s="31" t="str">
        <f t="shared" si="1108"/>
        <v>BypassUMLHChecks,0,</v>
      </c>
      <c r="BC362" s="31" t="str">
        <f t="shared" si="1109"/>
        <v>BypassCheckSimRules,0,</v>
      </c>
      <c r="BD362" s="31" t="str">
        <f t="shared" si="1110"/>
        <v>BypassCheckCodeRules,0,</v>
      </c>
      <c r="BE362" s="31" t="str">
        <f t="shared" si="1111"/>
        <v>StoreResultsToModelInput,1,</v>
      </c>
      <c r="BF362" s="31" t="str">
        <f t="shared" si="1112"/>
        <v>StoreBEMDetails,0,</v>
      </c>
      <c r="BG362" s="31" t="str">
        <f t="shared" si="1113"/>
        <v>ModelRpt_ALL,1,</v>
      </c>
      <c r="BH362" s="31" t="str">
        <f t="shared" si="1114"/>
        <v>ExportHourlyResults_All,0,</v>
      </c>
      <c r="BI362" s="31" t="str">
        <f t="shared" si="1115"/>
        <v>ComplianceReportPDF,0,</v>
      </c>
      <c r="BJ362" s="31" t="str">
        <f t="shared" si="1116"/>
        <v>ComplianceReportXML,0,</v>
      </c>
      <c r="BK362" s="31" t="str">
        <f t="shared" si="1117"/>
        <v>QuickAnalysis,0,</v>
      </c>
      <c r="BL362" s="31" t="str">
        <f t="shared" si="1118"/>
        <v>PromptUserUMLHWarning,0,</v>
      </c>
      <c r="BM362" s="31" t="str">
        <f t="shared" si="1119"/>
        <v>BypassOpenStudio_all,0,</v>
      </c>
      <c r="BN362" s="31" t="str">
        <f t="shared" si="1120"/>
        <v>BypassOpenStudio_zp,0,</v>
      </c>
      <c r="BO362" s="31" t="str">
        <f t="shared" si="1121"/>
        <v>BypassOpenStudio_zb,0,</v>
      </c>
      <c r="BP362" s="31" t="str">
        <f t="shared" si="1122"/>
        <v>BypassOpenStudio_ap,0,</v>
      </c>
      <c r="BQ362" s="31" t="str">
        <f t="shared" si="1123"/>
        <v>BypassOpenStudio_ab,0,</v>
      </c>
      <c r="BR362" s="31" t="str">
        <f t="shared" si="1124"/>
        <v>BypassOpenStudio_zp,0,</v>
      </c>
      <c r="BS362" s="31" t="str">
        <f t="shared" si="1125"/>
        <v>BypassOpenStudio_zb,0,</v>
      </c>
      <c r="BT362" s="31" t="str">
        <f t="shared" si="1126"/>
        <v>BypassOpenStudio_ap,0,</v>
      </c>
      <c r="BU362" s="31" t="str">
        <f t="shared" si="1127"/>
        <v>BypassOpenStudio_ab,0,</v>
      </c>
    </row>
    <row r="363" spans="1:73" outlineLevel="1" x14ac:dyDescent="0.25">
      <c r="A363" s="39">
        <f t="shared" si="1095"/>
        <v>0</v>
      </c>
      <c r="B363" s="27" t="str">
        <f t="shared" si="1128"/>
        <v>SoftwareSensitivity2016Tests\SimplifiedGeometry\x.cibd16</v>
      </c>
      <c r="C363" s="27" t="str">
        <f t="shared" si="1129"/>
        <v>BatchOut_171026_r5178_FinalRel-v3-SSTSG_SSTSG\x.cibd16</v>
      </c>
      <c r="D363" s="27" t="str">
        <f t="shared" si="1130"/>
        <v>BatchOut_171026_r5178_FinalRel-v3-SSTSG_SSTSG\XML\</v>
      </c>
      <c r="E363" s="9" t="str">
        <f t="shared" si="1131"/>
        <v>x</v>
      </c>
      <c r="F363" s="22"/>
      <c r="G363" s="29"/>
      <c r="H363" s="23" t="str">
        <f t="shared" si="1132"/>
        <v/>
      </c>
      <c r="I363" s="9" t="s">
        <v>11</v>
      </c>
      <c r="J36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3" s="15" t="s">
        <v>1</v>
      </c>
      <c r="L363" s="92">
        <f t="shared" si="1135"/>
        <v>0</v>
      </c>
      <c r="M363" s="91" t="str">
        <f t="shared" si="1133"/>
        <v>x</v>
      </c>
      <c r="N363" s="90" t="s">
        <v>149</v>
      </c>
      <c r="O363" s="90" t="str">
        <f t="shared" si="1097"/>
        <v>x</v>
      </c>
      <c r="P363" s="92">
        <f t="shared" si="1144"/>
        <v>1</v>
      </c>
      <c r="Q363" s="92">
        <f t="shared" si="1144"/>
        <v>1</v>
      </c>
      <c r="R363" s="92">
        <f t="shared" si="1144"/>
        <v>0</v>
      </c>
      <c r="S363" s="92">
        <f t="shared" ref="P363:AQ372" si="1145">S362</f>
        <v>1</v>
      </c>
      <c r="T363" s="92">
        <f t="shared" si="1145"/>
        <v>0</v>
      </c>
      <c r="U363" s="92">
        <f t="shared" si="1145"/>
        <v>8</v>
      </c>
      <c r="V363" s="92">
        <f t="shared" si="1145"/>
        <v>8</v>
      </c>
      <c r="W363" s="92">
        <f t="shared" si="1145"/>
        <v>1</v>
      </c>
      <c r="X363" s="92">
        <f t="shared" si="1145"/>
        <v>0</v>
      </c>
      <c r="Y363" s="92">
        <f t="shared" si="1145"/>
        <v>0</v>
      </c>
      <c r="Z363" s="92">
        <f t="shared" si="1145"/>
        <v>0</v>
      </c>
      <c r="AA363" s="92">
        <f t="shared" si="1145"/>
        <v>0</v>
      </c>
      <c r="AB363" s="92">
        <f t="shared" si="1145"/>
        <v>1</v>
      </c>
      <c r="AC363" s="92">
        <f t="shared" si="1145"/>
        <v>0</v>
      </c>
      <c r="AD363" s="92">
        <f t="shared" si="1145"/>
        <v>1</v>
      </c>
      <c r="AE363" s="92">
        <f t="shared" si="1145"/>
        <v>0</v>
      </c>
      <c r="AF363" s="92">
        <f t="shared" si="1145"/>
        <v>0</v>
      </c>
      <c r="AG363" s="92">
        <f t="shared" si="1145"/>
        <v>0</v>
      </c>
      <c r="AH363" s="92">
        <f t="shared" si="1145"/>
        <v>0</v>
      </c>
      <c r="AI363" s="92">
        <f t="shared" si="1145"/>
        <v>0</v>
      </c>
      <c r="AJ363" s="92">
        <f t="shared" si="1145"/>
        <v>0</v>
      </c>
      <c r="AK363" s="92">
        <f t="shared" si="1145"/>
        <v>0</v>
      </c>
      <c r="AL363" s="92">
        <f t="shared" si="1145"/>
        <v>0</v>
      </c>
      <c r="AM363" s="92">
        <f t="shared" si="1145"/>
        <v>0</v>
      </c>
      <c r="AN363" s="92">
        <f t="shared" si="1145"/>
        <v>0</v>
      </c>
      <c r="AO363" s="92">
        <f t="shared" si="1145"/>
        <v>0</v>
      </c>
      <c r="AP363" s="92">
        <f t="shared" si="1145"/>
        <v>0</v>
      </c>
      <c r="AQ363" s="92">
        <f t="shared" si="1145"/>
        <v>0</v>
      </c>
      <c r="AR363" s="92">
        <f t="shared" si="1143"/>
        <v>0</v>
      </c>
      <c r="AS363" s="31" t="str">
        <f t="shared" si="1099"/>
        <v>SimulationStorage,1,</v>
      </c>
      <c r="AT363" s="31" t="str">
        <f t="shared" si="1100"/>
        <v>AnalysisStorage,1,</v>
      </c>
      <c r="AU363" s="31" t="str">
        <f t="shared" si="1101"/>
        <v>LogRuleEvaluation,0,</v>
      </c>
      <c r="AV363" s="31" t="str">
        <f t="shared" si="1102"/>
        <v>ParallelSimulations,1,</v>
      </c>
      <c r="AW363" s="31" t="str">
        <f t="shared" si="1103"/>
        <v>DurationStats,0,</v>
      </c>
      <c r="AX363" s="31" t="str">
        <f t="shared" si="1104"/>
        <v>AnalysisThruStep,8,</v>
      </c>
      <c r="AY363" s="31" t="str">
        <f t="shared" si="1105"/>
        <v>DontAbortOnErrorsThruStep,8,</v>
      </c>
      <c r="AZ363" s="31" t="str">
        <f t="shared" si="1106"/>
        <v>BypassValidFileChecks,1,</v>
      </c>
      <c r="BA363" s="31" t="str">
        <f t="shared" si="1107"/>
        <v>BypassInputChecks,0,</v>
      </c>
      <c r="BB363" s="31" t="str">
        <f t="shared" si="1108"/>
        <v>BypassUMLHChecks,0,</v>
      </c>
      <c r="BC363" s="31" t="str">
        <f t="shared" si="1109"/>
        <v>BypassCheckSimRules,0,</v>
      </c>
      <c r="BD363" s="31" t="str">
        <f t="shared" si="1110"/>
        <v>BypassCheckCodeRules,0,</v>
      </c>
      <c r="BE363" s="31" t="str">
        <f t="shared" si="1111"/>
        <v>StoreResultsToModelInput,1,</v>
      </c>
      <c r="BF363" s="31" t="str">
        <f t="shared" si="1112"/>
        <v>StoreBEMDetails,0,</v>
      </c>
      <c r="BG363" s="31" t="str">
        <f t="shared" si="1113"/>
        <v>ModelRpt_ALL,1,</v>
      </c>
      <c r="BH363" s="31" t="str">
        <f t="shared" si="1114"/>
        <v>ExportHourlyResults_All,0,</v>
      </c>
      <c r="BI363" s="31" t="str">
        <f t="shared" si="1115"/>
        <v>ComplianceReportPDF,0,</v>
      </c>
      <c r="BJ363" s="31" t="str">
        <f t="shared" si="1116"/>
        <v>ComplianceReportXML,0,</v>
      </c>
      <c r="BK363" s="31" t="str">
        <f t="shared" si="1117"/>
        <v>QuickAnalysis,0,</v>
      </c>
      <c r="BL363" s="31" t="str">
        <f t="shared" si="1118"/>
        <v>PromptUserUMLHWarning,0,</v>
      </c>
      <c r="BM363" s="31" t="str">
        <f t="shared" si="1119"/>
        <v>BypassOpenStudio_all,0,</v>
      </c>
      <c r="BN363" s="31" t="str">
        <f t="shared" si="1120"/>
        <v>BypassOpenStudio_zp,0,</v>
      </c>
      <c r="BO363" s="31" t="str">
        <f t="shared" si="1121"/>
        <v>BypassOpenStudio_zb,0,</v>
      </c>
      <c r="BP363" s="31" t="str">
        <f t="shared" si="1122"/>
        <v>BypassOpenStudio_ap,0,</v>
      </c>
      <c r="BQ363" s="31" t="str">
        <f t="shared" si="1123"/>
        <v>BypassOpenStudio_ab,0,</v>
      </c>
      <c r="BR363" s="31" t="str">
        <f t="shared" si="1124"/>
        <v>BypassOpenStudio_zp,0,</v>
      </c>
      <c r="BS363" s="31" t="str">
        <f t="shared" si="1125"/>
        <v>BypassOpenStudio_zb,0,</v>
      </c>
      <c r="BT363" s="31" t="str">
        <f t="shared" si="1126"/>
        <v>BypassOpenStudio_ap,0,</v>
      </c>
      <c r="BU363" s="31" t="str">
        <f t="shared" si="1127"/>
        <v>BypassOpenStudio_ab,0,</v>
      </c>
    </row>
    <row r="364" spans="1:73" outlineLevel="1" x14ac:dyDescent="0.25">
      <c r="A364" s="39">
        <f t="shared" si="1095"/>
        <v>0</v>
      </c>
      <c r="B364" s="27" t="str">
        <f t="shared" si="1128"/>
        <v>SoftwareSensitivity2016Tests\SimplifiedGeometry\x.cibd16</v>
      </c>
      <c r="C364" s="27" t="str">
        <f t="shared" si="1129"/>
        <v>BatchOut_171026_r5178_FinalRel-v3-SSTSG_SSTSG\x.cibd16</v>
      </c>
      <c r="D364" s="27" t="str">
        <f t="shared" si="1130"/>
        <v>BatchOut_171026_r5178_FinalRel-v3-SSTSG_SSTSG\XML\</v>
      </c>
      <c r="E364" s="9" t="str">
        <f t="shared" si="1131"/>
        <v>x</v>
      </c>
      <c r="F364" s="22"/>
      <c r="G364" s="29"/>
      <c r="H364" s="23" t="str">
        <f t="shared" si="1132"/>
        <v/>
      </c>
      <c r="I364" s="9" t="s">
        <v>11</v>
      </c>
      <c r="J36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4" s="15" t="s">
        <v>1</v>
      </c>
      <c r="L364" s="92">
        <f t="shared" si="1135"/>
        <v>0</v>
      </c>
      <c r="M364" s="91" t="str">
        <f t="shared" si="1133"/>
        <v>x</v>
      </c>
      <c r="N364" s="90" t="s">
        <v>149</v>
      </c>
      <c r="O364" s="90" t="str">
        <f t="shared" si="1097"/>
        <v>x</v>
      </c>
      <c r="P364" s="92">
        <f t="shared" si="1145"/>
        <v>1</v>
      </c>
      <c r="Q364" s="92">
        <f t="shared" si="1145"/>
        <v>1</v>
      </c>
      <c r="R364" s="92">
        <f t="shared" si="1145"/>
        <v>0</v>
      </c>
      <c r="S364" s="92">
        <f t="shared" si="1145"/>
        <v>1</v>
      </c>
      <c r="T364" s="92">
        <f t="shared" si="1145"/>
        <v>0</v>
      </c>
      <c r="U364" s="92">
        <f t="shared" si="1145"/>
        <v>8</v>
      </c>
      <c r="V364" s="92">
        <f t="shared" si="1145"/>
        <v>8</v>
      </c>
      <c r="W364" s="92">
        <f t="shared" si="1145"/>
        <v>1</v>
      </c>
      <c r="X364" s="92">
        <f t="shared" si="1145"/>
        <v>0</v>
      </c>
      <c r="Y364" s="92">
        <f t="shared" si="1145"/>
        <v>0</v>
      </c>
      <c r="Z364" s="92">
        <f t="shared" si="1145"/>
        <v>0</v>
      </c>
      <c r="AA364" s="92">
        <f t="shared" si="1145"/>
        <v>0</v>
      </c>
      <c r="AB364" s="92">
        <f t="shared" si="1145"/>
        <v>1</v>
      </c>
      <c r="AC364" s="92">
        <f t="shared" si="1145"/>
        <v>0</v>
      </c>
      <c r="AD364" s="92">
        <f t="shared" si="1145"/>
        <v>1</v>
      </c>
      <c r="AE364" s="92">
        <f t="shared" si="1145"/>
        <v>0</v>
      </c>
      <c r="AF364" s="92">
        <f t="shared" si="1145"/>
        <v>0</v>
      </c>
      <c r="AG364" s="92">
        <f t="shared" si="1145"/>
        <v>0</v>
      </c>
      <c r="AH364" s="92">
        <f t="shared" si="1145"/>
        <v>0</v>
      </c>
      <c r="AI364" s="92">
        <f t="shared" si="1145"/>
        <v>0</v>
      </c>
      <c r="AJ364" s="92">
        <f t="shared" si="1145"/>
        <v>0</v>
      </c>
      <c r="AK364" s="92">
        <f t="shared" si="1145"/>
        <v>0</v>
      </c>
      <c r="AL364" s="92">
        <f t="shared" si="1145"/>
        <v>0</v>
      </c>
      <c r="AM364" s="92">
        <f t="shared" si="1145"/>
        <v>0</v>
      </c>
      <c r="AN364" s="92">
        <f t="shared" si="1145"/>
        <v>0</v>
      </c>
      <c r="AO364" s="92">
        <f t="shared" si="1145"/>
        <v>0</v>
      </c>
      <c r="AP364" s="92">
        <f t="shared" si="1145"/>
        <v>0</v>
      </c>
      <c r="AQ364" s="92">
        <f t="shared" si="1145"/>
        <v>0</v>
      </c>
      <c r="AR364" s="92">
        <f t="shared" si="1143"/>
        <v>0</v>
      </c>
      <c r="AS364" s="31" t="str">
        <f t="shared" si="1099"/>
        <v>SimulationStorage,1,</v>
      </c>
      <c r="AT364" s="31" t="str">
        <f t="shared" si="1100"/>
        <v>AnalysisStorage,1,</v>
      </c>
      <c r="AU364" s="31" t="str">
        <f t="shared" si="1101"/>
        <v>LogRuleEvaluation,0,</v>
      </c>
      <c r="AV364" s="31" t="str">
        <f t="shared" si="1102"/>
        <v>ParallelSimulations,1,</v>
      </c>
      <c r="AW364" s="31" t="str">
        <f t="shared" si="1103"/>
        <v>DurationStats,0,</v>
      </c>
      <c r="AX364" s="31" t="str">
        <f t="shared" si="1104"/>
        <v>AnalysisThruStep,8,</v>
      </c>
      <c r="AY364" s="31" t="str">
        <f t="shared" si="1105"/>
        <v>DontAbortOnErrorsThruStep,8,</v>
      </c>
      <c r="AZ364" s="31" t="str">
        <f t="shared" si="1106"/>
        <v>BypassValidFileChecks,1,</v>
      </c>
      <c r="BA364" s="31" t="str">
        <f t="shared" si="1107"/>
        <v>BypassInputChecks,0,</v>
      </c>
      <c r="BB364" s="31" t="str">
        <f t="shared" si="1108"/>
        <v>BypassUMLHChecks,0,</v>
      </c>
      <c r="BC364" s="31" t="str">
        <f t="shared" si="1109"/>
        <v>BypassCheckSimRules,0,</v>
      </c>
      <c r="BD364" s="31" t="str">
        <f t="shared" si="1110"/>
        <v>BypassCheckCodeRules,0,</v>
      </c>
      <c r="BE364" s="31" t="str">
        <f t="shared" si="1111"/>
        <v>StoreResultsToModelInput,1,</v>
      </c>
      <c r="BF364" s="31" t="str">
        <f t="shared" si="1112"/>
        <v>StoreBEMDetails,0,</v>
      </c>
      <c r="BG364" s="31" t="str">
        <f t="shared" si="1113"/>
        <v>ModelRpt_ALL,1,</v>
      </c>
      <c r="BH364" s="31" t="str">
        <f t="shared" si="1114"/>
        <v>ExportHourlyResults_All,0,</v>
      </c>
      <c r="BI364" s="31" t="str">
        <f t="shared" si="1115"/>
        <v>ComplianceReportPDF,0,</v>
      </c>
      <c r="BJ364" s="31" t="str">
        <f t="shared" si="1116"/>
        <v>ComplianceReportXML,0,</v>
      </c>
      <c r="BK364" s="31" t="str">
        <f t="shared" si="1117"/>
        <v>QuickAnalysis,0,</v>
      </c>
      <c r="BL364" s="31" t="str">
        <f t="shared" si="1118"/>
        <v>PromptUserUMLHWarning,0,</v>
      </c>
      <c r="BM364" s="31" t="str">
        <f t="shared" si="1119"/>
        <v>BypassOpenStudio_all,0,</v>
      </c>
      <c r="BN364" s="31" t="str">
        <f t="shared" si="1120"/>
        <v>BypassOpenStudio_zp,0,</v>
      </c>
      <c r="BO364" s="31" t="str">
        <f t="shared" si="1121"/>
        <v>BypassOpenStudio_zb,0,</v>
      </c>
      <c r="BP364" s="31" t="str">
        <f t="shared" si="1122"/>
        <v>BypassOpenStudio_ap,0,</v>
      </c>
      <c r="BQ364" s="31" t="str">
        <f t="shared" si="1123"/>
        <v>BypassOpenStudio_ab,0,</v>
      </c>
      <c r="BR364" s="31" t="str">
        <f t="shared" si="1124"/>
        <v>BypassOpenStudio_zp,0,</v>
      </c>
      <c r="BS364" s="31" t="str">
        <f t="shared" si="1125"/>
        <v>BypassOpenStudio_zb,0,</v>
      </c>
      <c r="BT364" s="31" t="str">
        <f t="shared" si="1126"/>
        <v>BypassOpenStudio_ap,0,</v>
      </c>
      <c r="BU364" s="31" t="str">
        <f t="shared" si="1127"/>
        <v>BypassOpenStudio_ab,0,</v>
      </c>
    </row>
    <row r="365" spans="1:73" outlineLevel="1" x14ac:dyDescent="0.25">
      <c r="A365" s="39">
        <f t="shared" si="1095"/>
        <v>0</v>
      </c>
      <c r="B365" s="27" t="str">
        <f t="shared" si="1128"/>
        <v>SoftwareSensitivity2016Tests\SimplifiedGeometry\x.cibd16</v>
      </c>
      <c r="C365" s="27" t="str">
        <f t="shared" si="1129"/>
        <v>BatchOut_171026_r5178_FinalRel-v3-SSTSG_SSTSG\x.cibd16</v>
      </c>
      <c r="D365" s="27" t="str">
        <f t="shared" si="1130"/>
        <v>BatchOut_171026_r5178_FinalRel-v3-SSTSG_SSTSG\XML\</v>
      </c>
      <c r="E365" s="9" t="str">
        <f t="shared" si="1131"/>
        <v>x</v>
      </c>
      <c r="F365" s="22"/>
      <c r="G365" s="29"/>
      <c r="H365" s="23" t="str">
        <f t="shared" si="1132"/>
        <v/>
      </c>
      <c r="I365" s="9" t="s">
        <v>11</v>
      </c>
      <c r="J36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5" s="15" t="s">
        <v>1</v>
      </c>
      <c r="L365" s="92">
        <f t="shared" si="1135"/>
        <v>0</v>
      </c>
      <c r="M365" s="91" t="str">
        <f t="shared" si="1133"/>
        <v>x</v>
      </c>
      <c r="N365" s="90" t="s">
        <v>149</v>
      </c>
      <c r="O365" s="90" t="str">
        <f t="shared" si="1097"/>
        <v>x</v>
      </c>
      <c r="P365" s="92">
        <f t="shared" si="1145"/>
        <v>1</v>
      </c>
      <c r="Q365" s="92">
        <f t="shared" si="1145"/>
        <v>1</v>
      </c>
      <c r="R365" s="92">
        <f t="shared" si="1145"/>
        <v>0</v>
      </c>
      <c r="S365" s="92">
        <f t="shared" si="1145"/>
        <v>1</v>
      </c>
      <c r="T365" s="92">
        <f t="shared" si="1145"/>
        <v>0</v>
      </c>
      <c r="U365" s="92">
        <f t="shared" si="1145"/>
        <v>8</v>
      </c>
      <c r="V365" s="92">
        <f t="shared" si="1145"/>
        <v>8</v>
      </c>
      <c r="W365" s="92">
        <f t="shared" si="1145"/>
        <v>1</v>
      </c>
      <c r="X365" s="92">
        <f t="shared" si="1145"/>
        <v>0</v>
      </c>
      <c r="Y365" s="92">
        <f t="shared" si="1145"/>
        <v>0</v>
      </c>
      <c r="Z365" s="92">
        <f t="shared" si="1145"/>
        <v>0</v>
      </c>
      <c r="AA365" s="92">
        <f t="shared" si="1145"/>
        <v>0</v>
      </c>
      <c r="AB365" s="92">
        <f t="shared" si="1145"/>
        <v>1</v>
      </c>
      <c r="AC365" s="92">
        <f t="shared" si="1145"/>
        <v>0</v>
      </c>
      <c r="AD365" s="92">
        <f t="shared" si="1145"/>
        <v>1</v>
      </c>
      <c r="AE365" s="92">
        <f t="shared" si="1145"/>
        <v>0</v>
      </c>
      <c r="AF365" s="92">
        <f t="shared" si="1145"/>
        <v>0</v>
      </c>
      <c r="AG365" s="92">
        <f t="shared" si="1145"/>
        <v>0</v>
      </c>
      <c r="AH365" s="92">
        <f t="shared" si="1145"/>
        <v>0</v>
      </c>
      <c r="AI365" s="92">
        <f t="shared" si="1145"/>
        <v>0</v>
      </c>
      <c r="AJ365" s="92">
        <f t="shared" si="1145"/>
        <v>0</v>
      </c>
      <c r="AK365" s="92">
        <f t="shared" si="1145"/>
        <v>0</v>
      </c>
      <c r="AL365" s="92">
        <f t="shared" si="1145"/>
        <v>0</v>
      </c>
      <c r="AM365" s="92">
        <f t="shared" si="1145"/>
        <v>0</v>
      </c>
      <c r="AN365" s="92">
        <f t="shared" si="1145"/>
        <v>0</v>
      </c>
      <c r="AO365" s="92">
        <f t="shared" si="1145"/>
        <v>0</v>
      </c>
      <c r="AP365" s="92">
        <f t="shared" si="1145"/>
        <v>0</v>
      </c>
      <c r="AQ365" s="92">
        <f t="shared" si="1145"/>
        <v>0</v>
      </c>
      <c r="AR365" s="92">
        <f t="shared" si="1143"/>
        <v>0</v>
      </c>
      <c r="AS365" s="31" t="str">
        <f t="shared" si="1099"/>
        <v>SimulationStorage,1,</v>
      </c>
      <c r="AT365" s="31" t="str">
        <f t="shared" si="1100"/>
        <v>AnalysisStorage,1,</v>
      </c>
      <c r="AU365" s="31" t="str">
        <f t="shared" si="1101"/>
        <v>LogRuleEvaluation,0,</v>
      </c>
      <c r="AV365" s="31" t="str">
        <f t="shared" si="1102"/>
        <v>ParallelSimulations,1,</v>
      </c>
      <c r="AW365" s="31" t="str">
        <f t="shared" si="1103"/>
        <v>DurationStats,0,</v>
      </c>
      <c r="AX365" s="31" t="str">
        <f t="shared" si="1104"/>
        <v>AnalysisThruStep,8,</v>
      </c>
      <c r="AY365" s="31" t="str">
        <f t="shared" si="1105"/>
        <v>DontAbortOnErrorsThruStep,8,</v>
      </c>
      <c r="AZ365" s="31" t="str">
        <f t="shared" si="1106"/>
        <v>BypassValidFileChecks,1,</v>
      </c>
      <c r="BA365" s="31" t="str">
        <f t="shared" si="1107"/>
        <v>BypassInputChecks,0,</v>
      </c>
      <c r="BB365" s="31" t="str">
        <f t="shared" si="1108"/>
        <v>BypassUMLHChecks,0,</v>
      </c>
      <c r="BC365" s="31" t="str">
        <f t="shared" si="1109"/>
        <v>BypassCheckSimRules,0,</v>
      </c>
      <c r="BD365" s="31" t="str">
        <f t="shared" si="1110"/>
        <v>BypassCheckCodeRules,0,</v>
      </c>
      <c r="BE365" s="31" t="str">
        <f t="shared" si="1111"/>
        <v>StoreResultsToModelInput,1,</v>
      </c>
      <c r="BF365" s="31" t="str">
        <f t="shared" si="1112"/>
        <v>StoreBEMDetails,0,</v>
      </c>
      <c r="BG365" s="31" t="str">
        <f t="shared" si="1113"/>
        <v>ModelRpt_ALL,1,</v>
      </c>
      <c r="BH365" s="31" t="str">
        <f t="shared" si="1114"/>
        <v>ExportHourlyResults_All,0,</v>
      </c>
      <c r="BI365" s="31" t="str">
        <f t="shared" si="1115"/>
        <v>ComplianceReportPDF,0,</v>
      </c>
      <c r="BJ365" s="31" t="str">
        <f t="shared" si="1116"/>
        <v>ComplianceReportXML,0,</v>
      </c>
      <c r="BK365" s="31" t="str">
        <f t="shared" si="1117"/>
        <v>QuickAnalysis,0,</v>
      </c>
      <c r="BL365" s="31" t="str">
        <f t="shared" si="1118"/>
        <v>PromptUserUMLHWarning,0,</v>
      </c>
      <c r="BM365" s="31" t="str">
        <f t="shared" si="1119"/>
        <v>BypassOpenStudio_all,0,</v>
      </c>
      <c r="BN365" s="31" t="str">
        <f t="shared" si="1120"/>
        <v>BypassOpenStudio_zp,0,</v>
      </c>
      <c r="BO365" s="31" t="str">
        <f t="shared" si="1121"/>
        <v>BypassOpenStudio_zb,0,</v>
      </c>
      <c r="BP365" s="31" t="str">
        <f t="shared" si="1122"/>
        <v>BypassOpenStudio_ap,0,</v>
      </c>
      <c r="BQ365" s="31" t="str">
        <f t="shared" si="1123"/>
        <v>BypassOpenStudio_ab,0,</v>
      </c>
      <c r="BR365" s="31" t="str">
        <f t="shared" si="1124"/>
        <v>BypassOpenStudio_zp,0,</v>
      </c>
      <c r="BS365" s="31" t="str">
        <f t="shared" si="1125"/>
        <v>BypassOpenStudio_zb,0,</v>
      </c>
      <c r="BT365" s="31" t="str">
        <f t="shared" si="1126"/>
        <v>BypassOpenStudio_ap,0,</v>
      </c>
      <c r="BU365" s="31" t="str">
        <f t="shared" si="1127"/>
        <v>BypassOpenStudio_ab,0,</v>
      </c>
    </row>
    <row r="366" spans="1:73" outlineLevel="1" x14ac:dyDescent="0.25">
      <c r="A366" s="39">
        <f t="shared" si="1095"/>
        <v>0</v>
      </c>
      <c r="B366" s="27" t="str">
        <f t="shared" si="1128"/>
        <v>SoftwareSensitivity2016Tests\SimplifiedGeometry\x.cibd16</v>
      </c>
      <c r="C366" s="27" t="str">
        <f t="shared" si="1129"/>
        <v>BatchOut_171026_r5178_FinalRel-v3-SSTSG_SSTSG\x.cibd16</v>
      </c>
      <c r="D366" s="27" t="str">
        <f t="shared" si="1130"/>
        <v>BatchOut_171026_r5178_FinalRel-v3-SSTSG_SSTSG\XML\</v>
      </c>
      <c r="E366" s="9" t="str">
        <f t="shared" si="1131"/>
        <v>x</v>
      </c>
      <c r="F366" s="22"/>
      <c r="G366" s="29"/>
      <c r="H366" s="23" t="str">
        <f t="shared" si="1132"/>
        <v/>
      </c>
      <c r="I366" s="9" t="s">
        <v>11</v>
      </c>
      <c r="J36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6" s="15" t="s">
        <v>1</v>
      </c>
      <c r="L366" s="92">
        <f t="shared" si="1135"/>
        <v>0</v>
      </c>
      <c r="M366" s="91" t="str">
        <f t="shared" si="1133"/>
        <v>x</v>
      </c>
      <c r="N366" s="90" t="s">
        <v>149</v>
      </c>
      <c r="O366" s="90" t="str">
        <f t="shared" si="1097"/>
        <v>x</v>
      </c>
      <c r="P366" s="92">
        <f t="shared" si="1145"/>
        <v>1</v>
      </c>
      <c r="Q366" s="92">
        <f t="shared" si="1145"/>
        <v>1</v>
      </c>
      <c r="R366" s="92">
        <f t="shared" si="1145"/>
        <v>0</v>
      </c>
      <c r="S366" s="92">
        <f t="shared" si="1145"/>
        <v>1</v>
      </c>
      <c r="T366" s="92">
        <f t="shared" si="1145"/>
        <v>0</v>
      </c>
      <c r="U366" s="92">
        <f t="shared" si="1145"/>
        <v>8</v>
      </c>
      <c r="V366" s="92">
        <f t="shared" si="1145"/>
        <v>8</v>
      </c>
      <c r="W366" s="92">
        <f t="shared" si="1145"/>
        <v>1</v>
      </c>
      <c r="X366" s="92">
        <f t="shared" si="1145"/>
        <v>0</v>
      </c>
      <c r="Y366" s="92">
        <f t="shared" si="1145"/>
        <v>0</v>
      </c>
      <c r="Z366" s="92">
        <f t="shared" si="1145"/>
        <v>0</v>
      </c>
      <c r="AA366" s="92">
        <f t="shared" si="1145"/>
        <v>0</v>
      </c>
      <c r="AB366" s="92">
        <f t="shared" si="1145"/>
        <v>1</v>
      </c>
      <c r="AC366" s="92">
        <f t="shared" si="1145"/>
        <v>0</v>
      </c>
      <c r="AD366" s="92">
        <f t="shared" si="1145"/>
        <v>1</v>
      </c>
      <c r="AE366" s="92">
        <f t="shared" si="1145"/>
        <v>0</v>
      </c>
      <c r="AF366" s="92">
        <f t="shared" si="1145"/>
        <v>0</v>
      </c>
      <c r="AG366" s="92">
        <f t="shared" si="1145"/>
        <v>0</v>
      </c>
      <c r="AH366" s="92">
        <f t="shared" si="1145"/>
        <v>0</v>
      </c>
      <c r="AI366" s="92">
        <f t="shared" si="1145"/>
        <v>0</v>
      </c>
      <c r="AJ366" s="92">
        <f t="shared" si="1145"/>
        <v>0</v>
      </c>
      <c r="AK366" s="92">
        <f t="shared" si="1145"/>
        <v>0</v>
      </c>
      <c r="AL366" s="92">
        <f t="shared" si="1145"/>
        <v>0</v>
      </c>
      <c r="AM366" s="92">
        <f t="shared" si="1145"/>
        <v>0</v>
      </c>
      <c r="AN366" s="92">
        <f t="shared" si="1145"/>
        <v>0</v>
      </c>
      <c r="AO366" s="92">
        <f t="shared" si="1145"/>
        <v>0</v>
      </c>
      <c r="AP366" s="92">
        <f t="shared" si="1145"/>
        <v>0</v>
      </c>
      <c r="AQ366" s="92">
        <f t="shared" si="1145"/>
        <v>0</v>
      </c>
      <c r="AR366" s="92">
        <f t="shared" si="1143"/>
        <v>0</v>
      </c>
      <c r="AS366" s="31" t="str">
        <f t="shared" si="1099"/>
        <v>SimulationStorage,1,</v>
      </c>
      <c r="AT366" s="31" t="str">
        <f t="shared" si="1100"/>
        <v>AnalysisStorage,1,</v>
      </c>
      <c r="AU366" s="31" t="str">
        <f t="shared" si="1101"/>
        <v>LogRuleEvaluation,0,</v>
      </c>
      <c r="AV366" s="31" t="str">
        <f t="shared" si="1102"/>
        <v>ParallelSimulations,1,</v>
      </c>
      <c r="AW366" s="31" t="str">
        <f t="shared" si="1103"/>
        <v>DurationStats,0,</v>
      </c>
      <c r="AX366" s="31" t="str">
        <f t="shared" si="1104"/>
        <v>AnalysisThruStep,8,</v>
      </c>
      <c r="AY366" s="31" t="str">
        <f t="shared" si="1105"/>
        <v>DontAbortOnErrorsThruStep,8,</v>
      </c>
      <c r="AZ366" s="31" t="str">
        <f t="shared" si="1106"/>
        <v>BypassValidFileChecks,1,</v>
      </c>
      <c r="BA366" s="31" t="str">
        <f t="shared" si="1107"/>
        <v>BypassInputChecks,0,</v>
      </c>
      <c r="BB366" s="31" t="str">
        <f t="shared" si="1108"/>
        <v>BypassUMLHChecks,0,</v>
      </c>
      <c r="BC366" s="31" t="str">
        <f t="shared" si="1109"/>
        <v>BypassCheckSimRules,0,</v>
      </c>
      <c r="BD366" s="31" t="str">
        <f t="shared" si="1110"/>
        <v>BypassCheckCodeRules,0,</v>
      </c>
      <c r="BE366" s="31" t="str">
        <f t="shared" si="1111"/>
        <v>StoreResultsToModelInput,1,</v>
      </c>
      <c r="BF366" s="31" t="str">
        <f t="shared" si="1112"/>
        <v>StoreBEMDetails,0,</v>
      </c>
      <c r="BG366" s="31" t="str">
        <f t="shared" si="1113"/>
        <v>ModelRpt_ALL,1,</v>
      </c>
      <c r="BH366" s="31" t="str">
        <f t="shared" si="1114"/>
        <v>ExportHourlyResults_All,0,</v>
      </c>
      <c r="BI366" s="31" t="str">
        <f t="shared" si="1115"/>
        <v>ComplianceReportPDF,0,</v>
      </c>
      <c r="BJ366" s="31" t="str">
        <f t="shared" si="1116"/>
        <v>ComplianceReportXML,0,</v>
      </c>
      <c r="BK366" s="31" t="str">
        <f t="shared" si="1117"/>
        <v>QuickAnalysis,0,</v>
      </c>
      <c r="BL366" s="31" t="str">
        <f t="shared" si="1118"/>
        <v>PromptUserUMLHWarning,0,</v>
      </c>
      <c r="BM366" s="31" t="str">
        <f t="shared" si="1119"/>
        <v>BypassOpenStudio_all,0,</v>
      </c>
      <c r="BN366" s="31" t="str">
        <f t="shared" si="1120"/>
        <v>BypassOpenStudio_zp,0,</v>
      </c>
      <c r="BO366" s="31" t="str">
        <f t="shared" si="1121"/>
        <v>BypassOpenStudio_zb,0,</v>
      </c>
      <c r="BP366" s="31" t="str">
        <f t="shared" si="1122"/>
        <v>BypassOpenStudio_ap,0,</v>
      </c>
      <c r="BQ366" s="31" t="str">
        <f t="shared" si="1123"/>
        <v>BypassOpenStudio_ab,0,</v>
      </c>
      <c r="BR366" s="31" t="str">
        <f t="shared" si="1124"/>
        <v>BypassOpenStudio_zp,0,</v>
      </c>
      <c r="BS366" s="31" t="str">
        <f t="shared" si="1125"/>
        <v>BypassOpenStudio_zb,0,</v>
      </c>
      <c r="BT366" s="31" t="str">
        <f t="shared" si="1126"/>
        <v>BypassOpenStudio_ap,0,</v>
      </c>
      <c r="BU366" s="31" t="str">
        <f t="shared" si="1127"/>
        <v>BypassOpenStudio_ab,0,</v>
      </c>
    </row>
    <row r="367" spans="1:73" outlineLevel="1" x14ac:dyDescent="0.25">
      <c r="A367" s="39">
        <f t="shared" si="1095"/>
        <v>0</v>
      </c>
      <c r="B367" s="27" t="str">
        <f t="shared" si="1128"/>
        <v>SoftwareSensitivity2016Tests\SimplifiedGeometry\x.cibd16</v>
      </c>
      <c r="C367" s="27" t="str">
        <f t="shared" si="1129"/>
        <v>BatchOut_171026_r5178_FinalRel-v3-SSTSG_SSTSG\x.cibd16</v>
      </c>
      <c r="D367" s="27" t="str">
        <f t="shared" si="1130"/>
        <v>BatchOut_171026_r5178_FinalRel-v3-SSTSG_SSTSG\XML\</v>
      </c>
      <c r="E367" s="9" t="str">
        <f t="shared" si="1131"/>
        <v>x</v>
      </c>
      <c r="F367" s="22"/>
      <c r="G367" s="29"/>
      <c r="H367" s="23" t="str">
        <f t="shared" si="1132"/>
        <v/>
      </c>
      <c r="I367" s="9" t="s">
        <v>11</v>
      </c>
      <c r="J36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7" s="15" t="s">
        <v>1</v>
      </c>
      <c r="L367" s="92">
        <f t="shared" si="1135"/>
        <v>0</v>
      </c>
      <c r="M367" s="91" t="str">
        <f t="shared" si="1133"/>
        <v>x</v>
      </c>
      <c r="N367" s="90" t="s">
        <v>149</v>
      </c>
      <c r="O367" s="90" t="str">
        <f t="shared" si="1097"/>
        <v>x</v>
      </c>
      <c r="P367" s="92">
        <f t="shared" si="1145"/>
        <v>1</v>
      </c>
      <c r="Q367" s="92">
        <f t="shared" si="1145"/>
        <v>1</v>
      </c>
      <c r="R367" s="92">
        <f t="shared" si="1145"/>
        <v>0</v>
      </c>
      <c r="S367" s="92">
        <f t="shared" si="1145"/>
        <v>1</v>
      </c>
      <c r="T367" s="92">
        <f t="shared" si="1145"/>
        <v>0</v>
      </c>
      <c r="U367" s="92">
        <f t="shared" si="1145"/>
        <v>8</v>
      </c>
      <c r="V367" s="92">
        <f t="shared" si="1145"/>
        <v>8</v>
      </c>
      <c r="W367" s="92">
        <f t="shared" si="1145"/>
        <v>1</v>
      </c>
      <c r="X367" s="92">
        <f t="shared" si="1145"/>
        <v>0</v>
      </c>
      <c r="Y367" s="92">
        <f t="shared" si="1145"/>
        <v>0</v>
      </c>
      <c r="Z367" s="92">
        <f t="shared" si="1145"/>
        <v>0</v>
      </c>
      <c r="AA367" s="92">
        <f t="shared" si="1145"/>
        <v>0</v>
      </c>
      <c r="AB367" s="92">
        <f t="shared" si="1145"/>
        <v>1</v>
      </c>
      <c r="AC367" s="92">
        <f t="shared" si="1145"/>
        <v>0</v>
      </c>
      <c r="AD367" s="92">
        <f t="shared" si="1145"/>
        <v>1</v>
      </c>
      <c r="AE367" s="92">
        <f t="shared" si="1145"/>
        <v>0</v>
      </c>
      <c r="AF367" s="92">
        <f t="shared" si="1145"/>
        <v>0</v>
      </c>
      <c r="AG367" s="92">
        <f t="shared" si="1145"/>
        <v>0</v>
      </c>
      <c r="AH367" s="92">
        <f t="shared" si="1145"/>
        <v>0</v>
      </c>
      <c r="AI367" s="92">
        <f t="shared" si="1145"/>
        <v>0</v>
      </c>
      <c r="AJ367" s="92">
        <f t="shared" si="1145"/>
        <v>0</v>
      </c>
      <c r="AK367" s="92">
        <f t="shared" si="1145"/>
        <v>0</v>
      </c>
      <c r="AL367" s="92">
        <f t="shared" si="1145"/>
        <v>0</v>
      </c>
      <c r="AM367" s="92">
        <f t="shared" si="1145"/>
        <v>0</v>
      </c>
      <c r="AN367" s="92">
        <f t="shared" si="1145"/>
        <v>0</v>
      </c>
      <c r="AO367" s="92">
        <f t="shared" si="1145"/>
        <v>0</v>
      </c>
      <c r="AP367" s="92">
        <f t="shared" si="1145"/>
        <v>0</v>
      </c>
      <c r="AQ367" s="92">
        <f t="shared" si="1145"/>
        <v>0</v>
      </c>
      <c r="AR367" s="92">
        <f t="shared" si="1143"/>
        <v>0</v>
      </c>
      <c r="AS367" s="31" t="str">
        <f t="shared" si="1099"/>
        <v>SimulationStorage,1,</v>
      </c>
      <c r="AT367" s="31" t="str">
        <f t="shared" si="1100"/>
        <v>AnalysisStorage,1,</v>
      </c>
      <c r="AU367" s="31" t="str">
        <f t="shared" si="1101"/>
        <v>LogRuleEvaluation,0,</v>
      </c>
      <c r="AV367" s="31" t="str">
        <f t="shared" si="1102"/>
        <v>ParallelSimulations,1,</v>
      </c>
      <c r="AW367" s="31" t="str">
        <f t="shared" si="1103"/>
        <v>DurationStats,0,</v>
      </c>
      <c r="AX367" s="31" t="str">
        <f t="shared" si="1104"/>
        <v>AnalysisThruStep,8,</v>
      </c>
      <c r="AY367" s="31" t="str">
        <f t="shared" si="1105"/>
        <v>DontAbortOnErrorsThruStep,8,</v>
      </c>
      <c r="AZ367" s="31" t="str">
        <f t="shared" si="1106"/>
        <v>BypassValidFileChecks,1,</v>
      </c>
      <c r="BA367" s="31" t="str">
        <f t="shared" si="1107"/>
        <v>BypassInputChecks,0,</v>
      </c>
      <c r="BB367" s="31" t="str">
        <f t="shared" si="1108"/>
        <v>BypassUMLHChecks,0,</v>
      </c>
      <c r="BC367" s="31" t="str">
        <f t="shared" si="1109"/>
        <v>BypassCheckSimRules,0,</v>
      </c>
      <c r="BD367" s="31" t="str">
        <f t="shared" si="1110"/>
        <v>BypassCheckCodeRules,0,</v>
      </c>
      <c r="BE367" s="31" t="str">
        <f t="shared" si="1111"/>
        <v>StoreResultsToModelInput,1,</v>
      </c>
      <c r="BF367" s="31" t="str">
        <f t="shared" si="1112"/>
        <v>StoreBEMDetails,0,</v>
      </c>
      <c r="BG367" s="31" t="str">
        <f t="shared" si="1113"/>
        <v>ModelRpt_ALL,1,</v>
      </c>
      <c r="BH367" s="31" t="str">
        <f t="shared" si="1114"/>
        <v>ExportHourlyResults_All,0,</v>
      </c>
      <c r="BI367" s="31" t="str">
        <f t="shared" si="1115"/>
        <v>ComplianceReportPDF,0,</v>
      </c>
      <c r="BJ367" s="31" t="str">
        <f t="shared" si="1116"/>
        <v>ComplianceReportXML,0,</v>
      </c>
      <c r="BK367" s="31" t="str">
        <f t="shared" si="1117"/>
        <v>QuickAnalysis,0,</v>
      </c>
      <c r="BL367" s="31" t="str">
        <f t="shared" si="1118"/>
        <v>PromptUserUMLHWarning,0,</v>
      </c>
      <c r="BM367" s="31" t="str">
        <f t="shared" si="1119"/>
        <v>BypassOpenStudio_all,0,</v>
      </c>
      <c r="BN367" s="31" t="str">
        <f t="shared" si="1120"/>
        <v>BypassOpenStudio_zp,0,</v>
      </c>
      <c r="BO367" s="31" t="str">
        <f t="shared" si="1121"/>
        <v>BypassOpenStudio_zb,0,</v>
      </c>
      <c r="BP367" s="31" t="str">
        <f t="shared" si="1122"/>
        <v>BypassOpenStudio_ap,0,</v>
      </c>
      <c r="BQ367" s="31" t="str">
        <f t="shared" si="1123"/>
        <v>BypassOpenStudio_ab,0,</v>
      </c>
      <c r="BR367" s="31" t="str">
        <f t="shared" si="1124"/>
        <v>BypassOpenStudio_zp,0,</v>
      </c>
      <c r="BS367" s="31" t="str">
        <f t="shared" si="1125"/>
        <v>BypassOpenStudio_zb,0,</v>
      </c>
      <c r="BT367" s="31" t="str">
        <f t="shared" si="1126"/>
        <v>BypassOpenStudio_ap,0,</v>
      </c>
      <c r="BU367" s="31" t="str">
        <f t="shared" si="1127"/>
        <v>BypassOpenStudio_ab,0,</v>
      </c>
    </row>
    <row r="368" spans="1:73" outlineLevel="1" x14ac:dyDescent="0.25">
      <c r="A368" s="39">
        <f t="shared" si="1095"/>
        <v>0</v>
      </c>
      <c r="B368" s="27" t="str">
        <f t="shared" si="1128"/>
        <v>SoftwareSensitivity2016Tests\SimplifiedGeometry\x.cibd16</v>
      </c>
      <c r="C368" s="27" t="str">
        <f t="shared" si="1129"/>
        <v>BatchOut_171026_r5178_FinalRel-v3-SSTSG_SSTSG\x.cibd16</v>
      </c>
      <c r="D368" s="27" t="str">
        <f t="shared" si="1130"/>
        <v>BatchOut_171026_r5178_FinalRel-v3-SSTSG_SSTSG\XML\</v>
      </c>
      <c r="E368" s="9" t="str">
        <f t="shared" si="1131"/>
        <v>x</v>
      </c>
      <c r="F368" s="22"/>
      <c r="G368" s="29"/>
      <c r="H368" s="23" t="str">
        <f t="shared" si="1132"/>
        <v/>
      </c>
      <c r="I368" s="9" t="s">
        <v>11</v>
      </c>
      <c r="J36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8" s="15" t="s">
        <v>1</v>
      </c>
      <c r="L368" s="92">
        <f t="shared" si="1135"/>
        <v>0</v>
      </c>
      <c r="M368" s="91" t="str">
        <f t="shared" si="1133"/>
        <v>x</v>
      </c>
      <c r="N368" s="90" t="s">
        <v>149</v>
      </c>
      <c r="O368" s="90" t="str">
        <f t="shared" si="1097"/>
        <v>x</v>
      </c>
      <c r="P368" s="92">
        <f t="shared" si="1145"/>
        <v>1</v>
      </c>
      <c r="Q368" s="92">
        <f t="shared" si="1145"/>
        <v>1</v>
      </c>
      <c r="R368" s="92">
        <f t="shared" si="1145"/>
        <v>0</v>
      </c>
      <c r="S368" s="92">
        <f t="shared" si="1145"/>
        <v>1</v>
      </c>
      <c r="T368" s="92">
        <f t="shared" si="1145"/>
        <v>0</v>
      </c>
      <c r="U368" s="92">
        <f t="shared" si="1145"/>
        <v>8</v>
      </c>
      <c r="V368" s="92">
        <f t="shared" si="1145"/>
        <v>8</v>
      </c>
      <c r="W368" s="92">
        <f t="shared" si="1145"/>
        <v>1</v>
      </c>
      <c r="X368" s="92">
        <f t="shared" si="1145"/>
        <v>0</v>
      </c>
      <c r="Y368" s="92">
        <f t="shared" si="1145"/>
        <v>0</v>
      </c>
      <c r="Z368" s="92">
        <f t="shared" si="1145"/>
        <v>0</v>
      </c>
      <c r="AA368" s="92">
        <f t="shared" si="1145"/>
        <v>0</v>
      </c>
      <c r="AB368" s="92">
        <f t="shared" si="1145"/>
        <v>1</v>
      </c>
      <c r="AC368" s="92">
        <f t="shared" si="1145"/>
        <v>0</v>
      </c>
      <c r="AD368" s="92">
        <f t="shared" si="1145"/>
        <v>1</v>
      </c>
      <c r="AE368" s="92">
        <f t="shared" si="1145"/>
        <v>0</v>
      </c>
      <c r="AF368" s="92">
        <f t="shared" si="1145"/>
        <v>0</v>
      </c>
      <c r="AG368" s="92">
        <f t="shared" si="1145"/>
        <v>0</v>
      </c>
      <c r="AH368" s="92">
        <f t="shared" si="1145"/>
        <v>0</v>
      </c>
      <c r="AI368" s="92">
        <f t="shared" si="1145"/>
        <v>0</v>
      </c>
      <c r="AJ368" s="92">
        <f t="shared" si="1145"/>
        <v>0</v>
      </c>
      <c r="AK368" s="92">
        <f t="shared" si="1145"/>
        <v>0</v>
      </c>
      <c r="AL368" s="92">
        <f t="shared" si="1145"/>
        <v>0</v>
      </c>
      <c r="AM368" s="92">
        <f t="shared" si="1145"/>
        <v>0</v>
      </c>
      <c r="AN368" s="92">
        <f t="shared" si="1145"/>
        <v>0</v>
      </c>
      <c r="AO368" s="92">
        <f t="shared" si="1145"/>
        <v>0</v>
      </c>
      <c r="AP368" s="92">
        <f t="shared" si="1145"/>
        <v>0</v>
      </c>
      <c r="AQ368" s="92">
        <f t="shared" si="1145"/>
        <v>0</v>
      </c>
      <c r="AR368" s="92">
        <f t="shared" si="1143"/>
        <v>0</v>
      </c>
      <c r="AS368" s="31" t="str">
        <f t="shared" si="1099"/>
        <v>SimulationStorage,1,</v>
      </c>
      <c r="AT368" s="31" t="str">
        <f t="shared" si="1100"/>
        <v>AnalysisStorage,1,</v>
      </c>
      <c r="AU368" s="31" t="str">
        <f t="shared" si="1101"/>
        <v>LogRuleEvaluation,0,</v>
      </c>
      <c r="AV368" s="31" t="str">
        <f t="shared" si="1102"/>
        <v>ParallelSimulations,1,</v>
      </c>
      <c r="AW368" s="31" t="str">
        <f t="shared" si="1103"/>
        <v>DurationStats,0,</v>
      </c>
      <c r="AX368" s="31" t="str">
        <f t="shared" si="1104"/>
        <v>AnalysisThruStep,8,</v>
      </c>
      <c r="AY368" s="31" t="str">
        <f t="shared" si="1105"/>
        <v>DontAbortOnErrorsThruStep,8,</v>
      </c>
      <c r="AZ368" s="31" t="str">
        <f t="shared" si="1106"/>
        <v>BypassValidFileChecks,1,</v>
      </c>
      <c r="BA368" s="31" t="str">
        <f t="shared" si="1107"/>
        <v>BypassInputChecks,0,</v>
      </c>
      <c r="BB368" s="31" t="str">
        <f t="shared" si="1108"/>
        <v>BypassUMLHChecks,0,</v>
      </c>
      <c r="BC368" s="31" t="str">
        <f t="shared" si="1109"/>
        <v>BypassCheckSimRules,0,</v>
      </c>
      <c r="BD368" s="31" t="str">
        <f t="shared" si="1110"/>
        <v>BypassCheckCodeRules,0,</v>
      </c>
      <c r="BE368" s="31" t="str">
        <f t="shared" si="1111"/>
        <v>StoreResultsToModelInput,1,</v>
      </c>
      <c r="BF368" s="31" t="str">
        <f t="shared" si="1112"/>
        <v>StoreBEMDetails,0,</v>
      </c>
      <c r="BG368" s="31" t="str">
        <f t="shared" si="1113"/>
        <v>ModelRpt_ALL,1,</v>
      </c>
      <c r="BH368" s="31" t="str">
        <f t="shared" si="1114"/>
        <v>ExportHourlyResults_All,0,</v>
      </c>
      <c r="BI368" s="31" t="str">
        <f t="shared" si="1115"/>
        <v>ComplianceReportPDF,0,</v>
      </c>
      <c r="BJ368" s="31" t="str">
        <f t="shared" si="1116"/>
        <v>ComplianceReportXML,0,</v>
      </c>
      <c r="BK368" s="31" t="str">
        <f t="shared" si="1117"/>
        <v>QuickAnalysis,0,</v>
      </c>
      <c r="BL368" s="31" t="str">
        <f t="shared" si="1118"/>
        <v>PromptUserUMLHWarning,0,</v>
      </c>
      <c r="BM368" s="31" t="str">
        <f t="shared" si="1119"/>
        <v>BypassOpenStudio_all,0,</v>
      </c>
      <c r="BN368" s="31" t="str">
        <f t="shared" si="1120"/>
        <v>BypassOpenStudio_zp,0,</v>
      </c>
      <c r="BO368" s="31" t="str">
        <f t="shared" si="1121"/>
        <v>BypassOpenStudio_zb,0,</v>
      </c>
      <c r="BP368" s="31" t="str">
        <f t="shared" si="1122"/>
        <v>BypassOpenStudio_ap,0,</v>
      </c>
      <c r="BQ368" s="31" t="str">
        <f t="shared" si="1123"/>
        <v>BypassOpenStudio_ab,0,</v>
      </c>
      <c r="BR368" s="31" t="str">
        <f t="shared" si="1124"/>
        <v>BypassOpenStudio_zp,0,</v>
      </c>
      <c r="BS368" s="31" t="str">
        <f t="shared" si="1125"/>
        <v>BypassOpenStudio_zb,0,</v>
      </c>
      <c r="BT368" s="31" t="str">
        <f t="shared" si="1126"/>
        <v>BypassOpenStudio_ap,0,</v>
      </c>
      <c r="BU368" s="31" t="str">
        <f t="shared" si="1127"/>
        <v>BypassOpenStudio_ab,0,</v>
      </c>
    </row>
    <row r="369" spans="1:73" outlineLevel="1" x14ac:dyDescent="0.25">
      <c r="A369" s="39">
        <f t="shared" si="1095"/>
        <v>0</v>
      </c>
      <c r="B369" s="27" t="str">
        <f t="shared" si="1128"/>
        <v>SoftwareSensitivity2016Tests\SimplifiedGeometry\x.cibd16</v>
      </c>
      <c r="C369" s="27" t="str">
        <f t="shared" si="1129"/>
        <v>BatchOut_171026_r5178_FinalRel-v3-SSTSG_SSTSG\x.cibd16</v>
      </c>
      <c r="D369" s="27" t="str">
        <f t="shared" si="1130"/>
        <v>BatchOut_171026_r5178_FinalRel-v3-SSTSG_SSTSG\XML\</v>
      </c>
      <c r="E369" s="9" t="str">
        <f t="shared" si="1131"/>
        <v>x</v>
      </c>
      <c r="F369" s="22"/>
      <c r="G369" s="29"/>
      <c r="H369" s="23" t="str">
        <f t="shared" si="1132"/>
        <v/>
      </c>
      <c r="I369" s="9" t="s">
        <v>11</v>
      </c>
      <c r="J36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9" s="15" t="s">
        <v>1</v>
      </c>
      <c r="L369" s="92">
        <f t="shared" si="1135"/>
        <v>0</v>
      </c>
      <c r="M369" s="91" t="str">
        <f t="shared" si="1133"/>
        <v>x</v>
      </c>
      <c r="N369" s="90" t="s">
        <v>149</v>
      </c>
      <c r="O369" s="90" t="str">
        <f t="shared" si="1097"/>
        <v>x</v>
      </c>
      <c r="P369" s="92">
        <f t="shared" si="1145"/>
        <v>1</v>
      </c>
      <c r="Q369" s="92">
        <f t="shared" si="1145"/>
        <v>1</v>
      </c>
      <c r="R369" s="92">
        <f t="shared" si="1145"/>
        <v>0</v>
      </c>
      <c r="S369" s="92">
        <f t="shared" si="1145"/>
        <v>1</v>
      </c>
      <c r="T369" s="92">
        <f t="shared" si="1145"/>
        <v>0</v>
      </c>
      <c r="U369" s="92">
        <f t="shared" si="1145"/>
        <v>8</v>
      </c>
      <c r="V369" s="92">
        <f t="shared" si="1145"/>
        <v>8</v>
      </c>
      <c r="W369" s="92">
        <f t="shared" si="1145"/>
        <v>1</v>
      </c>
      <c r="X369" s="92">
        <f t="shared" si="1145"/>
        <v>0</v>
      </c>
      <c r="Y369" s="92">
        <f t="shared" si="1145"/>
        <v>0</v>
      </c>
      <c r="Z369" s="92">
        <f t="shared" si="1145"/>
        <v>0</v>
      </c>
      <c r="AA369" s="92">
        <f t="shared" si="1145"/>
        <v>0</v>
      </c>
      <c r="AB369" s="92">
        <f t="shared" si="1145"/>
        <v>1</v>
      </c>
      <c r="AC369" s="92">
        <f t="shared" si="1145"/>
        <v>0</v>
      </c>
      <c r="AD369" s="92">
        <f t="shared" si="1145"/>
        <v>1</v>
      </c>
      <c r="AE369" s="92">
        <f t="shared" si="1145"/>
        <v>0</v>
      </c>
      <c r="AF369" s="92">
        <f t="shared" si="1145"/>
        <v>0</v>
      </c>
      <c r="AG369" s="92">
        <f t="shared" si="1145"/>
        <v>0</v>
      </c>
      <c r="AH369" s="92">
        <f t="shared" si="1145"/>
        <v>0</v>
      </c>
      <c r="AI369" s="92">
        <f t="shared" si="1145"/>
        <v>0</v>
      </c>
      <c r="AJ369" s="92">
        <f t="shared" si="1145"/>
        <v>0</v>
      </c>
      <c r="AK369" s="92">
        <f t="shared" si="1145"/>
        <v>0</v>
      </c>
      <c r="AL369" s="92">
        <f t="shared" si="1145"/>
        <v>0</v>
      </c>
      <c r="AM369" s="92">
        <f t="shared" si="1145"/>
        <v>0</v>
      </c>
      <c r="AN369" s="92">
        <f t="shared" si="1145"/>
        <v>0</v>
      </c>
      <c r="AO369" s="92">
        <f t="shared" si="1145"/>
        <v>0</v>
      </c>
      <c r="AP369" s="92">
        <f t="shared" si="1145"/>
        <v>0</v>
      </c>
      <c r="AQ369" s="92">
        <f t="shared" si="1145"/>
        <v>0</v>
      </c>
      <c r="AR369" s="92">
        <f t="shared" ref="AR369:AR402" si="1146">AR368</f>
        <v>0</v>
      </c>
      <c r="AS369" s="31" t="str">
        <f t="shared" si="1099"/>
        <v>SimulationStorage,1,</v>
      </c>
      <c r="AT369" s="31" t="str">
        <f t="shared" si="1100"/>
        <v>AnalysisStorage,1,</v>
      </c>
      <c r="AU369" s="31" t="str">
        <f t="shared" si="1101"/>
        <v>LogRuleEvaluation,0,</v>
      </c>
      <c r="AV369" s="31" t="str">
        <f t="shared" si="1102"/>
        <v>ParallelSimulations,1,</v>
      </c>
      <c r="AW369" s="31" t="str">
        <f t="shared" si="1103"/>
        <v>DurationStats,0,</v>
      </c>
      <c r="AX369" s="31" t="str">
        <f t="shared" si="1104"/>
        <v>AnalysisThruStep,8,</v>
      </c>
      <c r="AY369" s="31" t="str">
        <f t="shared" si="1105"/>
        <v>DontAbortOnErrorsThruStep,8,</v>
      </c>
      <c r="AZ369" s="31" t="str">
        <f t="shared" si="1106"/>
        <v>BypassValidFileChecks,1,</v>
      </c>
      <c r="BA369" s="31" t="str">
        <f t="shared" si="1107"/>
        <v>BypassInputChecks,0,</v>
      </c>
      <c r="BB369" s="31" t="str">
        <f t="shared" si="1108"/>
        <v>BypassUMLHChecks,0,</v>
      </c>
      <c r="BC369" s="31" t="str">
        <f t="shared" si="1109"/>
        <v>BypassCheckSimRules,0,</v>
      </c>
      <c r="BD369" s="31" t="str">
        <f t="shared" si="1110"/>
        <v>BypassCheckCodeRules,0,</v>
      </c>
      <c r="BE369" s="31" t="str">
        <f t="shared" si="1111"/>
        <v>StoreResultsToModelInput,1,</v>
      </c>
      <c r="BF369" s="31" t="str">
        <f t="shared" si="1112"/>
        <v>StoreBEMDetails,0,</v>
      </c>
      <c r="BG369" s="31" t="str">
        <f t="shared" si="1113"/>
        <v>ModelRpt_ALL,1,</v>
      </c>
      <c r="BH369" s="31" t="str">
        <f t="shared" si="1114"/>
        <v>ExportHourlyResults_All,0,</v>
      </c>
      <c r="BI369" s="31" t="str">
        <f t="shared" si="1115"/>
        <v>ComplianceReportPDF,0,</v>
      </c>
      <c r="BJ369" s="31" t="str">
        <f t="shared" si="1116"/>
        <v>ComplianceReportXML,0,</v>
      </c>
      <c r="BK369" s="31" t="str">
        <f t="shared" si="1117"/>
        <v>QuickAnalysis,0,</v>
      </c>
      <c r="BL369" s="31" t="str">
        <f t="shared" si="1118"/>
        <v>PromptUserUMLHWarning,0,</v>
      </c>
      <c r="BM369" s="31" t="str">
        <f t="shared" si="1119"/>
        <v>BypassOpenStudio_all,0,</v>
      </c>
      <c r="BN369" s="31" t="str">
        <f t="shared" si="1120"/>
        <v>BypassOpenStudio_zp,0,</v>
      </c>
      <c r="BO369" s="31" t="str">
        <f t="shared" si="1121"/>
        <v>BypassOpenStudio_zb,0,</v>
      </c>
      <c r="BP369" s="31" t="str">
        <f t="shared" si="1122"/>
        <v>BypassOpenStudio_ap,0,</v>
      </c>
      <c r="BQ369" s="31" t="str">
        <f t="shared" si="1123"/>
        <v>BypassOpenStudio_ab,0,</v>
      </c>
      <c r="BR369" s="31" t="str">
        <f t="shared" si="1124"/>
        <v>BypassOpenStudio_zp,0,</v>
      </c>
      <c r="BS369" s="31" t="str">
        <f t="shared" si="1125"/>
        <v>BypassOpenStudio_zb,0,</v>
      </c>
      <c r="BT369" s="31" t="str">
        <f t="shared" si="1126"/>
        <v>BypassOpenStudio_ap,0,</v>
      </c>
      <c r="BU369" s="31" t="str">
        <f t="shared" si="1127"/>
        <v>BypassOpenStudio_ab,0,</v>
      </c>
    </row>
    <row r="370" spans="1:73" outlineLevel="1" x14ac:dyDescent="0.25">
      <c r="A370" s="39">
        <f t="shared" si="1095"/>
        <v>0</v>
      </c>
      <c r="B370" s="27" t="str">
        <f t="shared" si="1128"/>
        <v>SoftwareSensitivity2016Tests\SimplifiedGeometry\x.cibd16</v>
      </c>
      <c r="C370" s="27" t="str">
        <f t="shared" si="1129"/>
        <v>BatchOut_171026_r5178_FinalRel-v3-SSTSG_SSTSG\x.cibd16</v>
      </c>
      <c r="D370" s="27" t="str">
        <f t="shared" si="1130"/>
        <v>BatchOut_171026_r5178_FinalRel-v3-SSTSG_SSTSG\XML\</v>
      </c>
      <c r="E370" s="9" t="str">
        <f t="shared" si="1131"/>
        <v>x</v>
      </c>
      <c r="F370" s="22"/>
      <c r="G370" s="29"/>
      <c r="H370" s="23" t="str">
        <f t="shared" si="1132"/>
        <v/>
      </c>
      <c r="I370" s="9" t="s">
        <v>11</v>
      </c>
      <c r="J37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0" s="15" t="s">
        <v>1</v>
      </c>
      <c r="L370" s="92">
        <f t="shared" si="1135"/>
        <v>0</v>
      </c>
      <c r="M370" s="91" t="str">
        <f t="shared" si="1133"/>
        <v>x</v>
      </c>
      <c r="N370" s="90" t="s">
        <v>149</v>
      </c>
      <c r="O370" s="90" t="str">
        <f t="shared" si="1097"/>
        <v>x</v>
      </c>
      <c r="P370" s="92">
        <f t="shared" si="1145"/>
        <v>1</v>
      </c>
      <c r="Q370" s="92">
        <f t="shared" si="1145"/>
        <v>1</v>
      </c>
      <c r="R370" s="92">
        <f t="shared" si="1145"/>
        <v>0</v>
      </c>
      <c r="S370" s="92">
        <f t="shared" si="1145"/>
        <v>1</v>
      </c>
      <c r="T370" s="92">
        <f t="shared" si="1145"/>
        <v>0</v>
      </c>
      <c r="U370" s="92">
        <f t="shared" si="1145"/>
        <v>8</v>
      </c>
      <c r="V370" s="92">
        <f t="shared" si="1145"/>
        <v>8</v>
      </c>
      <c r="W370" s="92">
        <f t="shared" si="1145"/>
        <v>1</v>
      </c>
      <c r="X370" s="92">
        <f t="shared" si="1145"/>
        <v>0</v>
      </c>
      <c r="Y370" s="92">
        <f t="shared" si="1145"/>
        <v>0</v>
      </c>
      <c r="Z370" s="92">
        <f t="shared" si="1145"/>
        <v>0</v>
      </c>
      <c r="AA370" s="92">
        <f t="shared" si="1145"/>
        <v>0</v>
      </c>
      <c r="AB370" s="92">
        <f t="shared" si="1145"/>
        <v>1</v>
      </c>
      <c r="AC370" s="92">
        <f t="shared" si="1145"/>
        <v>0</v>
      </c>
      <c r="AD370" s="92">
        <f t="shared" si="1145"/>
        <v>1</v>
      </c>
      <c r="AE370" s="92">
        <f t="shared" si="1145"/>
        <v>0</v>
      </c>
      <c r="AF370" s="92">
        <f t="shared" si="1145"/>
        <v>0</v>
      </c>
      <c r="AG370" s="92">
        <f t="shared" si="1145"/>
        <v>0</v>
      </c>
      <c r="AH370" s="92">
        <f t="shared" si="1145"/>
        <v>0</v>
      </c>
      <c r="AI370" s="92">
        <f t="shared" si="1145"/>
        <v>0</v>
      </c>
      <c r="AJ370" s="92">
        <f t="shared" si="1145"/>
        <v>0</v>
      </c>
      <c r="AK370" s="92">
        <f t="shared" si="1145"/>
        <v>0</v>
      </c>
      <c r="AL370" s="92">
        <f t="shared" si="1145"/>
        <v>0</v>
      </c>
      <c r="AM370" s="92">
        <f t="shared" si="1145"/>
        <v>0</v>
      </c>
      <c r="AN370" s="92">
        <f t="shared" si="1145"/>
        <v>0</v>
      </c>
      <c r="AO370" s="92">
        <f t="shared" si="1145"/>
        <v>0</v>
      </c>
      <c r="AP370" s="92">
        <f t="shared" si="1145"/>
        <v>0</v>
      </c>
      <c r="AQ370" s="92">
        <f t="shared" si="1145"/>
        <v>0</v>
      </c>
      <c r="AR370" s="92">
        <f t="shared" si="1146"/>
        <v>0</v>
      </c>
      <c r="AS370" s="31" t="str">
        <f t="shared" si="1099"/>
        <v>SimulationStorage,1,</v>
      </c>
      <c r="AT370" s="31" t="str">
        <f t="shared" si="1100"/>
        <v>AnalysisStorage,1,</v>
      </c>
      <c r="AU370" s="31" t="str">
        <f t="shared" si="1101"/>
        <v>LogRuleEvaluation,0,</v>
      </c>
      <c r="AV370" s="31" t="str">
        <f t="shared" si="1102"/>
        <v>ParallelSimulations,1,</v>
      </c>
      <c r="AW370" s="31" t="str">
        <f t="shared" si="1103"/>
        <v>DurationStats,0,</v>
      </c>
      <c r="AX370" s="31" t="str">
        <f t="shared" si="1104"/>
        <v>AnalysisThruStep,8,</v>
      </c>
      <c r="AY370" s="31" t="str">
        <f t="shared" si="1105"/>
        <v>DontAbortOnErrorsThruStep,8,</v>
      </c>
      <c r="AZ370" s="31" t="str">
        <f t="shared" si="1106"/>
        <v>BypassValidFileChecks,1,</v>
      </c>
      <c r="BA370" s="31" t="str">
        <f t="shared" si="1107"/>
        <v>BypassInputChecks,0,</v>
      </c>
      <c r="BB370" s="31" t="str">
        <f t="shared" si="1108"/>
        <v>BypassUMLHChecks,0,</v>
      </c>
      <c r="BC370" s="31" t="str">
        <f t="shared" si="1109"/>
        <v>BypassCheckSimRules,0,</v>
      </c>
      <c r="BD370" s="31" t="str">
        <f t="shared" si="1110"/>
        <v>BypassCheckCodeRules,0,</v>
      </c>
      <c r="BE370" s="31" t="str">
        <f t="shared" si="1111"/>
        <v>StoreResultsToModelInput,1,</v>
      </c>
      <c r="BF370" s="31" t="str">
        <f t="shared" si="1112"/>
        <v>StoreBEMDetails,0,</v>
      </c>
      <c r="BG370" s="31" t="str">
        <f t="shared" si="1113"/>
        <v>ModelRpt_ALL,1,</v>
      </c>
      <c r="BH370" s="31" t="str">
        <f t="shared" si="1114"/>
        <v>ExportHourlyResults_All,0,</v>
      </c>
      <c r="BI370" s="31" t="str">
        <f t="shared" si="1115"/>
        <v>ComplianceReportPDF,0,</v>
      </c>
      <c r="BJ370" s="31" t="str">
        <f t="shared" si="1116"/>
        <v>ComplianceReportXML,0,</v>
      </c>
      <c r="BK370" s="31" t="str">
        <f t="shared" si="1117"/>
        <v>QuickAnalysis,0,</v>
      </c>
      <c r="BL370" s="31" t="str">
        <f t="shared" si="1118"/>
        <v>PromptUserUMLHWarning,0,</v>
      </c>
      <c r="BM370" s="31" t="str">
        <f t="shared" si="1119"/>
        <v>BypassOpenStudio_all,0,</v>
      </c>
      <c r="BN370" s="31" t="str">
        <f t="shared" si="1120"/>
        <v>BypassOpenStudio_zp,0,</v>
      </c>
      <c r="BO370" s="31" t="str">
        <f t="shared" si="1121"/>
        <v>BypassOpenStudio_zb,0,</v>
      </c>
      <c r="BP370" s="31" t="str">
        <f t="shared" si="1122"/>
        <v>BypassOpenStudio_ap,0,</v>
      </c>
      <c r="BQ370" s="31" t="str">
        <f t="shared" si="1123"/>
        <v>BypassOpenStudio_ab,0,</v>
      </c>
      <c r="BR370" s="31" t="str">
        <f t="shared" si="1124"/>
        <v>BypassOpenStudio_zp,0,</v>
      </c>
      <c r="BS370" s="31" t="str">
        <f t="shared" si="1125"/>
        <v>BypassOpenStudio_zb,0,</v>
      </c>
      <c r="BT370" s="31" t="str">
        <f t="shared" si="1126"/>
        <v>BypassOpenStudio_ap,0,</v>
      </c>
      <c r="BU370" s="31" t="str">
        <f t="shared" si="1127"/>
        <v>BypassOpenStudio_ab,0,</v>
      </c>
    </row>
    <row r="371" spans="1:73" outlineLevel="1" x14ac:dyDescent="0.25">
      <c r="A371" s="39">
        <f t="shared" si="1095"/>
        <v>0</v>
      </c>
      <c r="B371" s="27" t="str">
        <f t="shared" si="1128"/>
        <v>SoftwareSensitivity2016Tests\SimplifiedGeometry\x.cibd16</v>
      </c>
      <c r="C371" s="27" t="str">
        <f t="shared" si="1129"/>
        <v>BatchOut_171026_r5178_FinalRel-v3-SSTSG_SSTSG\x.cibd16</v>
      </c>
      <c r="D371" s="27" t="str">
        <f t="shared" si="1130"/>
        <v>BatchOut_171026_r5178_FinalRel-v3-SSTSG_SSTSG\XML\</v>
      </c>
      <c r="E371" s="9" t="str">
        <f t="shared" si="1131"/>
        <v>x</v>
      </c>
      <c r="F371" s="22"/>
      <c r="G371" s="29"/>
      <c r="H371" s="23" t="str">
        <f t="shared" si="1132"/>
        <v/>
      </c>
      <c r="I371" s="9" t="s">
        <v>11</v>
      </c>
      <c r="J37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1" s="15" t="s">
        <v>1</v>
      </c>
      <c r="L371" s="92">
        <f t="shared" si="1135"/>
        <v>0</v>
      </c>
      <c r="M371" s="91" t="str">
        <f t="shared" si="1133"/>
        <v>x</v>
      </c>
      <c r="N371" s="90" t="s">
        <v>149</v>
      </c>
      <c r="O371" s="90" t="str">
        <f t="shared" si="1097"/>
        <v>x</v>
      </c>
      <c r="P371" s="92">
        <f t="shared" si="1145"/>
        <v>1</v>
      </c>
      <c r="Q371" s="92">
        <f t="shared" si="1145"/>
        <v>1</v>
      </c>
      <c r="R371" s="92">
        <f t="shared" si="1145"/>
        <v>0</v>
      </c>
      <c r="S371" s="92">
        <f t="shared" si="1145"/>
        <v>1</v>
      </c>
      <c r="T371" s="92">
        <f t="shared" si="1145"/>
        <v>0</v>
      </c>
      <c r="U371" s="92">
        <f t="shared" si="1145"/>
        <v>8</v>
      </c>
      <c r="V371" s="92">
        <f t="shared" si="1145"/>
        <v>8</v>
      </c>
      <c r="W371" s="92">
        <f t="shared" si="1145"/>
        <v>1</v>
      </c>
      <c r="X371" s="92">
        <f t="shared" si="1145"/>
        <v>0</v>
      </c>
      <c r="Y371" s="92">
        <f t="shared" si="1145"/>
        <v>0</v>
      </c>
      <c r="Z371" s="92">
        <f t="shared" si="1145"/>
        <v>0</v>
      </c>
      <c r="AA371" s="92">
        <f t="shared" si="1145"/>
        <v>0</v>
      </c>
      <c r="AB371" s="92">
        <f t="shared" si="1145"/>
        <v>1</v>
      </c>
      <c r="AC371" s="92">
        <f t="shared" si="1145"/>
        <v>0</v>
      </c>
      <c r="AD371" s="92">
        <f t="shared" si="1145"/>
        <v>1</v>
      </c>
      <c r="AE371" s="92">
        <f t="shared" si="1145"/>
        <v>0</v>
      </c>
      <c r="AF371" s="92">
        <f t="shared" si="1145"/>
        <v>0</v>
      </c>
      <c r="AG371" s="92">
        <f t="shared" si="1145"/>
        <v>0</v>
      </c>
      <c r="AH371" s="92">
        <f t="shared" si="1145"/>
        <v>0</v>
      </c>
      <c r="AI371" s="92">
        <f t="shared" si="1145"/>
        <v>0</v>
      </c>
      <c r="AJ371" s="92">
        <f t="shared" si="1145"/>
        <v>0</v>
      </c>
      <c r="AK371" s="92">
        <f t="shared" si="1145"/>
        <v>0</v>
      </c>
      <c r="AL371" s="92">
        <f t="shared" si="1145"/>
        <v>0</v>
      </c>
      <c r="AM371" s="92">
        <f t="shared" si="1145"/>
        <v>0</v>
      </c>
      <c r="AN371" s="92">
        <f t="shared" si="1145"/>
        <v>0</v>
      </c>
      <c r="AO371" s="92">
        <f t="shared" si="1145"/>
        <v>0</v>
      </c>
      <c r="AP371" s="92">
        <f t="shared" si="1145"/>
        <v>0</v>
      </c>
      <c r="AQ371" s="92">
        <f t="shared" si="1145"/>
        <v>0</v>
      </c>
      <c r="AR371" s="92">
        <f t="shared" si="1146"/>
        <v>0</v>
      </c>
      <c r="AS371" s="31" t="str">
        <f t="shared" si="1099"/>
        <v>SimulationStorage,1,</v>
      </c>
      <c r="AT371" s="31" t="str">
        <f t="shared" si="1100"/>
        <v>AnalysisStorage,1,</v>
      </c>
      <c r="AU371" s="31" t="str">
        <f t="shared" si="1101"/>
        <v>LogRuleEvaluation,0,</v>
      </c>
      <c r="AV371" s="31" t="str">
        <f t="shared" si="1102"/>
        <v>ParallelSimulations,1,</v>
      </c>
      <c r="AW371" s="31" t="str">
        <f t="shared" si="1103"/>
        <v>DurationStats,0,</v>
      </c>
      <c r="AX371" s="31" t="str">
        <f t="shared" si="1104"/>
        <v>AnalysisThruStep,8,</v>
      </c>
      <c r="AY371" s="31" t="str">
        <f t="shared" si="1105"/>
        <v>DontAbortOnErrorsThruStep,8,</v>
      </c>
      <c r="AZ371" s="31" t="str">
        <f t="shared" si="1106"/>
        <v>BypassValidFileChecks,1,</v>
      </c>
      <c r="BA371" s="31" t="str">
        <f t="shared" si="1107"/>
        <v>BypassInputChecks,0,</v>
      </c>
      <c r="BB371" s="31" t="str">
        <f t="shared" si="1108"/>
        <v>BypassUMLHChecks,0,</v>
      </c>
      <c r="BC371" s="31" t="str">
        <f t="shared" si="1109"/>
        <v>BypassCheckSimRules,0,</v>
      </c>
      <c r="BD371" s="31" t="str">
        <f t="shared" si="1110"/>
        <v>BypassCheckCodeRules,0,</v>
      </c>
      <c r="BE371" s="31" t="str">
        <f t="shared" si="1111"/>
        <v>StoreResultsToModelInput,1,</v>
      </c>
      <c r="BF371" s="31" t="str">
        <f t="shared" si="1112"/>
        <v>StoreBEMDetails,0,</v>
      </c>
      <c r="BG371" s="31" t="str">
        <f t="shared" si="1113"/>
        <v>ModelRpt_ALL,1,</v>
      </c>
      <c r="BH371" s="31" t="str">
        <f t="shared" si="1114"/>
        <v>ExportHourlyResults_All,0,</v>
      </c>
      <c r="BI371" s="31" t="str">
        <f t="shared" si="1115"/>
        <v>ComplianceReportPDF,0,</v>
      </c>
      <c r="BJ371" s="31" t="str">
        <f t="shared" si="1116"/>
        <v>ComplianceReportXML,0,</v>
      </c>
      <c r="BK371" s="31" t="str">
        <f t="shared" si="1117"/>
        <v>QuickAnalysis,0,</v>
      </c>
      <c r="BL371" s="31" t="str">
        <f t="shared" si="1118"/>
        <v>PromptUserUMLHWarning,0,</v>
      </c>
      <c r="BM371" s="31" t="str">
        <f t="shared" si="1119"/>
        <v>BypassOpenStudio_all,0,</v>
      </c>
      <c r="BN371" s="31" t="str">
        <f t="shared" si="1120"/>
        <v>BypassOpenStudio_zp,0,</v>
      </c>
      <c r="BO371" s="31" t="str">
        <f t="shared" si="1121"/>
        <v>BypassOpenStudio_zb,0,</v>
      </c>
      <c r="BP371" s="31" t="str">
        <f t="shared" si="1122"/>
        <v>BypassOpenStudio_ap,0,</v>
      </c>
      <c r="BQ371" s="31" t="str">
        <f t="shared" si="1123"/>
        <v>BypassOpenStudio_ab,0,</v>
      </c>
      <c r="BR371" s="31" t="str">
        <f t="shared" si="1124"/>
        <v>BypassOpenStudio_zp,0,</v>
      </c>
      <c r="BS371" s="31" t="str">
        <f t="shared" si="1125"/>
        <v>BypassOpenStudio_zb,0,</v>
      </c>
      <c r="BT371" s="31" t="str">
        <f t="shared" si="1126"/>
        <v>BypassOpenStudio_ap,0,</v>
      </c>
      <c r="BU371" s="31" t="str">
        <f t="shared" si="1127"/>
        <v>BypassOpenStudio_ab,0,</v>
      </c>
    </row>
    <row r="372" spans="1:73" outlineLevel="1" x14ac:dyDescent="0.25">
      <c r="A372" s="39">
        <f t="shared" si="1095"/>
        <v>0</v>
      </c>
      <c r="B372" s="27" t="str">
        <f t="shared" si="1128"/>
        <v>SoftwareSensitivity2016Tests\SimplifiedGeometry\x.cibd16</v>
      </c>
      <c r="C372" s="27" t="str">
        <f t="shared" si="1129"/>
        <v>BatchOut_171026_r5178_FinalRel-v3-SSTSG_SSTSG\x.cibd16</v>
      </c>
      <c r="D372" s="27" t="str">
        <f t="shared" si="1130"/>
        <v>BatchOut_171026_r5178_FinalRel-v3-SSTSG_SSTSG\XML\</v>
      </c>
      <c r="E372" s="9" t="str">
        <f t="shared" si="1131"/>
        <v>x</v>
      </c>
      <c r="F372" s="22"/>
      <c r="G372" s="29"/>
      <c r="H372" s="23" t="str">
        <f t="shared" si="1132"/>
        <v/>
      </c>
      <c r="I372" s="9" t="s">
        <v>11</v>
      </c>
      <c r="J37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2" s="15" t="s">
        <v>1</v>
      </c>
      <c r="L372" s="92">
        <f t="shared" si="1135"/>
        <v>0</v>
      </c>
      <c r="M372" s="91" t="str">
        <f t="shared" si="1133"/>
        <v>x</v>
      </c>
      <c r="N372" s="90" t="s">
        <v>149</v>
      </c>
      <c r="O372" s="90" t="str">
        <f t="shared" si="1097"/>
        <v>x</v>
      </c>
      <c r="P372" s="92">
        <f t="shared" si="1145"/>
        <v>1</v>
      </c>
      <c r="Q372" s="92">
        <f t="shared" si="1145"/>
        <v>1</v>
      </c>
      <c r="R372" s="92">
        <f t="shared" si="1145"/>
        <v>0</v>
      </c>
      <c r="S372" s="92">
        <f t="shared" si="1145"/>
        <v>1</v>
      </c>
      <c r="T372" s="92">
        <f t="shared" si="1145"/>
        <v>0</v>
      </c>
      <c r="U372" s="92">
        <f t="shared" si="1145"/>
        <v>8</v>
      </c>
      <c r="V372" s="92">
        <f t="shared" ref="V372:AQ387" si="1147">V371</f>
        <v>8</v>
      </c>
      <c r="W372" s="92">
        <f t="shared" si="1147"/>
        <v>1</v>
      </c>
      <c r="X372" s="92">
        <f t="shared" si="1147"/>
        <v>0</v>
      </c>
      <c r="Y372" s="92">
        <f t="shared" si="1147"/>
        <v>0</v>
      </c>
      <c r="Z372" s="92">
        <f t="shared" si="1147"/>
        <v>0</v>
      </c>
      <c r="AA372" s="92">
        <f t="shared" si="1147"/>
        <v>0</v>
      </c>
      <c r="AB372" s="92">
        <f t="shared" si="1147"/>
        <v>1</v>
      </c>
      <c r="AC372" s="92">
        <f t="shared" si="1147"/>
        <v>0</v>
      </c>
      <c r="AD372" s="92">
        <f t="shared" si="1147"/>
        <v>1</v>
      </c>
      <c r="AE372" s="92">
        <f t="shared" si="1147"/>
        <v>0</v>
      </c>
      <c r="AF372" s="92">
        <f t="shared" si="1147"/>
        <v>0</v>
      </c>
      <c r="AG372" s="92">
        <f t="shared" si="1147"/>
        <v>0</v>
      </c>
      <c r="AH372" s="92">
        <f t="shared" si="1147"/>
        <v>0</v>
      </c>
      <c r="AI372" s="92">
        <f t="shared" si="1147"/>
        <v>0</v>
      </c>
      <c r="AJ372" s="92">
        <f t="shared" si="1147"/>
        <v>0</v>
      </c>
      <c r="AK372" s="92">
        <f t="shared" si="1147"/>
        <v>0</v>
      </c>
      <c r="AL372" s="92">
        <f t="shared" si="1147"/>
        <v>0</v>
      </c>
      <c r="AM372" s="92">
        <f t="shared" si="1147"/>
        <v>0</v>
      </c>
      <c r="AN372" s="92">
        <f t="shared" si="1147"/>
        <v>0</v>
      </c>
      <c r="AO372" s="92">
        <f t="shared" si="1147"/>
        <v>0</v>
      </c>
      <c r="AP372" s="92">
        <f t="shared" si="1147"/>
        <v>0</v>
      </c>
      <c r="AQ372" s="92">
        <f t="shared" si="1147"/>
        <v>0</v>
      </c>
      <c r="AR372" s="92">
        <f t="shared" si="1146"/>
        <v>0</v>
      </c>
      <c r="AS372" s="31" t="str">
        <f t="shared" si="1099"/>
        <v>SimulationStorage,1,</v>
      </c>
      <c r="AT372" s="31" t="str">
        <f t="shared" si="1100"/>
        <v>AnalysisStorage,1,</v>
      </c>
      <c r="AU372" s="31" t="str">
        <f t="shared" si="1101"/>
        <v>LogRuleEvaluation,0,</v>
      </c>
      <c r="AV372" s="31" t="str">
        <f t="shared" si="1102"/>
        <v>ParallelSimulations,1,</v>
      </c>
      <c r="AW372" s="31" t="str">
        <f t="shared" si="1103"/>
        <v>DurationStats,0,</v>
      </c>
      <c r="AX372" s="31" t="str">
        <f t="shared" si="1104"/>
        <v>AnalysisThruStep,8,</v>
      </c>
      <c r="AY372" s="31" t="str">
        <f t="shared" si="1105"/>
        <v>DontAbortOnErrorsThruStep,8,</v>
      </c>
      <c r="AZ372" s="31" t="str">
        <f t="shared" si="1106"/>
        <v>BypassValidFileChecks,1,</v>
      </c>
      <c r="BA372" s="31" t="str">
        <f t="shared" si="1107"/>
        <v>BypassInputChecks,0,</v>
      </c>
      <c r="BB372" s="31" t="str">
        <f t="shared" si="1108"/>
        <v>BypassUMLHChecks,0,</v>
      </c>
      <c r="BC372" s="31" t="str">
        <f t="shared" si="1109"/>
        <v>BypassCheckSimRules,0,</v>
      </c>
      <c r="BD372" s="31" t="str">
        <f t="shared" si="1110"/>
        <v>BypassCheckCodeRules,0,</v>
      </c>
      <c r="BE372" s="31" t="str">
        <f t="shared" si="1111"/>
        <v>StoreResultsToModelInput,1,</v>
      </c>
      <c r="BF372" s="31" t="str">
        <f t="shared" si="1112"/>
        <v>StoreBEMDetails,0,</v>
      </c>
      <c r="BG372" s="31" t="str">
        <f t="shared" si="1113"/>
        <v>ModelRpt_ALL,1,</v>
      </c>
      <c r="BH372" s="31" t="str">
        <f t="shared" si="1114"/>
        <v>ExportHourlyResults_All,0,</v>
      </c>
      <c r="BI372" s="31" t="str">
        <f t="shared" si="1115"/>
        <v>ComplianceReportPDF,0,</v>
      </c>
      <c r="BJ372" s="31" t="str">
        <f t="shared" si="1116"/>
        <v>ComplianceReportXML,0,</v>
      </c>
      <c r="BK372" s="31" t="str">
        <f t="shared" si="1117"/>
        <v>QuickAnalysis,0,</v>
      </c>
      <c r="BL372" s="31" t="str">
        <f t="shared" si="1118"/>
        <v>PromptUserUMLHWarning,0,</v>
      </c>
      <c r="BM372" s="31" t="str">
        <f t="shared" si="1119"/>
        <v>BypassOpenStudio_all,0,</v>
      </c>
      <c r="BN372" s="31" t="str">
        <f t="shared" si="1120"/>
        <v>BypassOpenStudio_zp,0,</v>
      </c>
      <c r="BO372" s="31" t="str">
        <f t="shared" si="1121"/>
        <v>BypassOpenStudio_zb,0,</v>
      </c>
      <c r="BP372" s="31" t="str">
        <f t="shared" si="1122"/>
        <v>BypassOpenStudio_ap,0,</v>
      </c>
      <c r="BQ372" s="31" t="str">
        <f t="shared" si="1123"/>
        <v>BypassOpenStudio_ab,0,</v>
      </c>
      <c r="BR372" s="31" t="str">
        <f t="shared" si="1124"/>
        <v>BypassOpenStudio_zp,0,</v>
      </c>
      <c r="BS372" s="31" t="str">
        <f t="shared" si="1125"/>
        <v>BypassOpenStudio_zb,0,</v>
      </c>
      <c r="BT372" s="31" t="str">
        <f t="shared" si="1126"/>
        <v>BypassOpenStudio_ap,0,</v>
      </c>
      <c r="BU372" s="31" t="str">
        <f t="shared" si="1127"/>
        <v>BypassOpenStudio_ab,0,</v>
      </c>
    </row>
    <row r="373" spans="1:73" outlineLevel="1" x14ac:dyDescent="0.25">
      <c r="A373" s="39">
        <f t="shared" si="1095"/>
        <v>0</v>
      </c>
      <c r="B373" s="27" t="str">
        <f t="shared" si="1128"/>
        <v>SoftwareSensitivity2016Tests\SimplifiedGeometry\x.cibd16</v>
      </c>
      <c r="C373" s="27" t="str">
        <f t="shared" si="1129"/>
        <v>BatchOut_171026_r5178_FinalRel-v3-SSTSG_SSTSG\x.cibd16</v>
      </c>
      <c r="D373" s="27" t="str">
        <f t="shared" si="1130"/>
        <v>BatchOut_171026_r5178_FinalRel-v3-SSTSG_SSTSG\XML\</v>
      </c>
      <c r="E373" s="9" t="str">
        <f t="shared" si="1131"/>
        <v>x</v>
      </c>
      <c r="F373" s="22"/>
      <c r="G373" s="29"/>
      <c r="H373" s="23" t="str">
        <f t="shared" si="1132"/>
        <v/>
      </c>
      <c r="I373" s="9" t="s">
        <v>11</v>
      </c>
      <c r="J37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3" s="15" t="s">
        <v>1</v>
      </c>
      <c r="L373" s="92">
        <f t="shared" si="1135"/>
        <v>0</v>
      </c>
      <c r="M373" s="91" t="str">
        <f t="shared" si="1133"/>
        <v>x</v>
      </c>
      <c r="N373" s="90" t="s">
        <v>149</v>
      </c>
      <c r="O373" s="90" t="str">
        <f t="shared" si="1097"/>
        <v>x</v>
      </c>
      <c r="P373" s="92">
        <f t="shared" ref="P373:AJ386" si="1148">P372</f>
        <v>1</v>
      </c>
      <c r="Q373" s="92">
        <f t="shared" si="1148"/>
        <v>1</v>
      </c>
      <c r="R373" s="92">
        <f t="shared" si="1148"/>
        <v>0</v>
      </c>
      <c r="S373" s="92">
        <f t="shared" si="1148"/>
        <v>1</v>
      </c>
      <c r="T373" s="92">
        <f t="shared" si="1148"/>
        <v>0</v>
      </c>
      <c r="U373" s="92">
        <f t="shared" si="1148"/>
        <v>8</v>
      </c>
      <c r="V373" s="92">
        <f t="shared" si="1148"/>
        <v>8</v>
      </c>
      <c r="W373" s="92">
        <f t="shared" si="1148"/>
        <v>1</v>
      </c>
      <c r="X373" s="92">
        <f t="shared" si="1148"/>
        <v>0</v>
      </c>
      <c r="Y373" s="92">
        <f t="shared" si="1148"/>
        <v>0</v>
      </c>
      <c r="Z373" s="92">
        <f t="shared" si="1148"/>
        <v>0</v>
      </c>
      <c r="AA373" s="92">
        <f t="shared" si="1148"/>
        <v>0</v>
      </c>
      <c r="AB373" s="92">
        <f t="shared" si="1148"/>
        <v>1</v>
      </c>
      <c r="AC373" s="92">
        <f t="shared" si="1148"/>
        <v>0</v>
      </c>
      <c r="AD373" s="92">
        <f t="shared" si="1148"/>
        <v>1</v>
      </c>
      <c r="AE373" s="92">
        <f t="shared" si="1148"/>
        <v>0</v>
      </c>
      <c r="AF373" s="92">
        <f t="shared" si="1148"/>
        <v>0</v>
      </c>
      <c r="AG373" s="92">
        <f t="shared" si="1148"/>
        <v>0</v>
      </c>
      <c r="AH373" s="92">
        <f t="shared" si="1148"/>
        <v>0</v>
      </c>
      <c r="AI373" s="92">
        <f t="shared" si="1147"/>
        <v>0</v>
      </c>
      <c r="AJ373" s="92">
        <f t="shared" si="1147"/>
        <v>0</v>
      </c>
      <c r="AK373" s="92">
        <f t="shared" si="1147"/>
        <v>0</v>
      </c>
      <c r="AL373" s="92">
        <f t="shared" si="1147"/>
        <v>0</v>
      </c>
      <c r="AM373" s="92">
        <f t="shared" si="1147"/>
        <v>0</v>
      </c>
      <c r="AN373" s="92">
        <f t="shared" si="1147"/>
        <v>0</v>
      </c>
      <c r="AO373" s="92">
        <f t="shared" si="1147"/>
        <v>0</v>
      </c>
      <c r="AP373" s="92">
        <f t="shared" si="1147"/>
        <v>0</v>
      </c>
      <c r="AQ373" s="92">
        <f t="shared" si="1147"/>
        <v>0</v>
      </c>
      <c r="AR373" s="92">
        <f t="shared" si="1146"/>
        <v>0</v>
      </c>
      <c r="AS373" s="31" t="str">
        <f t="shared" si="1099"/>
        <v>SimulationStorage,1,</v>
      </c>
      <c r="AT373" s="31" t="str">
        <f t="shared" si="1100"/>
        <v>AnalysisStorage,1,</v>
      </c>
      <c r="AU373" s="31" t="str">
        <f t="shared" si="1101"/>
        <v>LogRuleEvaluation,0,</v>
      </c>
      <c r="AV373" s="31" t="str">
        <f t="shared" si="1102"/>
        <v>ParallelSimulations,1,</v>
      </c>
      <c r="AW373" s="31" t="str">
        <f t="shared" si="1103"/>
        <v>DurationStats,0,</v>
      </c>
      <c r="AX373" s="31" t="str">
        <f t="shared" si="1104"/>
        <v>AnalysisThruStep,8,</v>
      </c>
      <c r="AY373" s="31" t="str">
        <f t="shared" si="1105"/>
        <v>DontAbortOnErrorsThruStep,8,</v>
      </c>
      <c r="AZ373" s="31" t="str">
        <f t="shared" si="1106"/>
        <v>BypassValidFileChecks,1,</v>
      </c>
      <c r="BA373" s="31" t="str">
        <f t="shared" si="1107"/>
        <v>BypassInputChecks,0,</v>
      </c>
      <c r="BB373" s="31" t="str">
        <f t="shared" si="1108"/>
        <v>BypassUMLHChecks,0,</v>
      </c>
      <c r="BC373" s="31" t="str">
        <f t="shared" si="1109"/>
        <v>BypassCheckSimRules,0,</v>
      </c>
      <c r="BD373" s="31" t="str">
        <f t="shared" si="1110"/>
        <v>BypassCheckCodeRules,0,</v>
      </c>
      <c r="BE373" s="31" t="str">
        <f t="shared" si="1111"/>
        <v>StoreResultsToModelInput,1,</v>
      </c>
      <c r="BF373" s="31" t="str">
        <f t="shared" si="1112"/>
        <v>StoreBEMDetails,0,</v>
      </c>
      <c r="BG373" s="31" t="str">
        <f t="shared" si="1113"/>
        <v>ModelRpt_ALL,1,</v>
      </c>
      <c r="BH373" s="31" t="str">
        <f t="shared" si="1114"/>
        <v>ExportHourlyResults_All,0,</v>
      </c>
      <c r="BI373" s="31" t="str">
        <f t="shared" si="1115"/>
        <v>ComplianceReportPDF,0,</v>
      </c>
      <c r="BJ373" s="31" t="str">
        <f t="shared" si="1116"/>
        <v>ComplianceReportXML,0,</v>
      </c>
      <c r="BK373" s="31" t="str">
        <f t="shared" si="1117"/>
        <v>QuickAnalysis,0,</v>
      </c>
      <c r="BL373" s="31" t="str">
        <f t="shared" si="1118"/>
        <v>PromptUserUMLHWarning,0,</v>
      </c>
      <c r="BM373" s="31" t="str">
        <f t="shared" si="1119"/>
        <v>BypassOpenStudio_all,0,</v>
      </c>
      <c r="BN373" s="31" t="str">
        <f t="shared" si="1120"/>
        <v>BypassOpenStudio_zp,0,</v>
      </c>
      <c r="BO373" s="31" t="str">
        <f t="shared" si="1121"/>
        <v>BypassOpenStudio_zb,0,</v>
      </c>
      <c r="BP373" s="31" t="str">
        <f t="shared" si="1122"/>
        <v>BypassOpenStudio_ap,0,</v>
      </c>
      <c r="BQ373" s="31" t="str">
        <f t="shared" si="1123"/>
        <v>BypassOpenStudio_ab,0,</v>
      </c>
      <c r="BR373" s="31" t="str">
        <f t="shared" si="1124"/>
        <v>BypassOpenStudio_zp,0,</v>
      </c>
      <c r="BS373" s="31" t="str">
        <f t="shared" si="1125"/>
        <v>BypassOpenStudio_zb,0,</v>
      </c>
      <c r="BT373" s="31" t="str">
        <f t="shared" si="1126"/>
        <v>BypassOpenStudio_ap,0,</v>
      </c>
      <c r="BU373" s="31" t="str">
        <f t="shared" si="1127"/>
        <v>BypassOpenStudio_ab,0,</v>
      </c>
    </row>
    <row r="374" spans="1:73" outlineLevel="1" x14ac:dyDescent="0.25">
      <c r="A374" s="39">
        <f t="shared" si="1095"/>
        <v>0</v>
      </c>
      <c r="B374" s="27" t="str">
        <f t="shared" si="1128"/>
        <v>SoftwareSensitivity2016Tests\SimplifiedGeometry\x.cibd16</v>
      </c>
      <c r="C374" s="27" t="str">
        <f t="shared" si="1129"/>
        <v>BatchOut_171026_r5178_FinalRel-v3-SSTSG_SSTSG\x.cibd16</v>
      </c>
      <c r="D374" s="27" t="str">
        <f t="shared" si="1130"/>
        <v>BatchOut_171026_r5178_FinalRel-v3-SSTSG_SSTSG\XML\</v>
      </c>
      <c r="E374" s="9" t="str">
        <f t="shared" si="1131"/>
        <v>x</v>
      </c>
      <c r="F374" s="22"/>
      <c r="G374" s="29"/>
      <c r="H374" s="23" t="str">
        <f t="shared" si="1132"/>
        <v/>
      </c>
      <c r="I374" s="9" t="s">
        <v>11</v>
      </c>
      <c r="J37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4" s="15" t="s">
        <v>1</v>
      </c>
      <c r="L374" s="92">
        <f t="shared" si="1135"/>
        <v>0</v>
      </c>
      <c r="M374" s="91" t="str">
        <f t="shared" si="1133"/>
        <v>x</v>
      </c>
      <c r="N374" s="90" t="s">
        <v>149</v>
      </c>
      <c r="O374" s="90" t="str">
        <f t="shared" si="1097"/>
        <v>x</v>
      </c>
      <c r="P374" s="92">
        <f t="shared" si="1148"/>
        <v>1</v>
      </c>
      <c r="Q374" s="92">
        <f t="shared" si="1148"/>
        <v>1</v>
      </c>
      <c r="R374" s="92">
        <f t="shared" si="1148"/>
        <v>0</v>
      </c>
      <c r="S374" s="92">
        <f t="shared" si="1148"/>
        <v>1</v>
      </c>
      <c r="T374" s="92">
        <f t="shared" si="1148"/>
        <v>0</v>
      </c>
      <c r="U374" s="92">
        <f t="shared" si="1148"/>
        <v>8</v>
      </c>
      <c r="V374" s="92">
        <f t="shared" si="1148"/>
        <v>8</v>
      </c>
      <c r="W374" s="92">
        <f t="shared" si="1148"/>
        <v>1</v>
      </c>
      <c r="X374" s="92">
        <f t="shared" si="1148"/>
        <v>0</v>
      </c>
      <c r="Y374" s="92">
        <f t="shared" si="1148"/>
        <v>0</v>
      </c>
      <c r="Z374" s="92">
        <f t="shared" si="1148"/>
        <v>0</v>
      </c>
      <c r="AA374" s="92">
        <f t="shared" si="1148"/>
        <v>0</v>
      </c>
      <c r="AB374" s="92">
        <f t="shared" si="1148"/>
        <v>1</v>
      </c>
      <c r="AC374" s="92">
        <f t="shared" si="1148"/>
        <v>0</v>
      </c>
      <c r="AD374" s="92">
        <f t="shared" si="1148"/>
        <v>1</v>
      </c>
      <c r="AE374" s="92">
        <f t="shared" si="1148"/>
        <v>0</v>
      </c>
      <c r="AF374" s="92">
        <f t="shared" si="1148"/>
        <v>0</v>
      </c>
      <c r="AG374" s="92">
        <f t="shared" si="1148"/>
        <v>0</v>
      </c>
      <c r="AH374" s="92">
        <f t="shared" si="1148"/>
        <v>0</v>
      </c>
      <c r="AI374" s="92">
        <f t="shared" si="1147"/>
        <v>0</v>
      </c>
      <c r="AJ374" s="92">
        <f t="shared" si="1147"/>
        <v>0</v>
      </c>
      <c r="AK374" s="92">
        <f t="shared" si="1147"/>
        <v>0</v>
      </c>
      <c r="AL374" s="92">
        <f t="shared" si="1147"/>
        <v>0</v>
      </c>
      <c r="AM374" s="92">
        <f t="shared" si="1147"/>
        <v>0</v>
      </c>
      <c r="AN374" s="92">
        <f t="shared" si="1147"/>
        <v>0</v>
      </c>
      <c r="AO374" s="92">
        <f t="shared" si="1147"/>
        <v>0</v>
      </c>
      <c r="AP374" s="92">
        <f t="shared" si="1147"/>
        <v>0</v>
      </c>
      <c r="AQ374" s="92">
        <f t="shared" si="1147"/>
        <v>0</v>
      </c>
      <c r="AR374" s="92">
        <f t="shared" si="1146"/>
        <v>0</v>
      </c>
      <c r="AS374" s="31" t="str">
        <f t="shared" si="1099"/>
        <v>SimulationStorage,1,</v>
      </c>
      <c r="AT374" s="31" t="str">
        <f t="shared" si="1100"/>
        <v>AnalysisStorage,1,</v>
      </c>
      <c r="AU374" s="31" t="str">
        <f t="shared" si="1101"/>
        <v>LogRuleEvaluation,0,</v>
      </c>
      <c r="AV374" s="31" t="str">
        <f t="shared" si="1102"/>
        <v>ParallelSimulations,1,</v>
      </c>
      <c r="AW374" s="31" t="str">
        <f t="shared" si="1103"/>
        <v>DurationStats,0,</v>
      </c>
      <c r="AX374" s="31" t="str">
        <f t="shared" si="1104"/>
        <v>AnalysisThruStep,8,</v>
      </c>
      <c r="AY374" s="31" t="str">
        <f t="shared" si="1105"/>
        <v>DontAbortOnErrorsThruStep,8,</v>
      </c>
      <c r="AZ374" s="31" t="str">
        <f t="shared" si="1106"/>
        <v>BypassValidFileChecks,1,</v>
      </c>
      <c r="BA374" s="31" t="str">
        <f t="shared" si="1107"/>
        <v>BypassInputChecks,0,</v>
      </c>
      <c r="BB374" s="31" t="str">
        <f t="shared" si="1108"/>
        <v>BypassUMLHChecks,0,</v>
      </c>
      <c r="BC374" s="31" t="str">
        <f t="shared" si="1109"/>
        <v>BypassCheckSimRules,0,</v>
      </c>
      <c r="BD374" s="31" t="str">
        <f t="shared" si="1110"/>
        <v>BypassCheckCodeRules,0,</v>
      </c>
      <c r="BE374" s="31" t="str">
        <f t="shared" si="1111"/>
        <v>StoreResultsToModelInput,1,</v>
      </c>
      <c r="BF374" s="31" t="str">
        <f t="shared" si="1112"/>
        <v>StoreBEMDetails,0,</v>
      </c>
      <c r="BG374" s="31" t="str">
        <f t="shared" si="1113"/>
        <v>ModelRpt_ALL,1,</v>
      </c>
      <c r="BH374" s="31" t="str">
        <f t="shared" si="1114"/>
        <v>ExportHourlyResults_All,0,</v>
      </c>
      <c r="BI374" s="31" t="str">
        <f t="shared" si="1115"/>
        <v>ComplianceReportPDF,0,</v>
      </c>
      <c r="BJ374" s="31" t="str">
        <f t="shared" si="1116"/>
        <v>ComplianceReportXML,0,</v>
      </c>
      <c r="BK374" s="31" t="str">
        <f t="shared" si="1117"/>
        <v>QuickAnalysis,0,</v>
      </c>
      <c r="BL374" s="31" t="str">
        <f t="shared" si="1118"/>
        <v>PromptUserUMLHWarning,0,</v>
      </c>
      <c r="BM374" s="31" t="str">
        <f t="shared" si="1119"/>
        <v>BypassOpenStudio_all,0,</v>
      </c>
      <c r="BN374" s="31" t="str">
        <f t="shared" si="1120"/>
        <v>BypassOpenStudio_zp,0,</v>
      </c>
      <c r="BO374" s="31" t="str">
        <f t="shared" si="1121"/>
        <v>BypassOpenStudio_zb,0,</v>
      </c>
      <c r="BP374" s="31" t="str">
        <f t="shared" si="1122"/>
        <v>BypassOpenStudio_ap,0,</v>
      </c>
      <c r="BQ374" s="31" t="str">
        <f t="shared" si="1123"/>
        <v>BypassOpenStudio_ab,0,</v>
      </c>
      <c r="BR374" s="31" t="str">
        <f t="shared" si="1124"/>
        <v>BypassOpenStudio_zp,0,</v>
      </c>
      <c r="BS374" s="31" t="str">
        <f t="shared" si="1125"/>
        <v>BypassOpenStudio_zb,0,</v>
      </c>
      <c r="BT374" s="31" t="str">
        <f t="shared" si="1126"/>
        <v>BypassOpenStudio_ap,0,</v>
      </c>
      <c r="BU374" s="31" t="str">
        <f t="shared" si="1127"/>
        <v>BypassOpenStudio_ab,0,</v>
      </c>
    </row>
    <row r="375" spans="1:73" outlineLevel="1" x14ac:dyDescent="0.25">
      <c r="A375" s="39">
        <f t="shared" si="1095"/>
        <v>0</v>
      </c>
      <c r="B375" s="27" t="str">
        <f t="shared" si="1128"/>
        <v>SoftwareSensitivity2016Tests\SimplifiedGeometry\x.cibd16</v>
      </c>
      <c r="C375" s="27" t="str">
        <f t="shared" si="1129"/>
        <v>BatchOut_171026_r5178_FinalRel-v3-SSTSG_SSTSG\x.cibd16</v>
      </c>
      <c r="D375" s="27" t="str">
        <f t="shared" si="1130"/>
        <v>BatchOut_171026_r5178_FinalRel-v3-SSTSG_SSTSG\XML\</v>
      </c>
      <c r="E375" s="9" t="str">
        <f t="shared" si="1131"/>
        <v>x</v>
      </c>
      <c r="F375" s="22"/>
      <c r="G375" s="29"/>
      <c r="H375" s="23" t="str">
        <f t="shared" si="1132"/>
        <v/>
      </c>
      <c r="I375" s="9" t="s">
        <v>11</v>
      </c>
      <c r="J37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5" s="15" t="s">
        <v>1</v>
      </c>
      <c r="L375" s="92">
        <f t="shared" si="1135"/>
        <v>0</v>
      </c>
      <c r="M375" s="91" t="str">
        <f t="shared" si="1133"/>
        <v>x</v>
      </c>
      <c r="N375" s="90" t="s">
        <v>149</v>
      </c>
      <c r="O375" s="90" t="str">
        <f t="shared" si="1097"/>
        <v>x</v>
      </c>
      <c r="P375" s="92">
        <f t="shared" si="1148"/>
        <v>1</v>
      </c>
      <c r="Q375" s="92">
        <f t="shared" si="1148"/>
        <v>1</v>
      </c>
      <c r="R375" s="92">
        <f t="shared" si="1148"/>
        <v>0</v>
      </c>
      <c r="S375" s="92">
        <f t="shared" si="1148"/>
        <v>1</v>
      </c>
      <c r="T375" s="92">
        <f t="shared" si="1148"/>
        <v>0</v>
      </c>
      <c r="U375" s="92">
        <f t="shared" si="1148"/>
        <v>8</v>
      </c>
      <c r="V375" s="92">
        <f t="shared" si="1148"/>
        <v>8</v>
      </c>
      <c r="W375" s="92">
        <f t="shared" si="1148"/>
        <v>1</v>
      </c>
      <c r="X375" s="92">
        <f t="shared" si="1148"/>
        <v>0</v>
      </c>
      <c r="Y375" s="92">
        <f t="shared" si="1148"/>
        <v>0</v>
      </c>
      <c r="Z375" s="92">
        <f t="shared" si="1148"/>
        <v>0</v>
      </c>
      <c r="AA375" s="92">
        <f t="shared" si="1148"/>
        <v>0</v>
      </c>
      <c r="AB375" s="92">
        <f t="shared" si="1148"/>
        <v>1</v>
      </c>
      <c r="AC375" s="92">
        <f t="shared" si="1148"/>
        <v>0</v>
      </c>
      <c r="AD375" s="92">
        <f t="shared" si="1148"/>
        <v>1</v>
      </c>
      <c r="AE375" s="92">
        <f t="shared" si="1148"/>
        <v>0</v>
      </c>
      <c r="AF375" s="92">
        <f t="shared" si="1148"/>
        <v>0</v>
      </c>
      <c r="AG375" s="92">
        <f t="shared" si="1148"/>
        <v>0</v>
      </c>
      <c r="AH375" s="92">
        <f t="shared" si="1148"/>
        <v>0</v>
      </c>
      <c r="AI375" s="92">
        <f t="shared" si="1147"/>
        <v>0</v>
      </c>
      <c r="AJ375" s="92">
        <f t="shared" si="1147"/>
        <v>0</v>
      </c>
      <c r="AK375" s="92">
        <f t="shared" si="1147"/>
        <v>0</v>
      </c>
      <c r="AL375" s="92">
        <f t="shared" si="1147"/>
        <v>0</v>
      </c>
      <c r="AM375" s="92">
        <f t="shared" si="1147"/>
        <v>0</v>
      </c>
      <c r="AN375" s="92">
        <f t="shared" si="1147"/>
        <v>0</v>
      </c>
      <c r="AO375" s="92">
        <f t="shared" si="1147"/>
        <v>0</v>
      </c>
      <c r="AP375" s="92">
        <f t="shared" si="1147"/>
        <v>0</v>
      </c>
      <c r="AQ375" s="92">
        <f t="shared" si="1147"/>
        <v>0</v>
      </c>
      <c r="AR375" s="92">
        <f t="shared" si="1146"/>
        <v>0</v>
      </c>
      <c r="AS375" s="31" t="str">
        <f t="shared" si="1099"/>
        <v>SimulationStorage,1,</v>
      </c>
      <c r="AT375" s="31" t="str">
        <f t="shared" si="1100"/>
        <v>AnalysisStorage,1,</v>
      </c>
      <c r="AU375" s="31" t="str">
        <f t="shared" si="1101"/>
        <v>LogRuleEvaluation,0,</v>
      </c>
      <c r="AV375" s="31" t="str">
        <f t="shared" si="1102"/>
        <v>ParallelSimulations,1,</v>
      </c>
      <c r="AW375" s="31" t="str">
        <f t="shared" si="1103"/>
        <v>DurationStats,0,</v>
      </c>
      <c r="AX375" s="31" t="str">
        <f t="shared" si="1104"/>
        <v>AnalysisThruStep,8,</v>
      </c>
      <c r="AY375" s="31" t="str">
        <f t="shared" si="1105"/>
        <v>DontAbortOnErrorsThruStep,8,</v>
      </c>
      <c r="AZ375" s="31" t="str">
        <f t="shared" si="1106"/>
        <v>BypassValidFileChecks,1,</v>
      </c>
      <c r="BA375" s="31" t="str">
        <f t="shared" si="1107"/>
        <v>BypassInputChecks,0,</v>
      </c>
      <c r="BB375" s="31" t="str">
        <f t="shared" si="1108"/>
        <v>BypassUMLHChecks,0,</v>
      </c>
      <c r="BC375" s="31" t="str">
        <f t="shared" si="1109"/>
        <v>BypassCheckSimRules,0,</v>
      </c>
      <c r="BD375" s="31" t="str">
        <f t="shared" si="1110"/>
        <v>BypassCheckCodeRules,0,</v>
      </c>
      <c r="BE375" s="31" t="str">
        <f t="shared" si="1111"/>
        <v>StoreResultsToModelInput,1,</v>
      </c>
      <c r="BF375" s="31" t="str">
        <f t="shared" si="1112"/>
        <v>StoreBEMDetails,0,</v>
      </c>
      <c r="BG375" s="31" t="str">
        <f t="shared" si="1113"/>
        <v>ModelRpt_ALL,1,</v>
      </c>
      <c r="BH375" s="31" t="str">
        <f t="shared" si="1114"/>
        <v>ExportHourlyResults_All,0,</v>
      </c>
      <c r="BI375" s="31" t="str">
        <f t="shared" si="1115"/>
        <v>ComplianceReportPDF,0,</v>
      </c>
      <c r="BJ375" s="31" t="str">
        <f t="shared" si="1116"/>
        <v>ComplianceReportXML,0,</v>
      </c>
      <c r="BK375" s="31" t="str">
        <f t="shared" si="1117"/>
        <v>QuickAnalysis,0,</v>
      </c>
      <c r="BL375" s="31" t="str">
        <f t="shared" si="1118"/>
        <v>PromptUserUMLHWarning,0,</v>
      </c>
      <c r="BM375" s="31" t="str">
        <f t="shared" si="1119"/>
        <v>BypassOpenStudio_all,0,</v>
      </c>
      <c r="BN375" s="31" t="str">
        <f t="shared" si="1120"/>
        <v>BypassOpenStudio_zp,0,</v>
      </c>
      <c r="BO375" s="31" t="str">
        <f t="shared" si="1121"/>
        <v>BypassOpenStudio_zb,0,</v>
      </c>
      <c r="BP375" s="31" t="str">
        <f t="shared" si="1122"/>
        <v>BypassOpenStudio_ap,0,</v>
      </c>
      <c r="BQ375" s="31" t="str">
        <f t="shared" si="1123"/>
        <v>BypassOpenStudio_ab,0,</v>
      </c>
      <c r="BR375" s="31" t="str">
        <f t="shared" si="1124"/>
        <v>BypassOpenStudio_zp,0,</v>
      </c>
      <c r="BS375" s="31" t="str">
        <f t="shared" si="1125"/>
        <v>BypassOpenStudio_zb,0,</v>
      </c>
      <c r="BT375" s="31" t="str">
        <f t="shared" si="1126"/>
        <v>BypassOpenStudio_ap,0,</v>
      </c>
      <c r="BU375" s="31" t="str">
        <f t="shared" si="1127"/>
        <v>BypassOpenStudio_ab,0,</v>
      </c>
    </row>
    <row r="376" spans="1:73" outlineLevel="1" x14ac:dyDescent="0.25">
      <c r="A376" s="39">
        <f t="shared" si="1095"/>
        <v>0</v>
      </c>
      <c r="B376" s="27" t="str">
        <f t="shared" si="1128"/>
        <v>SoftwareSensitivity2016Tests\SimplifiedGeometry\x.cibd16</v>
      </c>
      <c r="C376" s="27" t="str">
        <f t="shared" si="1129"/>
        <v>BatchOut_171026_r5178_FinalRel-v3-SSTSG_SSTSG\x.cibd16</v>
      </c>
      <c r="D376" s="27" t="str">
        <f t="shared" si="1130"/>
        <v>BatchOut_171026_r5178_FinalRel-v3-SSTSG_SSTSG\XML\</v>
      </c>
      <c r="E376" s="9" t="str">
        <f t="shared" si="1131"/>
        <v>x</v>
      </c>
      <c r="F376" s="22"/>
      <c r="G376" s="29"/>
      <c r="H376" s="23" t="str">
        <f t="shared" si="1132"/>
        <v/>
      </c>
      <c r="I376" s="9" t="s">
        <v>11</v>
      </c>
      <c r="J37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6" s="15" t="s">
        <v>1</v>
      </c>
      <c r="L376" s="92">
        <f t="shared" si="1135"/>
        <v>0</v>
      </c>
      <c r="M376" s="91" t="str">
        <f t="shared" si="1133"/>
        <v>x</v>
      </c>
      <c r="N376" s="90" t="s">
        <v>149</v>
      </c>
      <c r="O376" s="90" t="str">
        <f t="shared" si="1097"/>
        <v>x</v>
      </c>
      <c r="P376" s="92">
        <f t="shared" si="1148"/>
        <v>1</v>
      </c>
      <c r="Q376" s="92">
        <f t="shared" si="1148"/>
        <v>1</v>
      </c>
      <c r="R376" s="92">
        <f t="shared" si="1148"/>
        <v>0</v>
      </c>
      <c r="S376" s="92">
        <f t="shared" si="1148"/>
        <v>1</v>
      </c>
      <c r="T376" s="92">
        <f t="shared" si="1148"/>
        <v>0</v>
      </c>
      <c r="U376" s="92">
        <f t="shared" si="1148"/>
        <v>8</v>
      </c>
      <c r="V376" s="92">
        <f t="shared" si="1148"/>
        <v>8</v>
      </c>
      <c r="W376" s="92">
        <f t="shared" si="1148"/>
        <v>1</v>
      </c>
      <c r="X376" s="92">
        <f t="shared" si="1148"/>
        <v>0</v>
      </c>
      <c r="Y376" s="92">
        <f t="shared" si="1148"/>
        <v>0</v>
      </c>
      <c r="Z376" s="92">
        <f t="shared" si="1148"/>
        <v>0</v>
      </c>
      <c r="AA376" s="92">
        <f t="shared" si="1148"/>
        <v>0</v>
      </c>
      <c r="AB376" s="92">
        <f t="shared" si="1148"/>
        <v>1</v>
      </c>
      <c r="AC376" s="92">
        <f t="shared" si="1148"/>
        <v>0</v>
      </c>
      <c r="AD376" s="92">
        <f t="shared" si="1148"/>
        <v>1</v>
      </c>
      <c r="AE376" s="92">
        <f t="shared" si="1148"/>
        <v>0</v>
      </c>
      <c r="AF376" s="92">
        <f t="shared" si="1148"/>
        <v>0</v>
      </c>
      <c r="AG376" s="92">
        <f t="shared" si="1148"/>
        <v>0</v>
      </c>
      <c r="AH376" s="92">
        <f t="shared" si="1148"/>
        <v>0</v>
      </c>
      <c r="AI376" s="92">
        <f t="shared" si="1147"/>
        <v>0</v>
      </c>
      <c r="AJ376" s="92">
        <f t="shared" si="1147"/>
        <v>0</v>
      </c>
      <c r="AK376" s="92">
        <f t="shared" si="1147"/>
        <v>0</v>
      </c>
      <c r="AL376" s="92">
        <f t="shared" si="1147"/>
        <v>0</v>
      </c>
      <c r="AM376" s="92">
        <f t="shared" si="1147"/>
        <v>0</v>
      </c>
      <c r="AN376" s="92">
        <f t="shared" si="1147"/>
        <v>0</v>
      </c>
      <c r="AO376" s="92">
        <f t="shared" si="1147"/>
        <v>0</v>
      </c>
      <c r="AP376" s="92">
        <f t="shared" si="1147"/>
        <v>0</v>
      </c>
      <c r="AQ376" s="92">
        <f t="shared" si="1147"/>
        <v>0</v>
      </c>
      <c r="AR376" s="92">
        <f t="shared" si="1146"/>
        <v>0</v>
      </c>
      <c r="AS376" s="31" t="str">
        <f t="shared" si="1099"/>
        <v>SimulationStorage,1,</v>
      </c>
      <c r="AT376" s="31" t="str">
        <f t="shared" si="1100"/>
        <v>AnalysisStorage,1,</v>
      </c>
      <c r="AU376" s="31" t="str">
        <f t="shared" si="1101"/>
        <v>LogRuleEvaluation,0,</v>
      </c>
      <c r="AV376" s="31" t="str">
        <f t="shared" si="1102"/>
        <v>ParallelSimulations,1,</v>
      </c>
      <c r="AW376" s="31" t="str">
        <f t="shared" si="1103"/>
        <v>DurationStats,0,</v>
      </c>
      <c r="AX376" s="31" t="str">
        <f t="shared" si="1104"/>
        <v>AnalysisThruStep,8,</v>
      </c>
      <c r="AY376" s="31" t="str">
        <f t="shared" si="1105"/>
        <v>DontAbortOnErrorsThruStep,8,</v>
      </c>
      <c r="AZ376" s="31" t="str">
        <f t="shared" si="1106"/>
        <v>BypassValidFileChecks,1,</v>
      </c>
      <c r="BA376" s="31" t="str">
        <f t="shared" si="1107"/>
        <v>BypassInputChecks,0,</v>
      </c>
      <c r="BB376" s="31" t="str">
        <f t="shared" si="1108"/>
        <v>BypassUMLHChecks,0,</v>
      </c>
      <c r="BC376" s="31" t="str">
        <f t="shared" si="1109"/>
        <v>BypassCheckSimRules,0,</v>
      </c>
      <c r="BD376" s="31" t="str">
        <f t="shared" si="1110"/>
        <v>BypassCheckCodeRules,0,</v>
      </c>
      <c r="BE376" s="31" t="str">
        <f t="shared" si="1111"/>
        <v>StoreResultsToModelInput,1,</v>
      </c>
      <c r="BF376" s="31" t="str">
        <f t="shared" si="1112"/>
        <v>StoreBEMDetails,0,</v>
      </c>
      <c r="BG376" s="31" t="str">
        <f t="shared" si="1113"/>
        <v>ModelRpt_ALL,1,</v>
      </c>
      <c r="BH376" s="31" t="str">
        <f t="shared" si="1114"/>
        <v>ExportHourlyResults_All,0,</v>
      </c>
      <c r="BI376" s="31" t="str">
        <f t="shared" si="1115"/>
        <v>ComplianceReportPDF,0,</v>
      </c>
      <c r="BJ376" s="31" t="str">
        <f t="shared" si="1116"/>
        <v>ComplianceReportXML,0,</v>
      </c>
      <c r="BK376" s="31" t="str">
        <f t="shared" si="1117"/>
        <v>QuickAnalysis,0,</v>
      </c>
      <c r="BL376" s="31" t="str">
        <f t="shared" si="1118"/>
        <v>PromptUserUMLHWarning,0,</v>
      </c>
      <c r="BM376" s="31" t="str">
        <f t="shared" si="1119"/>
        <v>BypassOpenStudio_all,0,</v>
      </c>
      <c r="BN376" s="31" t="str">
        <f t="shared" si="1120"/>
        <v>BypassOpenStudio_zp,0,</v>
      </c>
      <c r="BO376" s="31" t="str">
        <f t="shared" si="1121"/>
        <v>BypassOpenStudio_zb,0,</v>
      </c>
      <c r="BP376" s="31" t="str">
        <f t="shared" si="1122"/>
        <v>BypassOpenStudio_ap,0,</v>
      </c>
      <c r="BQ376" s="31" t="str">
        <f t="shared" si="1123"/>
        <v>BypassOpenStudio_ab,0,</v>
      </c>
      <c r="BR376" s="31" t="str">
        <f t="shared" si="1124"/>
        <v>BypassOpenStudio_zp,0,</v>
      </c>
      <c r="BS376" s="31" t="str">
        <f t="shared" si="1125"/>
        <v>BypassOpenStudio_zb,0,</v>
      </c>
      <c r="BT376" s="31" t="str">
        <f t="shared" si="1126"/>
        <v>BypassOpenStudio_ap,0,</v>
      </c>
      <c r="BU376" s="31" t="str">
        <f t="shared" si="1127"/>
        <v>BypassOpenStudio_ab,0,</v>
      </c>
    </row>
    <row r="377" spans="1:73" outlineLevel="1" x14ac:dyDescent="0.25">
      <c r="A377" s="39">
        <f t="shared" si="1095"/>
        <v>0</v>
      </c>
      <c r="B377" s="27" t="str">
        <f t="shared" si="1128"/>
        <v>SoftwareSensitivity2016Tests\SimplifiedGeometry\x.cibd16</v>
      </c>
      <c r="C377" s="27" t="str">
        <f t="shared" si="1129"/>
        <v>BatchOut_171026_r5178_FinalRel-v3-SSTSG_SSTSG\x.cibd16</v>
      </c>
      <c r="D377" s="27" t="str">
        <f t="shared" si="1130"/>
        <v>BatchOut_171026_r5178_FinalRel-v3-SSTSG_SSTSG\XML\</v>
      </c>
      <c r="E377" s="9" t="str">
        <f t="shared" si="1131"/>
        <v>x</v>
      </c>
      <c r="F377" s="22"/>
      <c r="G377" s="29"/>
      <c r="H377" s="23" t="str">
        <f t="shared" si="1132"/>
        <v/>
      </c>
      <c r="I377" s="9" t="s">
        <v>11</v>
      </c>
      <c r="J37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7" s="15" t="s">
        <v>1</v>
      </c>
      <c r="L377" s="92">
        <f t="shared" si="1135"/>
        <v>0</v>
      </c>
      <c r="M377" s="91" t="str">
        <f t="shared" si="1133"/>
        <v>x</v>
      </c>
      <c r="N377" s="90" t="s">
        <v>149</v>
      </c>
      <c r="O377" s="90" t="str">
        <f t="shared" si="1097"/>
        <v>x</v>
      </c>
      <c r="P377" s="92">
        <f t="shared" si="1148"/>
        <v>1</v>
      </c>
      <c r="Q377" s="92">
        <f t="shared" si="1148"/>
        <v>1</v>
      </c>
      <c r="R377" s="92">
        <f t="shared" si="1148"/>
        <v>0</v>
      </c>
      <c r="S377" s="92">
        <f t="shared" si="1148"/>
        <v>1</v>
      </c>
      <c r="T377" s="92">
        <f t="shared" si="1148"/>
        <v>0</v>
      </c>
      <c r="U377" s="92">
        <f t="shared" si="1148"/>
        <v>8</v>
      </c>
      <c r="V377" s="92">
        <f t="shared" si="1148"/>
        <v>8</v>
      </c>
      <c r="W377" s="92">
        <f t="shared" si="1148"/>
        <v>1</v>
      </c>
      <c r="X377" s="92">
        <f t="shared" si="1148"/>
        <v>0</v>
      </c>
      <c r="Y377" s="92">
        <f t="shared" si="1148"/>
        <v>0</v>
      </c>
      <c r="Z377" s="92">
        <f t="shared" si="1148"/>
        <v>0</v>
      </c>
      <c r="AA377" s="92">
        <f t="shared" si="1148"/>
        <v>0</v>
      </c>
      <c r="AB377" s="92">
        <f t="shared" si="1148"/>
        <v>1</v>
      </c>
      <c r="AC377" s="92">
        <f t="shared" si="1148"/>
        <v>0</v>
      </c>
      <c r="AD377" s="92">
        <f t="shared" si="1148"/>
        <v>1</v>
      </c>
      <c r="AE377" s="92">
        <f t="shared" si="1148"/>
        <v>0</v>
      </c>
      <c r="AF377" s="92">
        <f t="shared" si="1148"/>
        <v>0</v>
      </c>
      <c r="AG377" s="92">
        <f t="shared" si="1148"/>
        <v>0</v>
      </c>
      <c r="AH377" s="92">
        <f t="shared" si="1148"/>
        <v>0</v>
      </c>
      <c r="AI377" s="92">
        <f t="shared" si="1147"/>
        <v>0</v>
      </c>
      <c r="AJ377" s="92">
        <f t="shared" si="1147"/>
        <v>0</v>
      </c>
      <c r="AK377" s="92">
        <f t="shared" si="1147"/>
        <v>0</v>
      </c>
      <c r="AL377" s="92">
        <f t="shared" si="1147"/>
        <v>0</v>
      </c>
      <c r="AM377" s="92">
        <f t="shared" si="1147"/>
        <v>0</v>
      </c>
      <c r="AN377" s="92">
        <f t="shared" si="1147"/>
        <v>0</v>
      </c>
      <c r="AO377" s="92">
        <f t="shared" si="1147"/>
        <v>0</v>
      </c>
      <c r="AP377" s="92">
        <f t="shared" si="1147"/>
        <v>0</v>
      </c>
      <c r="AQ377" s="92">
        <f t="shared" si="1147"/>
        <v>0</v>
      </c>
      <c r="AR377" s="92">
        <f t="shared" si="1146"/>
        <v>0</v>
      </c>
      <c r="AS377" s="31" t="str">
        <f t="shared" si="1099"/>
        <v>SimulationStorage,1,</v>
      </c>
      <c r="AT377" s="31" t="str">
        <f t="shared" si="1100"/>
        <v>AnalysisStorage,1,</v>
      </c>
      <c r="AU377" s="31" t="str">
        <f t="shared" si="1101"/>
        <v>LogRuleEvaluation,0,</v>
      </c>
      <c r="AV377" s="31" t="str">
        <f t="shared" si="1102"/>
        <v>ParallelSimulations,1,</v>
      </c>
      <c r="AW377" s="31" t="str">
        <f t="shared" si="1103"/>
        <v>DurationStats,0,</v>
      </c>
      <c r="AX377" s="31" t="str">
        <f t="shared" si="1104"/>
        <v>AnalysisThruStep,8,</v>
      </c>
      <c r="AY377" s="31" t="str">
        <f t="shared" si="1105"/>
        <v>DontAbortOnErrorsThruStep,8,</v>
      </c>
      <c r="AZ377" s="31" t="str">
        <f t="shared" si="1106"/>
        <v>BypassValidFileChecks,1,</v>
      </c>
      <c r="BA377" s="31" t="str">
        <f t="shared" si="1107"/>
        <v>BypassInputChecks,0,</v>
      </c>
      <c r="BB377" s="31" t="str">
        <f t="shared" si="1108"/>
        <v>BypassUMLHChecks,0,</v>
      </c>
      <c r="BC377" s="31" t="str">
        <f t="shared" si="1109"/>
        <v>BypassCheckSimRules,0,</v>
      </c>
      <c r="BD377" s="31" t="str">
        <f t="shared" si="1110"/>
        <v>BypassCheckCodeRules,0,</v>
      </c>
      <c r="BE377" s="31" t="str">
        <f t="shared" si="1111"/>
        <v>StoreResultsToModelInput,1,</v>
      </c>
      <c r="BF377" s="31" t="str">
        <f t="shared" si="1112"/>
        <v>StoreBEMDetails,0,</v>
      </c>
      <c r="BG377" s="31" t="str">
        <f t="shared" si="1113"/>
        <v>ModelRpt_ALL,1,</v>
      </c>
      <c r="BH377" s="31" t="str">
        <f t="shared" si="1114"/>
        <v>ExportHourlyResults_All,0,</v>
      </c>
      <c r="BI377" s="31" t="str">
        <f t="shared" si="1115"/>
        <v>ComplianceReportPDF,0,</v>
      </c>
      <c r="BJ377" s="31" t="str">
        <f t="shared" si="1116"/>
        <v>ComplianceReportXML,0,</v>
      </c>
      <c r="BK377" s="31" t="str">
        <f t="shared" si="1117"/>
        <v>QuickAnalysis,0,</v>
      </c>
      <c r="BL377" s="31" t="str">
        <f t="shared" si="1118"/>
        <v>PromptUserUMLHWarning,0,</v>
      </c>
      <c r="BM377" s="31" t="str">
        <f t="shared" si="1119"/>
        <v>BypassOpenStudio_all,0,</v>
      </c>
      <c r="BN377" s="31" t="str">
        <f t="shared" si="1120"/>
        <v>BypassOpenStudio_zp,0,</v>
      </c>
      <c r="BO377" s="31" t="str">
        <f t="shared" si="1121"/>
        <v>BypassOpenStudio_zb,0,</v>
      </c>
      <c r="BP377" s="31" t="str">
        <f t="shared" si="1122"/>
        <v>BypassOpenStudio_ap,0,</v>
      </c>
      <c r="BQ377" s="31" t="str">
        <f t="shared" si="1123"/>
        <v>BypassOpenStudio_ab,0,</v>
      </c>
      <c r="BR377" s="31" t="str">
        <f t="shared" si="1124"/>
        <v>BypassOpenStudio_zp,0,</v>
      </c>
      <c r="BS377" s="31" t="str">
        <f t="shared" si="1125"/>
        <v>BypassOpenStudio_zb,0,</v>
      </c>
      <c r="BT377" s="31" t="str">
        <f t="shared" si="1126"/>
        <v>BypassOpenStudio_ap,0,</v>
      </c>
      <c r="BU377" s="31" t="str">
        <f t="shared" si="1127"/>
        <v>BypassOpenStudio_ab,0,</v>
      </c>
    </row>
    <row r="378" spans="1:73" outlineLevel="1" x14ac:dyDescent="0.25">
      <c r="A378" s="39">
        <f t="shared" si="1095"/>
        <v>0</v>
      </c>
      <c r="B378" s="27" t="str">
        <f t="shared" si="1128"/>
        <v>SoftwareSensitivity2016Tests\SimplifiedGeometry\x.cibd16</v>
      </c>
      <c r="C378" s="27" t="str">
        <f t="shared" si="1129"/>
        <v>BatchOut_171026_r5178_FinalRel-v3-SSTSG_SSTSG\x.cibd16</v>
      </c>
      <c r="D378" s="27" t="str">
        <f t="shared" si="1130"/>
        <v>BatchOut_171026_r5178_FinalRel-v3-SSTSG_SSTSG\XML\</v>
      </c>
      <c r="E378" s="9" t="str">
        <f t="shared" si="1131"/>
        <v>x</v>
      </c>
      <c r="F378" s="22"/>
      <c r="G378" s="29"/>
      <c r="H378" s="23" t="str">
        <f t="shared" si="1132"/>
        <v/>
      </c>
      <c r="I378" s="9" t="s">
        <v>11</v>
      </c>
      <c r="J37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8" s="15" t="s">
        <v>1</v>
      </c>
      <c r="L378" s="92">
        <f t="shared" si="1135"/>
        <v>0</v>
      </c>
      <c r="M378" s="91" t="str">
        <f t="shared" si="1133"/>
        <v>x</v>
      </c>
      <c r="N378" s="90" t="s">
        <v>149</v>
      </c>
      <c r="O378" s="90" t="str">
        <f t="shared" si="1097"/>
        <v>x</v>
      </c>
      <c r="P378" s="92">
        <f t="shared" si="1148"/>
        <v>1</v>
      </c>
      <c r="Q378" s="92">
        <f t="shared" si="1148"/>
        <v>1</v>
      </c>
      <c r="R378" s="92">
        <f t="shared" si="1148"/>
        <v>0</v>
      </c>
      <c r="S378" s="92">
        <f t="shared" si="1148"/>
        <v>1</v>
      </c>
      <c r="T378" s="92">
        <f t="shared" si="1148"/>
        <v>0</v>
      </c>
      <c r="U378" s="92">
        <f t="shared" si="1148"/>
        <v>8</v>
      </c>
      <c r="V378" s="92">
        <f t="shared" si="1148"/>
        <v>8</v>
      </c>
      <c r="W378" s="92">
        <f t="shared" si="1148"/>
        <v>1</v>
      </c>
      <c r="X378" s="92">
        <f t="shared" si="1148"/>
        <v>0</v>
      </c>
      <c r="Y378" s="92">
        <f t="shared" si="1148"/>
        <v>0</v>
      </c>
      <c r="Z378" s="92">
        <f t="shared" si="1148"/>
        <v>0</v>
      </c>
      <c r="AA378" s="92">
        <f t="shared" si="1148"/>
        <v>0</v>
      </c>
      <c r="AB378" s="92">
        <f t="shared" si="1148"/>
        <v>1</v>
      </c>
      <c r="AC378" s="92">
        <f t="shared" si="1148"/>
        <v>0</v>
      </c>
      <c r="AD378" s="92">
        <f t="shared" si="1148"/>
        <v>1</v>
      </c>
      <c r="AE378" s="92">
        <f t="shared" si="1148"/>
        <v>0</v>
      </c>
      <c r="AF378" s="92">
        <f t="shared" si="1148"/>
        <v>0</v>
      </c>
      <c r="AG378" s="92">
        <f t="shared" si="1148"/>
        <v>0</v>
      </c>
      <c r="AH378" s="92">
        <f t="shared" si="1148"/>
        <v>0</v>
      </c>
      <c r="AI378" s="92">
        <f t="shared" si="1147"/>
        <v>0</v>
      </c>
      <c r="AJ378" s="92">
        <f t="shared" si="1147"/>
        <v>0</v>
      </c>
      <c r="AK378" s="92">
        <f t="shared" si="1147"/>
        <v>0</v>
      </c>
      <c r="AL378" s="92">
        <f t="shared" si="1147"/>
        <v>0</v>
      </c>
      <c r="AM378" s="92">
        <f t="shared" si="1147"/>
        <v>0</v>
      </c>
      <c r="AN378" s="92">
        <f t="shared" si="1147"/>
        <v>0</v>
      </c>
      <c r="AO378" s="92">
        <f t="shared" si="1147"/>
        <v>0</v>
      </c>
      <c r="AP378" s="92">
        <f t="shared" si="1147"/>
        <v>0</v>
      </c>
      <c r="AQ378" s="92">
        <f t="shared" si="1147"/>
        <v>0</v>
      </c>
      <c r="AR378" s="92">
        <f t="shared" si="1146"/>
        <v>0</v>
      </c>
      <c r="AS378" s="31" t="str">
        <f t="shared" si="1099"/>
        <v>SimulationStorage,1,</v>
      </c>
      <c r="AT378" s="31" t="str">
        <f t="shared" si="1100"/>
        <v>AnalysisStorage,1,</v>
      </c>
      <c r="AU378" s="31" t="str">
        <f t="shared" si="1101"/>
        <v>LogRuleEvaluation,0,</v>
      </c>
      <c r="AV378" s="31" t="str">
        <f t="shared" si="1102"/>
        <v>ParallelSimulations,1,</v>
      </c>
      <c r="AW378" s="31" t="str">
        <f t="shared" si="1103"/>
        <v>DurationStats,0,</v>
      </c>
      <c r="AX378" s="31" t="str">
        <f t="shared" si="1104"/>
        <v>AnalysisThruStep,8,</v>
      </c>
      <c r="AY378" s="31" t="str">
        <f t="shared" si="1105"/>
        <v>DontAbortOnErrorsThruStep,8,</v>
      </c>
      <c r="AZ378" s="31" t="str">
        <f t="shared" si="1106"/>
        <v>BypassValidFileChecks,1,</v>
      </c>
      <c r="BA378" s="31" t="str">
        <f t="shared" si="1107"/>
        <v>BypassInputChecks,0,</v>
      </c>
      <c r="BB378" s="31" t="str">
        <f t="shared" si="1108"/>
        <v>BypassUMLHChecks,0,</v>
      </c>
      <c r="BC378" s="31" t="str">
        <f t="shared" si="1109"/>
        <v>BypassCheckSimRules,0,</v>
      </c>
      <c r="BD378" s="31" t="str">
        <f t="shared" si="1110"/>
        <v>BypassCheckCodeRules,0,</v>
      </c>
      <c r="BE378" s="31" t="str">
        <f t="shared" si="1111"/>
        <v>StoreResultsToModelInput,1,</v>
      </c>
      <c r="BF378" s="31" t="str">
        <f t="shared" si="1112"/>
        <v>StoreBEMDetails,0,</v>
      </c>
      <c r="BG378" s="31" t="str">
        <f t="shared" si="1113"/>
        <v>ModelRpt_ALL,1,</v>
      </c>
      <c r="BH378" s="31" t="str">
        <f t="shared" si="1114"/>
        <v>ExportHourlyResults_All,0,</v>
      </c>
      <c r="BI378" s="31" t="str">
        <f t="shared" si="1115"/>
        <v>ComplianceReportPDF,0,</v>
      </c>
      <c r="BJ378" s="31" t="str">
        <f t="shared" si="1116"/>
        <v>ComplianceReportXML,0,</v>
      </c>
      <c r="BK378" s="31" t="str">
        <f t="shared" si="1117"/>
        <v>QuickAnalysis,0,</v>
      </c>
      <c r="BL378" s="31" t="str">
        <f t="shared" si="1118"/>
        <v>PromptUserUMLHWarning,0,</v>
      </c>
      <c r="BM378" s="31" t="str">
        <f t="shared" si="1119"/>
        <v>BypassOpenStudio_all,0,</v>
      </c>
      <c r="BN378" s="31" t="str">
        <f t="shared" si="1120"/>
        <v>BypassOpenStudio_zp,0,</v>
      </c>
      <c r="BO378" s="31" t="str">
        <f t="shared" si="1121"/>
        <v>BypassOpenStudio_zb,0,</v>
      </c>
      <c r="BP378" s="31" t="str">
        <f t="shared" si="1122"/>
        <v>BypassOpenStudio_ap,0,</v>
      </c>
      <c r="BQ378" s="31" t="str">
        <f t="shared" si="1123"/>
        <v>BypassOpenStudio_ab,0,</v>
      </c>
      <c r="BR378" s="31" t="str">
        <f t="shared" si="1124"/>
        <v>BypassOpenStudio_zp,0,</v>
      </c>
      <c r="BS378" s="31" t="str">
        <f t="shared" si="1125"/>
        <v>BypassOpenStudio_zb,0,</v>
      </c>
      <c r="BT378" s="31" t="str">
        <f t="shared" si="1126"/>
        <v>BypassOpenStudio_ap,0,</v>
      </c>
      <c r="BU378" s="31" t="str">
        <f t="shared" si="1127"/>
        <v>BypassOpenStudio_ab,0,</v>
      </c>
    </row>
    <row r="379" spans="1:73" outlineLevel="1" x14ac:dyDescent="0.25">
      <c r="A379" s="39">
        <f t="shared" si="1095"/>
        <v>0</v>
      </c>
      <c r="B379" s="27" t="str">
        <f t="shared" si="1128"/>
        <v>SoftwareSensitivity2016Tests\SimplifiedGeometry\x.cibd16</v>
      </c>
      <c r="C379" s="27" t="str">
        <f t="shared" si="1129"/>
        <v>BatchOut_171026_r5178_FinalRel-v3-SSTSG_SSTSG\x.cibd16</v>
      </c>
      <c r="D379" s="27" t="str">
        <f t="shared" si="1130"/>
        <v>BatchOut_171026_r5178_FinalRel-v3-SSTSG_SSTSG\XML\</v>
      </c>
      <c r="E379" s="9" t="str">
        <f t="shared" si="1131"/>
        <v>x</v>
      </c>
      <c r="F379" s="22"/>
      <c r="G379" s="29"/>
      <c r="H379" s="23" t="str">
        <f t="shared" si="1132"/>
        <v/>
      </c>
      <c r="I379" s="9" t="s">
        <v>11</v>
      </c>
      <c r="J37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9" s="15" t="s">
        <v>1</v>
      </c>
      <c r="L379" s="92">
        <f t="shared" si="1135"/>
        <v>0</v>
      </c>
      <c r="M379" s="91" t="str">
        <f t="shared" si="1133"/>
        <v>x</v>
      </c>
      <c r="N379" s="90" t="s">
        <v>149</v>
      </c>
      <c r="O379" s="90" t="str">
        <f t="shared" si="1097"/>
        <v>x</v>
      </c>
      <c r="P379" s="92">
        <f t="shared" si="1148"/>
        <v>1</v>
      </c>
      <c r="Q379" s="92">
        <f t="shared" si="1148"/>
        <v>1</v>
      </c>
      <c r="R379" s="92">
        <f t="shared" si="1148"/>
        <v>0</v>
      </c>
      <c r="S379" s="92">
        <f t="shared" si="1148"/>
        <v>1</v>
      </c>
      <c r="T379" s="92">
        <f t="shared" si="1148"/>
        <v>0</v>
      </c>
      <c r="U379" s="92">
        <f t="shared" si="1148"/>
        <v>8</v>
      </c>
      <c r="V379" s="92">
        <f t="shared" si="1148"/>
        <v>8</v>
      </c>
      <c r="W379" s="92">
        <f t="shared" si="1148"/>
        <v>1</v>
      </c>
      <c r="X379" s="92">
        <f t="shared" si="1148"/>
        <v>0</v>
      </c>
      <c r="Y379" s="92">
        <f t="shared" si="1148"/>
        <v>0</v>
      </c>
      <c r="Z379" s="92">
        <f t="shared" si="1148"/>
        <v>0</v>
      </c>
      <c r="AA379" s="92">
        <f t="shared" si="1148"/>
        <v>0</v>
      </c>
      <c r="AB379" s="92">
        <f t="shared" si="1148"/>
        <v>1</v>
      </c>
      <c r="AC379" s="92">
        <f t="shared" si="1148"/>
        <v>0</v>
      </c>
      <c r="AD379" s="92">
        <f t="shared" si="1148"/>
        <v>1</v>
      </c>
      <c r="AE379" s="92">
        <f t="shared" si="1148"/>
        <v>0</v>
      </c>
      <c r="AF379" s="92">
        <f t="shared" si="1148"/>
        <v>0</v>
      </c>
      <c r="AG379" s="92">
        <f t="shared" si="1148"/>
        <v>0</v>
      </c>
      <c r="AH379" s="92">
        <f t="shared" si="1148"/>
        <v>0</v>
      </c>
      <c r="AI379" s="92">
        <f t="shared" si="1147"/>
        <v>0</v>
      </c>
      <c r="AJ379" s="92">
        <f t="shared" si="1147"/>
        <v>0</v>
      </c>
      <c r="AK379" s="92">
        <f t="shared" si="1147"/>
        <v>0</v>
      </c>
      <c r="AL379" s="92">
        <f t="shared" si="1147"/>
        <v>0</v>
      </c>
      <c r="AM379" s="92">
        <f t="shared" si="1147"/>
        <v>0</v>
      </c>
      <c r="AN379" s="92">
        <f t="shared" si="1147"/>
        <v>0</v>
      </c>
      <c r="AO379" s="92">
        <f t="shared" si="1147"/>
        <v>0</v>
      </c>
      <c r="AP379" s="92">
        <f t="shared" si="1147"/>
        <v>0</v>
      </c>
      <c r="AQ379" s="92">
        <f t="shared" si="1147"/>
        <v>0</v>
      </c>
      <c r="AR379" s="92">
        <f t="shared" si="1146"/>
        <v>0</v>
      </c>
      <c r="AS379" s="31" t="str">
        <f t="shared" si="1099"/>
        <v>SimulationStorage,1,</v>
      </c>
      <c r="AT379" s="31" t="str">
        <f t="shared" si="1100"/>
        <v>AnalysisStorage,1,</v>
      </c>
      <c r="AU379" s="31" t="str">
        <f t="shared" si="1101"/>
        <v>LogRuleEvaluation,0,</v>
      </c>
      <c r="AV379" s="31" t="str">
        <f t="shared" si="1102"/>
        <v>ParallelSimulations,1,</v>
      </c>
      <c r="AW379" s="31" t="str">
        <f t="shared" si="1103"/>
        <v>DurationStats,0,</v>
      </c>
      <c r="AX379" s="31" t="str">
        <f t="shared" si="1104"/>
        <v>AnalysisThruStep,8,</v>
      </c>
      <c r="AY379" s="31" t="str">
        <f t="shared" si="1105"/>
        <v>DontAbortOnErrorsThruStep,8,</v>
      </c>
      <c r="AZ379" s="31" t="str">
        <f t="shared" si="1106"/>
        <v>BypassValidFileChecks,1,</v>
      </c>
      <c r="BA379" s="31" t="str">
        <f t="shared" si="1107"/>
        <v>BypassInputChecks,0,</v>
      </c>
      <c r="BB379" s="31" t="str">
        <f t="shared" si="1108"/>
        <v>BypassUMLHChecks,0,</v>
      </c>
      <c r="BC379" s="31" t="str">
        <f t="shared" si="1109"/>
        <v>BypassCheckSimRules,0,</v>
      </c>
      <c r="BD379" s="31" t="str">
        <f t="shared" si="1110"/>
        <v>BypassCheckCodeRules,0,</v>
      </c>
      <c r="BE379" s="31" t="str">
        <f t="shared" si="1111"/>
        <v>StoreResultsToModelInput,1,</v>
      </c>
      <c r="BF379" s="31" t="str">
        <f t="shared" si="1112"/>
        <v>StoreBEMDetails,0,</v>
      </c>
      <c r="BG379" s="31" t="str">
        <f t="shared" si="1113"/>
        <v>ModelRpt_ALL,1,</v>
      </c>
      <c r="BH379" s="31" t="str">
        <f t="shared" si="1114"/>
        <v>ExportHourlyResults_All,0,</v>
      </c>
      <c r="BI379" s="31" t="str">
        <f t="shared" si="1115"/>
        <v>ComplianceReportPDF,0,</v>
      </c>
      <c r="BJ379" s="31" t="str">
        <f t="shared" si="1116"/>
        <v>ComplianceReportXML,0,</v>
      </c>
      <c r="BK379" s="31" t="str">
        <f t="shared" si="1117"/>
        <v>QuickAnalysis,0,</v>
      </c>
      <c r="BL379" s="31" t="str">
        <f t="shared" si="1118"/>
        <v>PromptUserUMLHWarning,0,</v>
      </c>
      <c r="BM379" s="31" t="str">
        <f t="shared" si="1119"/>
        <v>BypassOpenStudio_all,0,</v>
      </c>
      <c r="BN379" s="31" t="str">
        <f t="shared" si="1120"/>
        <v>BypassOpenStudio_zp,0,</v>
      </c>
      <c r="BO379" s="31" t="str">
        <f t="shared" si="1121"/>
        <v>BypassOpenStudio_zb,0,</v>
      </c>
      <c r="BP379" s="31" t="str">
        <f t="shared" si="1122"/>
        <v>BypassOpenStudio_ap,0,</v>
      </c>
      <c r="BQ379" s="31" t="str">
        <f t="shared" si="1123"/>
        <v>BypassOpenStudio_ab,0,</v>
      </c>
      <c r="BR379" s="31" t="str">
        <f t="shared" si="1124"/>
        <v>BypassOpenStudio_zp,0,</v>
      </c>
      <c r="BS379" s="31" t="str">
        <f t="shared" si="1125"/>
        <v>BypassOpenStudio_zb,0,</v>
      </c>
      <c r="BT379" s="31" t="str">
        <f t="shared" si="1126"/>
        <v>BypassOpenStudio_ap,0,</v>
      </c>
      <c r="BU379" s="31" t="str">
        <f t="shared" si="1127"/>
        <v>BypassOpenStudio_ab,0,</v>
      </c>
    </row>
    <row r="380" spans="1:73" outlineLevel="1" x14ac:dyDescent="0.25">
      <c r="A380" s="39">
        <f t="shared" si="1095"/>
        <v>0</v>
      </c>
      <c r="B380" s="27" t="str">
        <f t="shared" si="1128"/>
        <v>SoftwareSensitivity2016Tests\SimplifiedGeometry\x.cibd16</v>
      </c>
      <c r="C380" s="27" t="str">
        <f t="shared" si="1129"/>
        <v>BatchOut_171026_r5178_FinalRel-v3-SSTSG_SSTSG\x.cibd16</v>
      </c>
      <c r="D380" s="27" t="str">
        <f t="shared" si="1130"/>
        <v>BatchOut_171026_r5178_FinalRel-v3-SSTSG_SSTSG\XML\</v>
      </c>
      <c r="E380" s="9" t="str">
        <f t="shared" si="1131"/>
        <v>x</v>
      </c>
      <c r="F380" s="22"/>
      <c r="G380" s="29"/>
      <c r="H380" s="23" t="str">
        <f t="shared" si="1132"/>
        <v/>
      </c>
      <c r="I380" s="9" t="s">
        <v>11</v>
      </c>
      <c r="J38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0" s="15" t="s">
        <v>1</v>
      </c>
      <c r="L380" s="92">
        <v>0</v>
      </c>
      <c r="M380" s="91" t="str">
        <f t="shared" si="1133"/>
        <v>x</v>
      </c>
      <c r="N380" s="90" t="s">
        <v>149</v>
      </c>
      <c r="O380" s="90" t="str">
        <f t="shared" si="1097"/>
        <v>x</v>
      </c>
      <c r="P380" s="92">
        <f t="shared" si="1148"/>
        <v>1</v>
      </c>
      <c r="Q380" s="92">
        <f t="shared" si="1148"/>
        <v>1</v>
      </c>
      <c r="R380" s="92">
        <f t="shared" si="1148"/>
        <v>0</v>
      </c>
      <c r="S380" s="92">
        <f t="shared" si="1148"/>
        <v>1</v>
      </c>
      <c r="T380" s="92">
        <f t="shared" si="1148"/>
        <v>0</v>
      </c>
      <c r="U380" s="92">
        <f t="shared" si="1148"/>
        <v>8</v>
      </c>
      <c r="V380" s="92">
        <f t="shared" si="1148"/>
        <v>8</v>
      </c>
      <c r="W380" s="92">
        <f t="shared" si="1148"/>
        <v>1</v>
      </c>
      <c r="X380" s="92">
        <f t="shared" si="1148"/>
        <v>0</v>
      </c>
      <c r="Y380" s="92">
        <f t="shared" si="1148"/>
        <v>0</v>
      </c>
      <c r="Z380" s="92">
        <f t="shared" si="1148"/>
        <v>0</v>
      </c>
      <c r="AA380" s="92">
        <f t="shared" si="1148"/>
        <v>0</v>
      </c>
      <c r="AB380" s="92">
        <f t="shared" si="1148"/>
        <v>1</v>
      </c>
      <c r="AC380" s="92">
        <f t="shared" si="1148"/>
        <v>0</v>
      </c>
      <c r="AD380" s="92">
        <f t="shared" si="1148"/>
        <v>1</v>
      </c>
      <c r="AE380" s="92">
        <f t="shared" si="1148"/>
        <v>0</v>
      </c>
      <c r="AF380" s="92">
        <f t="shared" si="1148"/>
        <v>0</v>
      </c>
      <c r="AG380" s="92">
        <f t="shared" si="1148"/>
        <v>0</v>
      </c>
      <c r="AH380" s="92">
        <f t="shared" si="1148"/>
        <v>0</v>
      </c>
      <c r="AI380" s="92">
        <f t="shared" si="1147"/>
        <v>0</v>
      </c>
      <c r="AJ380" s="92">
        <f t="shared" si="1147"/>
        <v>0</v>
      </c>
      <c r="AK380" s="92">
        <f t="shared" si="1147"/>
        <v>0</v>
      </c>
      <c r="AL380" s="92">
        <f t="shared" si="1147"/>
        <v>0</v>
      </c>
      <c r="AM380" s="92">
        <f t="shared" si="1147"/>
        <v>0</v>
      </c>
      <c r="AN380" s="92">
        <f t="shared" si="1147"/>
        <v>0</v>
      </c>
      <c r="AO380" s="92">
        <f t="shared" si="1147"/>
        <v>0</v>
      </c>
      <c r="AP380" s="92">
        <f t="shared" si="1147"/>
        <v>0</v>
      </c>
      <c r="AQ380" s="92">
        <f t="shared" si="1147"/>
        <v>0</v>
      </c>
      <c r="AR380" s="92">
        <f t="shared" si="1146"/>
        <v>0</v>
      </c>
      <c r="AS380" s="31" t="str">
        <f t="shared" si="1099"/>
        <v>SimulationStorage,1,</v>
      </c>
      <c r="AT380" s="31" t="str">
        <f t="shared" si="1100"/>
        <v>AnalysisStorage,1,</v>
      </c>
      <c r="AU380" s="31" t="str">
        <f t="shared" si="1101"/>
        <v>LogRuleEvaluation,0,</v>
      </c>
      <c r="AV380" s="31" t="str">
        <f t="shared" si="1102"/>
        <v>ParallelSimulations,1,</v>
      </c>
      <c r="AW380" s="31" t="str">
        <f t="shared" si="1103"/>
        <v>DurationStats,0,</v>
      </c>
      <c r="AX380" s="31" t="str">
        <f t="shared" si="1104"/>
        <v>AnalysisThruStep,8,</v>
      </c>
      <c r="AY380" s="31" t="str">
        <f t="shared" si="1105"/>
        <v>DontAbortOnErrorsThruStep,8,</v>
      </c>
      <c r="AZ380" s="31" t="str">
        <f t="shared" si="1106"/>
        <v>BypassValidFileChecks,1,</v>
      </c>
      <c r="BA380" s="31" t="str">
        <f t="shared" si="1107"/>
        <v>BypassInputChecks,0,</v>
      </c>
      <c r="BB380" s="31" t="str">
        <f t="shared" si="1108"/>
        <v>BypassUMLHChecks,0,</v>
      </c>
      <c r="BC380" s="31" t="str">
        <f t="shared" si="1109"/>
        <v>BypassCheckSimRules,0,</v>
      </c>
      <c r="BD380" s="31" t="str">
        <f t="shared" si="1110"/>
        <v>BypassCheckCodeRules,0,</v>
      </c>
      <c r="BE380" s="31" t="str">
        <f t="shared" si="1111"/>
        <v>StoreResultsToModelInput,1,</v>
      </c>
      <c r="BF380" s="31" t="str">
        <f t="shared" si="1112"/>
        <v>StoreBEMDetails,0,</v>
      </c>
      <c r="BG380" s="31" t="str">
        <f t="shared" si="1113"/>
        <v>ModelRpt_ALL,1,</v>
      </c>
      <c r="BH380" s="31" t="str">
        <f t="shared" si="1114"/>
        <v>ExportHourlyResults_All,0,</v>
      </c>
      <c r="BI380" s="31" t="str">
        <f t="shared" si="1115"/>
        <v>ComplianceReportPDF,0,</v>
      </c>
      <c r="BJ380" s="31" t="str">
        <f t="shared" si="1116"/>
        <v>ComplianceReportXML,0,</v>
      </c>
      <c r="BK380" s="31" t="str">
        <f t="shared" si="1117"/>
        <v>QuickAnalysis,0,</v>
      </c>
      <c r="BL380" s="31" t="str">
        <f t="shared" si="1118"/>
        <v>PromptUserUMLHWarning,0,</v>
      </c>
      <c r="BM380" s="31" t="str">
        <f t="shared" si="1119"/>
        <v>BypassOpenStudio_all,0,</v>
      </c>
      <c r="BN380" s="31" t="str">
        <f t="shared" si="1120"/>
        <v>BypassOpenStudio_zp,0,</v>
      </c>
      <c r="BO380" s="31" t="str">
        <f t="shared" si="1121"/>
        <v>BypassOpenStudio_zb,0,</v>
      </c>
      <c r="BP380" s="31" t="str">
        <f t="shared" si="1122"/>
        <v>BypassOpenStudio_ap,0,</v>
      </c>
      <c r="BQ380" s="31" t="str">
        <f t="shared" si="1123"/>
        <v>BypassOpenStudio_ab,0,</v>
      </c>
      <c r="BR380" s="31" t="str">
        <f t="shared" si="1124"/>
        <v>BypassOpenStudio_zp,0,</v>
      </c>
      <c r="BS380" s="31" t="str">
        <f t="shared" si="1125"/>
        <v>BypassOpenStudio_zb,0,</v>
      </c>
      <c r="BT380" s="31" t="str">
        <f t="shared" si="1126"/>
        <v>BypassOpenStudio_ap,0,</v>
      </c>
      <c r="BU380" s="31" t="str">
        <f t="shared" si="1127"/>
        <v>BypassOpenStudio_ab,0,</v>
      </c>
    </row>
    <row r="381" spans="1:73" outlineLevel="1" x14ac:dyDescent="0.25">
      <c r="A381" s="39">
        <f t="shared" si="1095"/>
        <v>0</v>
      </c>
      <c r="B381" s="27" t="str">
        <f t="shared" si="1128"/>
        <v>SoftwareSensitivity2016Tests\SimplifiedGeometry\x.cibd16</v>
      </c>
      <c r="C381" s="27" t="str">
        <f t="shared" si="1129"/>
        <v>BatchOut_171026_r5178_FinalRel-v3-SSTSG_SSTSG\x.cibd16</v>
      </c>
      <c r="D381" s="27" t="str">
        <f t="shared" si="1130"/>
        <v>BatchOut_171026_r5178_FinalRel-v3-SSTSG_SSTSG\XML\</v>
      </c>
      <c r="E381" s="9" t="str">
        <f t="shared" si="1131"/>
        <v>x</v>
      </c>
      <c r="F381" s="22"/>
      <c r="G381" s="29"/>
      <c r="H381" s="23" t="str">
        <f t="shared" si="1132"/>
        <v/>
      </c>
      <c r="I381" s="9" t="s">
        <v>11</v>
      </c>
      <c r="J38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1" s="15" t="s">
        <v>1</v>
      </c>
      <c r="L381" s="92">
        <v>0</v>
      </c>
      <c r="M381" s="91" t="str">
        <f t="shared" si="1133"/>
        <v>x</v>
      </c>
      <c r="N381" s="90" t="s">
        <v>149</v>
      </c>
      <c r="O381" s="90" t="str">
        <f t="shared" si="1097"/>
        <v>x</v>
      </c>
      <c r="P381" s="92">
        <f t="shared" si="1148"/>
        <v>1</v>
      </c>
      <c r="Q381" s="92">
        <f t="shared" si="1148"/>
        <v>1</v>
      </c>
      <c r="R381" s="92">
        <f t="shared" si="1148"/>
        <v>0</v>
      </c>
      <c r="S381" s="92">
        <f t="shared" si="1148"/>
        <v>1</v>
      </c>
      <c r="T381" s="92">
        <f t="shared" si="1148"/>
        <v>0</v>
      </c>
      <c r="U381" s="92">
        <f t="shared" si="1148"/>
        <v>8</v>
      </c>
      <c r="V381" s="92">
        <f t="shared" si="1148"/>
        <v>8</v>
      </c>
      <c r="W381" s="92">
        <f t="shared" si="1148"/>
        <v>1</v>
      </c>
      <c r="X381" s="92">
        <f t="shared" si="1148"/>
        <v>0</v>
      </c>
      <c r="Y381" s="92">
        <f t="shared" si="1148"/>
        <v>0</v>
      </c>
      <c r="Z381" s="92">
        <f t="shared" si="1148"/>
        <v>0</v>
      </c>
      <c r="AA381" s="92">
        <f t="shared" si="1148"/>
        <v>0</v>
      </c>
      <c r="AB381" s="92">
        <f t="shared" si="1148"/>
        <v>1</v>
      </c>
      <c r="AC381" s="92">
        <f t="shared" si="1148"/>
        <v>0</v>
      </c>
      <c r="AD381" s="92">
        <f t="shared" si="1148"/>
        <v>1</v>
      </c>
      <c r="AE381" s="92">
        <f t="shared" si="1148"/>
        <v>0</v>
      </c>
      <c r="AF381" s="92">
        <f t="shared" si="1148"/>
        <v>0</v>
      </c>
      <c r="AG381" s="92">
        <f t="shared" si="1148"/>
        <v>0</v>
      </c>
      <c r="AH381" s="92">
        <f t="shared" si="1148"/>
        <v>0</v>
      </c>
      <c r="AI381" s="92">
        <f t="shared" si="1147"/>
        <v>0</v>
      </c>
      <c r="AJ381" s="92">
        <f t="shared" si="1147"/>
        <v>0</v>
      </c>
      <c r="AK381" s="92">
        <f t="shared" si="1147"/>
        <v>0</v>
      </c>
      <c r="AL381" s="92">
        <f t="shared" si="1147"/>
        <v>0</v>
      </c>
      <c r="AM381" s="92">
        <f t="shared" si="1147"/>
        <v>0</v>
      </c>
      <c r="AN381" s="92">
        <f t="shared" si="1147"/>
        <v>0</v>
      </c>
      <c r="AO381" s="92">
        <f t="shared" si="1147"/>
        <v>0</v>
      </c>
      <c r="AP381" s="92">
        <f t="shared" si="1147"/>
        <v>0</v>
      </c>
      <c r="AQ381" s="92">
        <f t="shared" si="1147"/>
        <v>0</v>
      </c>
      <c r="AR381" s="92">
        <f t="shared" si="1146"/>
        <v>0</v>
      </c>
      <c r="AS381" s="31" t="str">
        <f t="shared" si="1099"/>
        <v>SimulationStorage,1,</v>
      </c>
      <c r="AT381" s="31" t="str">
        <f t="shared" si="1100"/>
        <v>AnalysisStorage,1,</v>
      </c>
      <c r="AU381" s="31" t="str">
        <f t="shared" si="1101"/>
        <v>LogRuleEvaluation,0,</v>
      </c>
      <c r="AV381" s="31" t="str">
        <f t="shared" si="1102"/>
        <v>ParallelSimulations,1,</v>
      </c>
      <c r="AW381" s="31" t="str">
        <f t="shared" si="1103"/>
        <v>DurationStats,0,</v>
      </c>
      <c r="AX381" s="31" t="str">
        <f t="shared" si="1104"/>
        <v>AnalysisThruStep,8,</v>
      </c>
      <c r="AY381" s="31" t="str">
        <f t="shared" si="1105"/>
        <v>DontAbortOnErrorsThruStep,8,</v>
      </c>
      <c r="AZ381" s="31" t="str">
        <f t="shared" si="1106"/>
        <v>BypassValidFileChecks,1,</v>
      </c>
      <c r="BA381" s="31" t="str">
        <f t="shared" si="1107"/>
        <v>BypassInputChecks,0,</v>
      </c>
      <c r="BB381" s="31" t="str">
        <f t="shared" si="1108"/>
        <v>BypassUMLHChecks,0,</v>
      </c>
      <c r="BC381" s="31" t="str">
        <f t="shared" si="1109"/>
        <v>BypassCheckSimRules,0,</v>
      </c>
      <c r="BD381" s="31" t="str">
        <f t="shared" si="1110"/>
        <v>BypassCheckCodeRules,0,</v>
      </c>
      <c r="BE381" s="31" t="str">
        <f t="shared" si="1111"/>
        <v>StoreResultsToModelInput,1,</v>
      </c>
      <c r="BF381" s="31" t="str">
        <f t="shared" si="1112"/>
        <v>StoreBEMDetails,0,</v>
      </c>
      <c r="BG381" s="31" t="str">
        <f t="shared" si="1113"/>
        <v>ModelRpt_ALL,1,</v>
      </c>
      <c r="BH381" s="31" t="str">
        <f t="shared" si="1114"/>
        <v>ExportHourlyResults_All,0,</v>
      </c>
      <c r="BI381" s="31" t="str">
        <f t="shared" si="1115"/>
        <v>ComplianceReportPDF,0,</v>
      </c>
      <c r="BJ381" s="31" t="str">
        <f t="shared" si="1116"/>
        <v>ComplianceReportXML,0,</v>
      </c>
      <c r="BK381" s="31" t="str">
        <f t="shared" si="1117"/>
        <v>QuickAnalysis,0,</v>
      </c>
      <c r="BL381" s="31" t="str">
        <f t="shared" si="1118"/>
        <v>PromptUserUMLHWarning,0,</v>
      </c>
      <c r="BM381" s="31" t="str">
        <f t="shared" si="1119"/>
        <v>BypassOpenStudio_all,0,</v>
      </c>
      <c r="BN381" s="31" t="str">
        <f t="shared" si="1120"/>
        <v>BypassOpenStudio_zp,0,</v>
      </c>
      <c r="BO381" s="31" t="str">
        <f t="shared" si="1121"/>
        <v>BypassOpenStudio_zb,0,</v>
      </c>
      <c r="BP381" s="31" t="str">
        <f t="shared" si="1122"/>
        <v>BypassOpenStudio_ap,0,</v>
      </c>
      <c r="BQ381" s="31" t="str">
        <f t="shared" si="1123"/>
        <v>BypassOpenStudio_ab,0,</v>
      </c>
      <c r="BR381" s="31" t="str">
        <f t="shared" si="1124"/>
        <v>BypassOpenStudio_zp,0,</v>
      </c>
      <c r="BS381" s="31" t="str">
        <f t="shared" si="1125"/>
        <v>BypassOpenStudio_zb,0,</v>
      </c>
      <c r="BT381" s="31" t="str">
        <f t="shared" si="1126"/>
        <v>BypassOpenStudio_ap,0,</v>
      </c>
      <c r="BU381" s="31" t="str">
        <f t="shared" si="1127"/>
        <v>BypassOpenStudio_ab,0,</v>
      </c>
    </row>
    <row r="382" spans="1:73" outlineLevel="1" x14ac:dyDescent="0.25">
      <c r="A382" s="39">
        <f t="shared" si="1095"/>
        <v>0</v>
      </c>
      <c r="B382" s="27" t="str">
        <f t="shared" si="1128"/>
        <v>SoftwareSensitivity2016Tests\SimplifiedGeometry\x.cibd16</v>
      </c>
      <c r="C382" s="27" t="str">
        <f t="shared" si="1129"/>
        <v>BatchOut_171026_r5178_FinalRel-v3-SSTSG_SSTSG\x.cibd16</v>
      </c>
      <c r="D382" s="27" t="str">
        <f t="shared" si="1130"/>
        <v>BatchOut_171026_r5178_FinalRel-v3-SSTSG_SSTSG\XML\</v>
      </c>
      <c r="E382" s="9" t="str">
        <f t="shared" si="1131"/>
        <v>x</v>
      </c>
      <c r="F382" s="22"/>
      <c r="G382" s="29"/>
      <c r="H382" s="23" t="str">
        <f t="shared" si="1132"/>
        <v/>
      </c>
      <c r="I382" s="9" t="s">
        <v>11</v>
      </c>
      <c r="J38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2" s="15" t="s">
        <v>1</v>
      </c>
      <c r="L382" s="92">
        <f t="shared" si="1135"/>
        <v>0</v>
      </c>
      <c r="M382" s="91" t="str">
        <f t="shared" si="1133"/>
        <v>x</v>
      </c>
      <c r="N382" s="90" t="s">
        <v>149</v>
      </c>
      <c r="O382" s="90" t="str">
        <f t="shared" si="1097"/>
        <v>x</v>
      </c>
      <c r="P382" s="92">
        <f t="shared" si="1148"/>
        <v>1</v>
      </c>
      <c r="Q382" s="92">
        <f t="shared" si="1148"/>
        <v>1</v>
      </c>
      <c r="R382" s="92">
        <f t="shared" si="1148"/>
        <v>0</v>
      </c>
      <c r="S382" s="92">
        <f t="shared" si="1148"/>
        <v>1</v>
      </c>
      <c r="T382" s="92">
        <f t="shared" si="1148"/>
        <v>0</v>
      </c>
      <c r="U382" s="92">
        <f t="shared" si="1148"/>
        <v>8</v>
      </c>
      <c r="V382" s="92">
        <f t="shared" si="1148"/>
        <v>8</v>
      </c>
      <c r="W382" s="92">
        <f t="shared" si="1148"/>
        <v>1</v>
      </c>
      <c r="X382" s="92">
        <f t="shared" si="1148"/>
        <v>0</v>
      </c>
      <c r="Y382" s="92">
        <f t="shared" si="1148"/>
        <v>0</v>
      </c>
      <c r="Z382" s="92">
        <f t="shared" si="1148"/>
        <v>0</v>
      </c>
      <c r="AA382" s="92">
        <f t="shared" si="1148"/>
        <v>0</v>
      </c>
      <c r="AB382" s="92">
        <f t="shared" si="1148"/>
        <v>1</v>
      </c>
      <c r="AC382" s="92">
        <f t="shared" si="1148"/>
        <v>0</v>
      </c>
      <c r="AD382" s="92">
        <f t="shared" si="1148"/>
        <v>1</v>
      </c>
      <c r="AE382" s="92">
        <f t="shared" si="1148"/>
        <v>0</v>
      </c>
      <c r="AF382" s="92">
        <f t="shared" si="1148"/>
        <v>0</v>
      </c>
      <c r="AG382" s="92">
        <f t="shared" si="1148"/>
        <v>0</v>
      </c>
      <c r="AH382" s="92">
        <f t="shared" si="1148"/>
        <v>0</v>
      </c>
      <c r="AI382" s="92">
        <f t="shared" si="1147"/>
        <v>0</v>
      </c>
      <c r="AJ382" s="92">
        <f t="shared" si="1147"/>
        <v>0</v>
      </c>
      <c r="AK382" s="92">
        <f t="shared" si="1147"/>
        <v>0</v>
      </c>
      <c r="AL382" s="92">
        <f t="shared" si="1147"/>
        <v>0</v>
      </c>
      <c r="AM382" s="92">
        <f t="shared" si="1147"/>
        <v>0</v>
      </c>
      <c r="AN382" s="92">
        <f t="shared" si="1147"/>
        <v>0</v>
      </c>
      <c r="AO382" s="92">
        <f t="shared" si="1147"/>
        <v>0</v>
      </c>
      <c r="AP382" s="92">
        <f t="shared" si="1147"/>
        <v>0</v>
      </c>
      <c r="AQ382" s="92">
        <f t="shared" si="1147"/>
        <v>0</v>
      </c>
      <c r="AR382" s="92">
        <f t="shared" si="1146"/>
        <v>0</v>
      </c>
      <c r="AS382" s="31" t="str">
        <f t="shared" si="1099"/>
        <v>SimulationStorage,1,</v>
      </c>
      <c r="AT382" s="31" t="str">
        <f t="shared" si="1100"/>
        <v>AnalysisStorage,1,</v>
      </c>
      <c r="AU382" s="31" t="str">
        <f t="shared" si="1101"/>
        <v>LogRuleEvaluation,0,</v>
      </c>
      <c r="AV382" s="31" t="str">
        <f t="shared" si="1102"/>
        <v>ParallelSimulations,1,</v>
      </c>
      <c r="AW382" s="31" t="str">
        <f t="shared" si="1103"/>
        <v>DurationStats,0,</v>
      </c>
      <c r="AX382" s="31" t="str">
        <f t="shared" si="1104"/>
        <v>AnalysisThruStep,8,</v>
      </c>
      <c r="AY382" s="31" t="str">
        <f t="shared" si="1105"/>
        <v>DontAbortOnErrorsThruStep,8,</v>
      </c>
      <c r="AZ382" s="31" t="str">
        <f t="shared" si="1106"/>
        <v>BypassValidFileChecks,1,</v>
      </c>
      <c r="BA382" s="31" t="str">
        <f t="shared" si="1107"/>
        <v>BypassInputChecks,0,</v>
      </c>
      <c r="BB382" s="31" t="str">
        <f t="shared" si="1108"/>
        <v>BypassUMLHChecks,0,</v>
      </c>
      <c r="BC382" s="31" t="str">
        <f t="shared" si="1109"/>
        <v>BypassCheckSimRules,0,</v>
      </c>
      <c r="BD382" s="31" t="str">
        <f t="shared" si="1110"/>
        <v>BypassCheckCodeRules,0,</v>
      </c>
      <c r="BE382" s="31" t="str">
        <f t="shared" si="1111"/>
        <v>StoreResultsToModelInput,1,</v>
      </c>
      <c r="BF382" s="31" t="str">
        <f t="shared" si="1112"/>
        <v>StoreBEMDetails,0,</v>
      </c>
      <c r="BG382" s="31" t="str">
        <f t="shared" si="1113"/>
        <v>ModelRpt_ALL,1,</v>
      </c>
      <c r="BH382" s="31" t="str">
        <f t="shared" si="1114"/>
        <v>ExportHourlyResults_All,0,</v>
      </c>
      <c r="BI382" s="31" t="str">
        <f t="shared" si="1115"/>
        <v>ComplianceReportPDF,0,</v>
      </c>
      <c r="BJ382" s="31" t="str">
        <f t="shared" si="1116"/>
        <v>ComplianceReportXML,0,</v>
      </c>
      <c r="BK382" s="31" t="str">
        <f t="shared" si="1117"/>
        <v>QuickAnalysis,0,</v>
      </c>
      <c r="BL382" s="31" t="str">
        <f t="shared" si="1118"/>
        <v>PromptUserUMLHWarning,0,</v>
      </c>
      <c r="BM382" s="31" t="str">
        <f t="shared" si="1119"/>
        <v>BypassOpenStudio_all,0,</v>
      </c>
      <c r="BN382" s="31" t="str">
        <f t="shared" si="1120"/>
        <v>BypassOpenStudio_zp,0,</v>
      </c>
      <c r="BO382" s="31" t="str">
        <f t="shared" si="1121"/>
        <v>BypassOpenStudio_zb,0,</v>
      </c>
      <c r="BP382" s="31" t="str">
        <f t="shared" si="1122"/>
        <v>BypassOpenStudio_ap,0,</v>
      </c>
      <c r="BQ382" s="31" t="str">
        <f t="shared" si="1123"/>
        <v>BypassOpenStudio_ab,0,</v>
      </c>
      <c r="BR382" s="31" t="str">
        <f t="shared" si="1124"/>
        <v>BypassOpenStudio_zp,0,</v>
      </c>
      <c r="BS382" s="31" t="str">
        <f t="shared" si="1125"/>
        <v>BypassOpenStudio_zb,0,</v>
      </c>
      <c r="BT382" s="31" t="str">
        <f t="shared" si="1126"/>
        <v>BypassOpenStudio_ap,0,</v>
      </c>
      <c r="BU382" s="31" t="str">
        <f t="shared" si="1127"/>
        <v>BypassOpenStudio_ab,0,</v>
      </c>
    </row>
    <row r="383" spans="1:73" outlineLevel="1" x14ac:dyDescent="0.25">
      <c r="A383" s="39">
        <f t="shared" si="1095"/>
        <v>0</v>
      </c>
      <c r="B383" s="27" t="str">
        <f t="shared" si="1128"/>
        <v>SoftwareSensitivity2016Tests\SimplifiedGeometry\x.cibd16</v>
      </c>
      <c r="C383" s="27" t="str">
        <f t="shared" si="1129"/>
        <v>BatchOut_171026_r5178_FinalRel-v3-SSTSG_SSTSG\x.cibd16</v>
      </c>
      <c r="D383" s="27" t="str">
        <f t="shared" si="1130"/>
        <v>BatchOut_171026_r5178_FinalRel-v3-SSTSG_SSTSG\XML\</v>
      </c>
      <c r="E383" s="9" t="str">
        <f t="shared" si="1131"/>
        <v>x</v>
      </c>
      <c r="F383" s="22"/>
      <c r="G383" s="29"/>
      <c r="H383" s="23" t="str">
        <f t="shared" si="1132"/>
        <v/>
      </c>
      <c r="I383" s="9" t="s">
        <v>11</v>
      </c>
      <c r="J383"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3" s="15" t="s">
        <v>1</v>
      </c>
      <c r="L383" s="92">
        <f t="shared" si="1135"/>
        <v>0</v>
      </c>
      <c r="M383" s="91" t="str">
        <f t="shared" si="1133"/>
        <v>x</v>
      </c>
      <c r="N383" s="90" t="s">
        <v>149</v>
      </c>
      <c r="O383" s="90" t="str">
        <f t="shared" si="1097"/>
        <v>x</v>
      </c>
      <c r="P383" s="92">
        <f t="shared" si="1148"/>
        <v>1</v>
      </c>
      <c r="Q383" s="92">
        <f t="shared" si="1148"/>
        <v>1</v>
      </c>
      <c r="R383" s="92">
        <f t="shared" si="1148"/>
        <v>0</v>
      </c>
      <c r="S383" s="92">
        <f t="shared" si="1148"/>
        <v>1</v>
      </c>
      <c r="T383" s="92">
        <f t="shared" si="1148"/>
        <v>0</v>
      </c>
      <c r="U383" s="92">
        <f t="shared" si="1148"/>
        <v>8</v>
      </c>
      <c r="V383" s="92">
        <f t="shared" si="1148"/>
        <v>8</v>
      </c>
      <c r="W383" s="92">
        <f t="shared" si="1148"/>
        <v>1</v>
      </c>
      <c r="X383" s="92">
        <f t="shared" si="1148"/>
        <v>0</v>
      </c>
      <c r="Y383" s="92">
        <f t="shared" si="1148"/>
        <v>0</v>
      </c>
      <c r="Z383" s="92">
        <f t="shared" si="1148"/>
        <v>0</v>
      </c>
      <c r="AA383" s="92">
        <f t="shared" si="1148"/>
        <v>0</v>
      </c>
      <c r="AB383" s="92">
        <f t="shared" si="1148"/>
        <v>1</v>
      </c>
      <c r="AC383" s="92">
        <f t="shared" si="1148"/>
        <v>0</v>
      </c>
      <c r="AD383" s="92">
        <f t="shared" si="1148"/>
        <v>1</v>
      </c>
      <c r="AE383" s="92">
        <f t="shared" si="1148"/>
        <v>0</v>
      </c>
      <c r="AF383" s="92">
        <f t="shared" si="1148"/>
        <v>0</v>
      </c>
      <c r="AG383" s="92">
        <f t="shared" si="1148"/>
        <v>0</v>
      </c>
      <c r="AH383" s="92">
        <f t="shared" si="1148"/>
        <v>0</v>
      </c>
      <c r="AI383" s="92">
        <f t="shared" si="1147"/>
        <v>0</v>
      </c>
      <c r="AJ383" s="92">
        <f t="shared" si="1148"/>
        <v>0</v>
      </c>
      <c r="AK383" s="92">
        <f t="shared" ref="AK383:AP383" si="1149">AK382</f>
        <v>0</v>
      </c>
      <c r="AL383" s="92">
        <f t="shared" si="1149"/>
        <v>0</v>
      </c>
      <c r="AM383" s="92">
        <f t="shared" si="1149"/>
        <v>0</v>
      </c>
      <c r="AN383" s="92">
        <f t="shared" si="1149"/>
        <v>0</v>
      </c>
      <c r="AO383" s="92">
        <f t="shared" si="1149"/>
        <v>0</v>
      </c>
      <c r="AP383" s="92">
        <f t="shared" si="1149"/>
        <v>0</v>
      </c>
      <c r="AQ383" s="92">
        <f t="shared" si="1147"/>
        <v>0</v>
      </c>
      <c r="AR383" s="92">
        <f t="shared" si="1146"/>
        <v>0</v>
      </c>
      <c r="AS383" s="31" t="str">
        <f t="shared" si="1099"/>
        <v>SimulationStorage,1,</v>
      </c>
      <c r="AT383" s="31" t="str">
        <f t="shared" si="1100"/>
        <v>AnalysisStorage,1,</v>
      </c>
      <c r="AU383" s="31" t="str">
        <f t="shared" si="1101"/>
        <v>LogRuleEvaluation,0,</v>
      </c>
      <c r="AV383" s="31" t="str">
        <f t="shared" si="1102"/>
        <v>ParallelSimulations,1,</v>
      </c>
      <c r="AW383" s="31" t="str">
        <f t="shared" si="1103"/>
        <v>DurationStats,0,</v>
      </c>
      <c r="AX383" s="31" t="str">
        <f t="shared" si="1104"/>
        <v>AnalysisThruStep,8,</v>
      </c>
      <c r="AY383" s="31" t="str">
        <f t="shared" si="1105"/>
        <v>DontAbortOnErrorsThruStep,8,</v>
      </c>
      <c r="AZ383" s="31" t="str">
        <f t="shared" si="1106"/>
        <v>BypassValidFileChecks,1,</v>
      </c>
      <c r="BA383" s="31" t="str">
        <f t="shared" si="1107"/>
        <v>BypassInputChecks,0,</v>
      </c>
      <c r="BB383" s="31" t="str">
        <f t="shared" si="1108"/>
        <v>BypassUMLHChecks,0,</v>
      </c>
      <c r="BC383" s="31" t="str">
        <f t="shared" si="1109"/>
        <v>BypassCheckSimRules,0,</v>
      </c>
      <c r="BD383" s="31" t="str">
        <f t="shared" si="1110"/>
        <v>BypassCheckCodeRules,0,</v>
      </c>
      <c r="BE383" s="31" t="str">
        <f t="shared" si="1111"/>
        <v>StoreResultsToModelInput,1,</v>
      </c>
      <c r="BF383" s="31" t="str">
        <f t="shared" si="1112"/>
        <v>StoreBEMDetails,0,</v>
      </c>
      <c r="BG383" s="31" t="str">
        <f t="shared" si="1113"/>
        <v>ModelRpt_ALL,1,</v>
      </c>
      <c r="BH383" s="31" t="str">
        <f t="shared" si="1114"/>
        <v>ExportHourlyResults_All,0,</v>
      </c>
      <c r="BI383" s="31" t="str">
        <f t="shared" si="1115"/>
        <v>ComplianceReportPDF,0,</v>
      </c>
      <c r="BJ383" s="31" t="str">
        <f t="shared" si="1116"/>
        <v>ComplianceReportXML,0,</v>
      </c>
      <c r="BK383" s="31" t="str">
        <f t="shared" si="1117"/>
        <v>QuickAnalysis,0,</v>
      </c>
      <c r="BL383" s="31" t="str">
        <f t="shared" si="1118"/>
        <v>PromptUserUMLHWarning,0,</v>
      </c>
      <c r="BM383" s="31" t="str">
        <f t="shared" si="1119"/>
        <v>BypassOpenStudio_all,0,</v>
      </c>
      <c r="BN383" s="31" t="str">
        <f t="shared" si="1120"/>
        <v>BypassOpenStudio_zp,0,</v>
      </c>
      <c r="BO383" s="31" t="str">
        <f t="shared" si="1121"/>
        <v>BypassOpenStudio_zb,0,</v>
      </c>
      <c r="BP383" s="31" t="str">
        <f t="shared" si="1122"/>
        <v>BypassOpenStudio_ap,0,</v>
      </c>
      <c r="BQ383" s="31" t="str">
        <f t="shared" si="1123"/>
        <v>BypassOpenStudio_ab,0,</v>
      </c>
      <c r="BR383" s="31" t="str">
        <f t="shared" si="1124"/>
        <v>BypassOpenStudio_zp,0,</v>
      </c>
      <c r="BS383" s="31" t="str">
        <f t="shared" si="1125"/>
        <v>BypassOpenStudio_zb,0,</v>
      </c>
      <c r="BT383" s="31" t="str">
        <f t="shared" si="1126"/>
        <v>BypassOpenStudio_ap,0,</v>
      </c>
      <c r="BU383" s="31" t="str">
        <f t="shared" si="1127"/>
        <v>BypassOpenStudio_ab,0,</v>
      </c>
    </row>
    <row r="384" spans="1:73" outlineLevel="1" x14ac:dyDescent="0.25">
      <c r="A384" s="39">
        <f t="shared" si="1095"/>
        <v>0</v>
      </c>
      <c r="B384" s="27" t="str">
        <f t="shared" si="1128"/>
        <v>SoftwareSensitivity2016Tests\SimplifiedGeometry\x.cibd16</v>
      </c>
      <c r="C384" s="27" t="str">
        <f t="shared" si="1129"/>
        <v>BatchOut_171026_r5178_FinalRel-v3-SSTSG_SSTSG\x.cibd16</v>
      </c>
      <c r="D384" s="27" t="str">
        <f t="shared" si="1130"/>
        <v>BatchOut_171026_r5178_FinalRel-v3-SSTSG_SSTSG\XML\</v>
      </c>
      <c r="E384" s="9" t="str">
        <f t="shared" si="1131"/>
        <v>x</v>
      </c>
      <c r="F384" s="22"/>
      <c r="G384" s="29"/>
      <c r="H384" s="23" t="str">
        <f t="shared" si="1132"/>
        <v/>
      </c>
      <c r="I384" s="9" t="s">
        <v>11</v>
      </c>
      <c r="J384"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4" s="15" t="s">
        <v>1</v>
      </c>
      <c r="L384" s="92">
        <f t="shared" si="1135"/>
        <v>0</v>
      </c>
      <c r="M384" s="91" t="str">
        <f t="shared" si="1133"/>
        <v>x</v>
      </c>
      <c r="N384" s="90" t="s">
        <v>149</v>
      </c>
      <c r="O384" s="90" t="str">
        <f t="shared" si="1097"/>
        <v>x</v>
      </c>
      <c r="P384" s="92">
        <f t="shared" si="1148"/>
        <v>1</v>
      </c>
      <c r="Q384" s="92">
        <f t="shared" si="1148"/>
        <v>1</v>
      </c>
      <c r="R384" s="92">
        <f t="shared" si="1148"/>
        <v>0</v>
      </c>
      <c r="S384" s="92">
        <f t="shared" si="1148"/>
        <v>1</v>
      </c>
      <c r="T384" s="92">
        <f t="shared" si="1148"/>
        <v>0</v>
      </c>
      <c r="U384" s="92">
        <f t="shared" si="1148"/>
        <v>8</v>
      </c>
      <c r="V384" s="92">
        <f t="shared" si="1148"/>
        <v>8</v>
      </c>
      <c r="W384" s="92">
        <f t="shared" si="1148"/>
        <v>1</v>
      </c>
      <c r="X384" s="92">
        <f t="shared" si="1148"/>
        <v>0</v>
      </c>
      <c r="Y384" s="92">
        <f t="shared" si="1148"/>
        <v>0</v>
      </c>
      <c r="Z384" s="92">
        <f t="shared" si="1148"/>
        <v>0</v>
      </c>
      <c r="AA384" s="92">
        <f t="shared" si="1148"/>
        <v>0</v>
      </c>
      <c r="AB384" s="92">
        <f t="shared" si="1148"/>
        <v>1</v>
      </c>
      <c r="AC384" s="92">
        <f t="shared" si="1148"/>
        <v>0</v>
      </c>
      <c r="AD384" s="92">
        <f t="shared" si="1148"/>
        <v>1</v>
      </c>
      <c r="AE384" s="92">
        <f t="shared" si="1148"/>
        <v>0</v>
      </c>
      <c r="AF384" s="92">
        <f t="shared" si="1148"/>
        <v>0</v>
      </c>
      <c r="AG384" s="92">
        <f t="shared" si="1148"/>
        <v>0</v>
      </c>
      <c r="AH384" s="92">
        <f t="shared" si="1148"/>
        <v>0</v>
      </c>
      <c r="AI384" s="92">
        <f t="shared" si="1147"/>
        <v>0</v>
      </c>
      <c r="AJ384" s="92">
        <f t="shared" si="1148"/>
        <v>0</v>
      </c>
      <c r="AK384" s="92">
        <f t="shared" ref="AK384:AP384" si="1150">AK383</f>
        <v>0</v>
      </c>
      <c r="AL384" s="92">
        <f t="shared" si="1150"/>
        <v>0</v>
      </c>
      <c r="AM384" s="92">
        <f t="shared" si="1150"/>
        <v>0</v>
      </c>
      <c r="AN384" s="92">
        <f t="shared" si="1150"/>
        <v>0</v>
      </c>
      <c r="AO384" s="92">
        <f t="shared" si="1150"/>
        <v>0</v>
      </c>
      <c r="AP384" s="92">
        <f t="shared" si="1150"/>
        <v>0</v>
      </c>
      <c r="AQ384" s="92">
        <f t="shared" si="1147"/>
        <v>0</v>
      </c>
      <c r="AR384" s="92">
        <f t="shared" si="1146"/>
        <v>0</v>
      </c>
      <c r="AS384" s="31" t="str">
        <f t="shared" si="1099"/>
        <v>SimulationStorage,1,</v>
      </c>
      <c r="AT384" s="31" t="str">
        <f t="shared" si="1100"/>
        <v>AnalysisStorage,1,</v>
      </c>
      <c r="AU384" s="31" t="str">
        <f t="shared" si="1101"/>
        <v>LogRuleEvaluation,0,</v>
      </c>
      <c r="AV384" s="31" t="str">
        <f t="shared" si="1102"/>
        <v>ParallelSimulations,1,</v>
      </c>
      <c r="AW384" s="31" t="str">
        <f t="shared" si="1103"/>
        <v>DurationStats,0,</v>
      </c>
      <c r="AX384" s="31" t="str">
        <f t="shared" si="1104"/>
        <v>AnalysisThruStep,8,</v>
      </c>
      <c r="AY384" s="31" t="str">
        <f t="shared" si="1105"/>
        <v>DontAbortOnErrorsThruStep,8,</v>
      </c>
      <c r="AZ384" s="31" t="str">
        <f t="shared" si="1106"/>
        <v>BypassValidFileChecks,1,</v>
      </c>
      <c r="BA384" s="31" t="str">
        <f t="shared" si="1107"/>
        <v>BypassInputChecks,0,</v>
      </c>
      <c r="BB384" s="31" t="str">
        <f t="shared" si="1108"/>
        <v>BypassUMLHChecks,0,</v>
      </c>
      <c r="BC384" s="31" t="str">
        <f t="shared" si="1109"/>
        <v>BypassCheckSimRules,0,</v>
      </c>
      <c r="BD384" s="31" t="str">
        <f t="shared" si="1110"/>
        <v>BypassCheckCodeRules,0,</v>
      </c>
      <c r="BE384" s="31" t="str">
        <f t="shared" si="1111"/>
        <v>StoreResultsToModelInput,1,</v>
      </c>
      <c r="BF384" s="31" t="str">
        <f t="shared" si="1112"/>
        <v>StoreBEMDetails,0,</v>
      </c>
      <c r="BG384" s="31" t="str">
        <f t="shared" si="1113"/>
        <v>ModelRpt_ALL,1,</v>
      </c>
      <c r="BH384" s="31" t="str">
        <f t="shared" si="1114"/>
        <v>ExportHourlyResults_All,0,</v>
      </c>
      <c r="BI384" s="31" t="str">
        <f t="shared" si="1115"/>
        <v>ComplianceReportPDF,0,</v>
      </c>
      <c r="BJ384" s="31" t="str">
        <f t="shared" si="1116"/>
        <v>ComplianceReportXML,0,</v>
      </c>
      <c r="BK384" s="31" t="str">
        <f t="shared" si="1117"/>
        <v>QuickAnalysis,0,</v>
      </c>
      <c r="BL384" s="31" t="str">
        <f t="shared" si="1118"/>
        <v>PromptUserUMLHWarning,0,</v>
      </c>
      <c r="BM384" s="31" t="str">
        <f t="shared" si="1119"/>
        <v>BypassOpenStudio_all,0,</v>
      </c>
      <c r="BN384" s="31" t="str">
        <f t="shared" si="1120"/>
        <v>BypassOpenStudio_zp,0,</v>
      </c>
      <c r="BO384" s="31" t="str">
        <f t="shared" si="1121"/>
        <v>BypassOpenStudio_zb,0,</v>
      </c>
      <c r="BP384" s="31" t="str">
        <f t="shared" si="1122"/>
        <v>BypassOpenStudio_ap,0,</v>
      </c>
      <c r="BQ384" s="31" t="str">
        <f t="shared" si="1123"/>
        <v>BypassOpenStudio_ab,0,</v>
      </c>
      <c r="BR384" s="31" t="str">
        <f t="shared" si="1124"/>
        <v>BypassOpenStudio_zp,0,</v>
      </c>
      <c r="BS384" s="31" t="str">
        <f t="shared" si="1125"/>
        <v>BypassOpenStudio_zb,0,</v>
      </c>
      <c r="BT384" s="31" t="str">
        <f t="shared" si="1126"/>
        <v>BypassOpenStudio_ap,0,</v>
      </c>
      <c r="BU384" s="31" t="str">
        <f t="shared" si="1127"/>
        <v>BypassOpenStudio_ab,0,</v>
      </c>
    </row>
    <row r="385" spans="1:73" outlineLevel="1" x14ac:dyDescent="0.25">
      <c r="A385" s="39">
        <f t="shared" si="1095"/>
        <v>0</v>
      </c>
      <c r="B385" s="27" t="str">
        <f t="shared" si="1128"/>
        <v>SoftwareSensitivity2016Tests\SimplifiedGeometry\x.cibd16</v>
      </c>
      <c r="C385" s="27" t="str">
        <f t="shared" si="1129"/>
        <v>BatchOut_171026_r5178_FinalRel-v3-SSTSG_SSTSG\x.cibd16</v>
      </c>
      <c r="D385" s="27" t="str">
        <f t="shared" si="1130"/>
        <v>BatchOut_171026_r5178_FinalRel-v3-SSTSG_SSTSG\XML\</v>
      </c>
      <c r="E385" s="9" t="str">
        <f t="shared" si="1131"/>
        <v>x</v>
      </c>
      <c r="F385" s="22"/>
      <c r="G385" s="29"/>
      <c r="H385" s="23" t="str">
        <f t="shared" si="1132"/>
        <v/>
      </c>
      <c r="I385" s="9" t="s">
        <v>11</v>
      </c>
      <c r="J385"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5" s="15" t="s">
        <v>1</v>
      </c>
      <c r="L385" s="92">
        <f t="shared" si="1135"/>
        <v>0</v>
      </c>
      <c r="M385" s="91" t="str">
        <f t="shared" si="1133"/>
        <v>x</v>
      </c>
      <c r="N385" s="90" t="s">
        <v>149</v>
      </c>
      <c r="O385" s="90" t="str">
        <f t="shared" si="1097"/>
        <v>x</v>
      </c>
      <c r="P385" s="92">
        <f t="shared" si="1148"/>
        <v>1</v>
      </c>
      <c r="Q385" s="92">
        <f t="shared" si="1148"/>
        <v>1</v>
      </c>
      <c r="R385" s="92">
        <f t="shared" si="1148"/>
        <v>0</v>
      </c>
      <c r="S385" s="92">
        <f t="shared" si="1148"/>
        <v>1</v>
      </c>
      <c r="T385" s="92">
        <f t="shared" si="1148"/>
        <v>0</v>
      </c>
      <c r="U385" s="92">
        <f t="shared" si="1148"/>
        <v>8</v>
      </c>
      <c r="V385" s="92">
        <f t="shared" si="1148"/>
        <v>8</v>
      </c>
      <c r="W385" s="92">
        <f t="shared" si="1148"/>
        <v>1</v>
      </c>
      <c r="X385" s="92">
        <f t="shared" si="1148"/>
        <v>0</v>
      </c>
      <c r="Y385" s="92">
        <f t="shared" si="1148"/>
        <v>0</v>
      </c>
      <c r="Z385" s="92">
        <f t="shared" si="1148"/>
        <v>0</v>
      </c>
      <c r="AA385" s="92">
        <f t="shared" si="1148"/>
        <v>0</v>
      </c>
      <c r="AB385" s="92">
        <f t="shared" si="1148"/>
        <v>1</v>
      </c>
      <c r="AC385" s="92">
        <f t="shared" si="1148"/>
        <v>0</v>
      </c>
      <c r="AD385" s="92">
        <f t="shared" si="1148"/>
        <v>1</v>
      </c>
      <c r="AE385" s="92">
        <f t="shared" si="1148"/>
        <v>0</v>
      </c>
      <c r="AF385" s="92">
        <f t="shared" si="1148"/>
        <v>0</v>
      </c>
      <c r="AG385" s="92">
        <f t="shared" si="1148"/>
        <v>0</v>
      </c>
      <c r="AH385" s="92">
        <f t="shared" si="1148"/>
        <v>0</v>
      </c>
      <c r="AI385" s="92">
        <f t="shared" si="1147"/>
        <v>0</v>
      </c>
      <c r="AJ385" s="92">
        <f t="shared" si="1148"/>
        <v>0</v>
      </c>
      <c r="AK385" s="92">
        <f t="shared" ref="AK385:AP385" si="1151">AK384</f>
        <v>0</v>
      </c>
      <c r="AL385" s="92">
        <f t="shared" si="1151"/>
        <v>0</v>
      </c>
      <c r="AM385" s="92">
        <f t="shared" si="1151"/>
        <v>0</v>
      </c>
      <c r="AN385" s="92">
        <f t="shared" si="1151"/>
        <v>0</v>
      </c>
      <c r="AO385" s="92">
        <f t="shared" si="1151"/>
        <v>0</v>
      </c>
      <c r="AP385" s="92">
        <f t="shared" si="1151"/>
        <v>0</v>
      </c>
      <c r="AQ385" s="92">
        <f t="shared" si="1147"/>
        <v>0</v>
      </c>
      <c r="AR385" s="92">
        <f t="shared" si="1146"/>
        <v>0</v>
      </c>
      <c r="AS385" s="31" t="str">
        <f t="shared" si="1099"/>
        <v>SimulationStorage,1,</v>
      </c>
      <c r="AT385" s="31" t="str">
        <f t="shared" si="1100"/>
        <v>AnalysisStorage,1,</v>
      </c>
      <c r="AU385" s="31" t="str">
        <f t="shared" si="1101"/>
        <v>LogRuleEvaluation,0,</v>
      </c>
      <c r="AV385" s="31" t="str">
        <f t="shared" si="1102"/>
        <v>ParallelSimulations,1,</v>
      </c>
      <c r="AW385" s="31" t="str">
        <f t="shared" si="1103"/>
        <v>DurationStats,0,</v>
      </c>
      <c r="AX385" s="31" t="str">
        <f t="shared" si="1104"/>
        <v>AnalysisThruStep,8,</v>
      </c>
      <c r="AY385" s="31" t="str">
        <f t="shared" si="1105"/>
        <v>DontAbortOnErrorsThruStep,8,</v>
      </c>
      <c r="AZ385" s="31" t="str">
        <f t="shared" si="1106"/>
        <v>BypassValidFileChecks,1,</v>
      </c>
      <c r="BA385" s="31" t="str">
        <f t="shared" si="1107"/>
        <v>BypassInputChecks,0,</v>
      </c>
      <c r="BB385" s="31" t="str">
        <f t="shared" si="1108"/>
        <v>BypassUMLHChecks,0,</v>
      </c>
      <c r="BC385" s="31" t="str">
        <f t="shared" si="1109"/>
        <v>BypassCheckSimRules,0,</v>
      </c>
      <c r="BD385" s="31" t="str">
        <f t="shared" si="1110"/>
        <v>BypassCheckCodeRules,0,</v>
      </c>
      <c r="BE385" s="31" t="str">
        <f t="shared" si="1111"/>
        <v>StoreResultsToModelInput,1,</v>
      </c>
      <c r="BF385" s="31" t="str">
        <f t="shared" si="1112"/>
        <v>StoreBEMDetails,0,</v>
      </c>
      <c r="BG385" s="31" t="str">
        <f t="shared" si="1113"/>
        <v>ModelRpt_ALL,1,</v>
      </c>
      <c r="BH385" s="31" t="str">
        <f t="shared" si="1114"/>
        <v>ExportHourlyResults_All,0,</v>
      </c>
      <c r="BI385" s="31" t="str">
        <f t="shared" si="1115"/>
        <v>ComplianceReportPDF,0,</v>
      </c>
      <c r="BJ385" s="31" t="str">
        <f t="shared" si="1116"/>
        <v>ComplianceReportXML,0,</v>
      </c>
      <c r="BK385" s="31" t="str">
        <f t="shared" si="1117"/>
        <v>QuickAnalysis,0,</v>
      </c>
      <c r="BL385" s="31" t="str">
        <f t="shared" si="1118"/>
        <v>PromptUserUMLHWarning,0,</v>
      </c>
      <c r="BM385" s="31" t="str">
        <f t="shared" si="1119"/>
        <v>BypassOpenStudio_all,0,</v>
      </c>
      <c r="BN385" s="31" t="str">
        <f t="shared" si="1120"/>
        <v>BypassOpenStudio_zp,0,</v>
      </c>
      <c r="BO385" s="31" t="str">
        <f t="shared" si="1121"/>
        <v>BypassOpenStudio_zb,0,</v>
      </c>
      <c r="BP385" s="31" t="str">
        <f t="shared" si="1122"/>
        <v>BypassOpenStudio_ap,0,</v>
      </c>
      <c r="BQ385" s="31" t="str">
        <f t="shared" si="1123"/>
        <v>BypassOpenStudio_ab,0,</v>
      </c>
      <c r="BR385" s="31" t="str">
        <f t="shared" si="1124"/>
        <v>BypassOpenStudio_zp,0,</v>
      </c>
      <c r="BS385" s="31" t="str">
        <f t="shared" si="1125"/>
        <v>BypassOpenStudio_zb,0,</v>
      </c>
      <c r="BT385" s="31" t="str">
        <f t="shared" si="1126"/>
        <v>BypassOpenStudio_ap,0,</v>
      </c>
      <c r="BU385" s="31" t="str">
        <f t="shared" si="1127"/>
        <v>BypassOpenStudio_ab,0,</v>
      </c>
    </row>
    <row r="386" spans="1:73" outlineLevel="1" x14ac:dyDescent="0.25">
      <c r="A386" s="39">
        <f t="shared" si="1095"/>
        <v>0</v>
      </c>
      <c r="B386" s="27" t="str">
        <f t="shared" si="1128"/>
        <v>SoftwareSensitivity2016Tests\SimplifiedGeometry\x.cibd16</v>
      </c>
      <c r="C386" s="27" t="str">
        <f t="shared" si="1129"/>
        <v>BatchOut_171026_r5178_FinalRel-v3-SSTSG_SSTSG\x.cibd16</v>
      </c>
      <c r="D386" s="27" t="str">
        <f t="shared" si="1130"/>
        <v>BatchOut_171026_r5178_FinalRel-v3-SSTSG_SSTSG\XML\</v>
      </c>
      <c r="E386" s="9" t="str">
        <f t="shared" si="1131"/>
        <v>x</v>
      </c>
      <c r="F386" s="22"/>
      <c r="G386" s="29"/>
      <c r="H386" s="23" t="str">
        <f t="shared" si="1132"/>
        <v/>
      </c>
      <c r="I386" s="9" t="s">
        <v>11</v>
      </c>
      <c r="J386"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6" s="15" t="s">
        <v>1</v>
      </c>
      <c r="L386" s="92">
        <f t="shared" si="1135"/>
        <v>0</v>
      </c>
      <c r="M386" s="91" t="str">
        <f t="shared" si="1133"/>
        <v>x</v>
      </c>
      <c r="N386" s="90" t="s">
        <v>149</v>
      </c>
      <c r="O386" s="90" t="str">
        <f t="shared" si="1097"/>
        <v>x</v>
      </c>
      <c r="P386" s="92">
        <f t="shared" si="1148"/>
        <v>1</v>
      </c>
      <c r="Q386" s="92">
        <f t="shared" si="1148"/>
        <v>1</v>
      </c>
      <c r="R386" s="92">
        <f t="shared" si="1148"/>
        <v>0</v>
      </c>
      <c r="S386" s="92">
        <f t="shared" si="1148"/>
        <v>1</v>
      </c>
      <c r="T386" s="92">
        <f t="shared" si="1148"/>
        <v>0</v>
      </c>
      <c r="U386" s="92">
        <f t="shared" ref="P386:AP399" si="1152">U385</f>
        <v>8</v>
      </c>
      <c r="V386" s="92">
        <f t="shared" si="1152"/>
        <v>8</v>
      </c>
      <c r="W386" s="92">
        <f t="shared" si="1152"/>
        <v>1</v>
      </c>
      <c r="X386" s="92">
        <f t="shared" si="1152"/>
        <v>0</v>
      </c>
      <c r="Y386" s="92">
        <f t="shared" si="1152"/>
        <v>0</v>
      </c>
      <c r="Z386" s="92">
        <f t="shared" si="1152"/>
        <v>0</v>
      </c>
      <c r="AA386" s="92">
        <f t="shared" si="1152"/>
        <v>0</v>
      </c>
      <c r="AB386" s="92">
        <f t="shared" si="1152"/>
        <v>1</v>
      </c>
      <c r="AC386" s="92">
        <f t="shared" si="1152"/>
        <v>0</v>
      </c>
      <c r="AD386" s="92">
        <f t="shared" si="1152"/>
        <v>1</v>
      </c>
      <c r="AE386" s="92">
        <f t="shared" si="1152"/>
        <v>0</v>
      </c>
      <c r="AF386" s="92">
        <f t="shared" si="1152"/>
        <v>0</v>
      </c>
      <c r="AG386" s="92">
        <f t="shared" si="1152"/>
        <v>0</v>
      </c>
      <c r="AH386" s="92">
        <f t="shared" si="1152"/>
        <v>0</v>
      </c>
      <c r="AI386" s="92">
        <f t="shared" si="1147"/>
        <v>0</v>
      </c>
      <c r="AJ386" s="92">
        <f t="shared" si="1152"/>
        <v>0</v>
      </c>
      <c r="AK386" s="92">
        <f t="shared" si="1152"/>
        <v>0</v>
      </c>
      <c r="AL386" s="92">
        <f t="shared" si="1152"/>
        <v>0</v>
      </c>
      <c r="AM386" s="92">
        <f t="shared" si="1152"/>
        <v>0</v>
      </c>
      <c r="AN386" s="92">
        <f t="shared" si="1152"/>
        <v>0</v>
      </c>
      <c r="AO386" s="92">
        <f t="shared" si="1152"/>
        <v>0</v>
      </c>
      <c r="AP386" s="92">
        <f t="shared" si="1152"/>
        <v>0</v>
      </c>
      <c r="AQ386" s="92">
        <f t="shared" si="1147"/>
        <v>0</v>
      </c>
      <c r="AR386" s="92">
        <f t="shared" si="1146"/>
        <v>0</v>
      </c>
      <c r="AS386" s="31" t="str">
        <f t="shared" si="1099"/>
        <v>SimulationStorage,1,</v>
      </c>
      <c r="AT386" s="31" t="str">
        <f t="shared" si="1100"/>
        <v>AnalysisStorage,1,</v>
      </c>
      <c r="AU386" s="31" t="str">
        <f t="shared" si="1101"/>
        <v>LogRuleEvaluation,0,</v>
      </c>
      <c r="AV386" s="31" t="str">
        <f t="shared" si="1102"/>
        <v>ParallelSimulations,1,</v>
      </c>
      <c r="AW386" s="31" t="str">
        <f t="shared" si="1103"/>
        <v>DurationStats,0,</v>
      </c>
      <c r="AX386" s="31" t="str">
        <f t="shared" si="1104"/>
        <v>AnalysisThruStep,8,</v>
      </c>
      <c r="AY386" s="31" t="str">
        <f t="shared" si="1105"/>
        <v>DontAbortOnErrorsThruStep,8,</v>
      </c>
      <c r="AZ386" s="31" t="str">
        <f t="shared" si="1106"/>
        <v>BypassValidFileChecks,1,</v>
      </c>
      <c r="BA386" s="31" t="str">
        <f t="shared" si="1107"/>
        <v>BypassInputChecks,0,</v>
      </c>
      <c r="BB386" s="31" t="str">
        <f t="shared" si="1108"/>
        <v>BypassUMLHChecks,0,</v>
      </c>
      <c r="BC386" s="31" t="str">
        <f t="shared" si="1109"/>
        <v>BypassCheckSimRules,0,</v>
      </c>
      <c r="BD386" s="31" t="str">
        <f t="shared" si="1110"/>
        <v>BypassCheckCodeRules,0,</v>
      </c>
      <c r="BE386" s="31" t="str">
        <f t="shared" si="1111"/>
        <v>StoreResultsToModelInput,1,</v>
      </c>
      <c r="BF386" s="31" t="str">
        <f t="shared" si="1112"/>
        <v>StoreBEMDetails,0,</v>
      </c>
      <c r="BG386" s="31" t="str">
        <f t="shared" si="1113"/>
        <v>ModelRpt_ALL,1,</v>
      </c>
      <c r="BH386" s="31" t="str">
        <f t="shared" si="1114"/>
        <v>ExportHourlyResults_All,0,</v>
      </c>
      <c r="BI386" s="31" t="str">
        <f t="shared" si="1115"/>
        <v>ComplianceReportPDF,0,</v>
      </c>
      <c r="BJ386" s="31" t="str">
        <f t="shared" si="1116"/>
        <v>ComplianceReportXML,0,</v>
      </c>
      <c r="BK386" s="31" t="str">
        <f t="shared" si="1117"/>
        <v>QuickAnalysis,0,</v>
      </c>
      <c r="BL386" s="31" t="str">
        <f t="shared" si="1118"/>
        <v>PromptUserUMLHWarning,0,</v>
      </c>
      <c r="BM386" s="31" t="str">
        <f t="shared" si="1119"/>
        <v>BypassOpenStudio_all,0,</v>
      </c>
      <c r="BN386" s="31" t="str">
        <f t="shared" si="1120"/>
        <v>BypassOpenStudio_zp,0,</v>
      </c>
      <c r="BO386" s="31" t="str">
        <f t="shared" si="1121"/>
        <v>BypassOpenStudio_zb,0,</v>
      </c>
      <c r="BP386" s="31" t="str">
        <f t="shared" si="1122"/>
        <v>BypassOpenStudio_ap,0,</v>
      </c>
      <c r="BQ386" s="31" t="str">
        <f t="shared" si="1123"/>
        <v>BypassOpenStudio_ab,0,</v>
      </c>
      <c r="BR386" s="31" t="str">
        <f t="shared" si="1124"/>
        <v>BypassOpenStudio_zp,0,</v>
      </c>
      <c r="BS386" s="31" t="str">
        <f t="shared" si="1125"/>
        <v>BypassOpenStudio_zb,0,</v>
      </c>
      <c r="BT386" s="31" t="str">
        <f t="shared" si="1126"/>
        <v>BypassOpenStudio_ap,0,</v>
      </c>
      <c r="BU386" s="31" t="str">
        <f t="shared" si="1127"/>
        <v>BypassOpenStudio_ab,0,</v>
      </c>
    </row>
    <row r="387" spans="1:73" outlineLevel="1" x14ac:dyDescent="0.25">
      <c r="A387" s="39">
        <f t="shared" si="1095"/>
        <v>0</v>
      </c>
      <c r="B387" s="27" t="str">
        <f t="shared" si="1128"/>
        <v>SoftwareSensitivity2016Tests\SimplifiedGeometry\x.cibd16</v>
      </c>
      <c r="C387" s="27" t="str">
        <f t="shared" si="1129"/>
        <v>BatchOut_171026_r5178_FinalRel-v3-SSTSG_SSTSG\x.cibd16</v>
      </c>
      <c r="D387" s="27" t="str">
        <f t="shared" si="1130"/>
        <v>BatchOut_171026_r5178_FinalRel-v3-SSTSG_SSTSG\XML\</v>
      </c>
      <c r="E387" s="9" t="str">
        <f t="shared" si="1131"/>
        <v>x</v>
      </c>
      <c r="F387" s="22"/>
      <c r="G387" s="29"/>
      <c r="H387" s="23" t="str">
        <f t="shared" si="1132"/>
        <v/>
      </c>
      <c r="I387" s="9" t="s">
        <v>11</v>
      </c>
      <c r="J387"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7" s="15" t="s">
        <v>1</v>
      </c>
      <c r="L387" s="92">
        <f t="shared" si="1135"/>
        <v>0</v>
      </c>
      <c r="M387" s="91" t="str">
        <f t="shared" si="1133"/>
        <v>x</v>
      </c>
      <c r="N387" s="90" t="s">
        <v>149</v>
      </c>
      <c r="O387" s="90" t="str">
        <f t="shared" si="1097"/>
        <v>x</v>
      </c>
      <c r="P387" s="92">
        <f t="shared" si="1152"/>
        <v>1</v>
      </c>
      <c r="Q387" s="92">
        <f t="shared" si="1152"/>
        <v>1</v>
      </c>
      <c r="R387" s="92">
        <f t="shared" si="1152"/>
        <v>0</v>
      </c>
      <c r="S387" s="92">
        <f t="shared" si="1152"/>
        <v>1</v>
      </c>
      <c r="T387" s="92">
        <f t="shared" si="1152"/>
        <v>0</v>
      </c>
      <c r="U387" s="92">
        <f t="shared" si="1152"/>
        <v>8</v>
      </c>
      <c r="V387" s="92">
        <f t="shared" si="1152"/>
        <v>8</v>
      </c>
      <c r="W387" s="92">
        <f t="shared" si="1152"/>
        <v>1</v>
      </c>
      <c r="X387" s="92">
        <f t="shared" si="1152"/>
        <v>0</v>
      </c>
      <c r="Y387" s="92">
        <f t="shared" si="1152"/>
        <v>0</v>
      </c>
      <c r="Z387" s="92">
        <f t="shared" si="1152"/>
        <v>0</v>
      </c>
      <c r="AA387" s="92">
        <f t="shared" si="1152"/>
        <v>0</v>
      </c>
      <c r="AB387" s="92">
        <f t="shared" si="1152"/>
        <v>1</v>
      </c>
      <c r="AC387" s="92">
        <f t="shared" si="1152"/>
        <v>0</v>
      </c>
      <c r="AD387" s="92">
        <f t="shared" si="1152"/>
        <v>1</v>
      </c>
      <c r="AE387" s="92">
        <f t="shared" si="1152"/>
        <v>0</v>
      </c>
      <c r="AF387" s="92">
        <f t="shared" si="1152"/>
        <v>0</v>
      </c>
      <c r="AG387" s="92">
        <f t="shared" si="1152"/>
        <v>0</v>
      </c>
      <c r="AH387" s="92">
        <f t="shared" si="1152"/>
        <v>0</v>
      </c>
      <c r="AI387" s="92">
        <f t="shared" si="1147"/>
        <v>0</v>
      </c>
      <c r="AJ387" s="92">
        <f t="shared" si="1152"/>
        <v>0</v>
      </c>
      <c r="AK387" s="92">
        <f t="shared" si="1152"/>
        <v>0</v>
      </c>
      <c r="AL387" s="92">
        <f t="shared" si="1152"/>
        <v>0</v>
      </c>
      <c r="AM387" s="92">
        <f t="shared" si="1152"/>
        <v>0</v>
      </c>
      <c r="AN387" s="92">
        <f t="shared" si="1152"/>
        <v>0</v>
      </c>
      <c r="AO387" s="92">
        <f t="shared" si="1152"/>
        <v>0</v>
      </c>
      <c r="AP387" s="92">
        <f t="shared" si="1152"/>
        <v>0</v>
      </c>
      <c r="AQ387" s="92">
        <f t="shared" si="1147"/>
        <v>0</v>
      </c>
      <c r="AR387" s="92">
        <f t="shared" si="1146"/>
        <v>0</v>
      </c>
      <c r="AS387" s="31" t="str">
        <f t="shared" si="1099"/>
        <v>SimulationStorage,1,</v>
      </c>
      <c r="AT387" s="31" t="str">
        <f t="shared" si="1100"/>
        <v>AnalysisStorage,1,</v>
      </c>
      <c r="AU387" s="31" t="str">
        <f t="shared" si="1101"/>
        <v>LogRuleEvaluation,0,</v>
      </c>
      <c r="AV387" s="31" t="str">
        <f t="shared" si="1102"/>
        <v>ParallelSimulations,1,</v>
      </c>
      <c r="AW387" s="31" t="str">
        <f t="shared" si="1103"/>
        <v>DurationStats,0,</v>
      </c>
      <c r="AX387" s="31" t="str">
        <f t="shared" si="1104"/>
        <v>AnalysisThruStep,8,</v>
      </c>
      <c r="AY387" s="31" t="str">
        <f t="shared" si="1105"/>
        <v>DontAbortOnErrorsThruStep,8,</v>
      </c>
      <c r="AZ387" s="31" t="str">
        <f t="shared" si="1106"/>
        <v>BypassValidFileChecks,1,</v>
      </c>
      <c r="BA387" s="31" t="str">
        <f t="shared" si="1107"/>
        <v>BypassInputChecks,0,</v>
      </c>
      <c r="BB387" s="31" t="str">
        <f t="shared" si="1108"/>
        <v>BypassUMLHChecks,0,</v>
      </c>
      <c r="BC387" s="31" t="str">
        <f t="shared" si="1109"/>
        <v>BypassCheckSimRules,0,</v>
      </c>
      <c r="BD387" s="31" t="str">
        <f t="shared" si="1110"/>
        <v>BypassCheckCodeRules,0,</v>
      </c>
      <c r="BE387" s="31" t="str">
        <f t="shared" si="1111"/>
        <v>StoreResultsToModelInput,1,</v>
      </c>
      <c r="BF387" s="31" t="str">
        <f t="shared" si="1112"/>
        <v>StoreBEMDetails,0,</v>
      </c>
      <c r="BG387" s="31" t="str">
        <f t="shared" si="1113"/>
        <v>ModelRpt_ALL,1,</v>
      </c>
      <c r="BH387" s="31" t="str">
        <f t="shared" si="1114"/>
        <v>ExportHourlyResults_All,0,</v>
      </c>
      <c r="BI387" s="31" t="str">
        <f t="shared" si="1115"/>
        <v>ComplianceReportPDF,0,</v>
      </c>
      <c r="BJ387" s="31" t="str">
        <f t="shared" si="1116"/>
        <v>ComplianceReportXML,0,</v>
      </c>
      <c r="BK387" s="31" t="str">
        <f t="shared" si="1117"/>
        <v>QuickAnalysis,0,</v>
      </c>
      <c r="BL387" s="31" t="str">
        <f t="shared" si="1118"/>
        <v>PromptUserUMLHWarning,0,</v>
      </c>
      <c r="BM387" s="31" t="str">
        <f t="shared" si="1119"/>
        <v>BypassOpenStudio_all,0,</v>
      </c>
      <c r="BN387" s="31" t="str">
        <f t="shared" si="1120"/>
        <v>BypassOpenStudio_zp,0,</v>
      </c>
      <c r="BO387" s="31" t="str">
        <f t="shared" si="1121"/>
        <v>BypassOpenStudio_zb,0,</v>
      </c>
      <c r="BP387" s="31" t="str">
        <f t="shared" si="1122"/>
        <v>BypassOpenStudio_ap,0,</v>
      </c>
      <c r="BQ387" s="31" t="str">
        <f t="shared" si="1123"/>
        <v>BypassOpenStudio_ab,0,</v>
      </c>
      <c r="BR387" s="31" t="str">
        <f t="shared" si="1124"/>
        <v>BypassOpenStudio_zp,0,</v>
      </c>
      <c r="BS387" s="31" t="str">
        <f t="shared" si="1125"/>
        <v>BypassOpenStudio_zb,0,</v>
      </c>
      <c r="BT387" s="31" t="str">
        <f t="shared" si="1126"/>
        <v>BypassOpenStudio_ap,0,</v>
      </c>
      <c r="BU387" s="31" t="str">
        <f t="shared" si="1127"/>
        <v>BypassOpenStudio_ab,0,</v>
      </c>
    </row>
    <row r="388" spans="1:73" outlineLevel="1" x14ac:dyDescent="0.25">
      <c r="A388" s="39">
        <f t="shared" si="1095"/>
        <v>0</v>
      </c>
      <c r="B388" s="27" t="str">
        <f t="shared" si="1128"/>
        <v>SoftwareSensitivity2016Tests\SimplifiedGeometry\x.cibd16</v>
      </c>
      <c r="C388" s="27" t="str">
        <f t="shared" si="1129"/>
        <v>BatchOut_171026_r5178_FinalRel-v3-SSTSG_SSTSG\x.cibd16</v>
      </c>
      <c r="D388" s="27" t="str">
        <f t="shared" si="1130"/>
        <v>BatchOut_171026_r5178_FinalRel-v3-SSTSG_SSTSG\XML\</v>
      </c>
      <c r="E388" s="9" t="str">
        <f t="shared" si="1131"/>
        <v>x</v>
      </c>
      <c r="F388" s="22"/>
      <c r="G388" s="29"/>
      <c r="H388" s="23" t="str">
        <f t="shared" si="1132"/>
        <v/>
      </c>
      <c r="I388" s="9" t="s">
        <v>11</v>
      </c>
      <c r="J388"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8" s="15" t="s">
        <v>1</v>
      </c>
      <c r="L388" s="92">
        <f t="shared" si="1135"/>
        <v>0</v>
      </c>
      <c r="M388" s="91" t="str">
        <f t="shared" si="1133"/>
        <v>x</v>
      </c>
      <c r="N388" s="90" t="s">
        <v>149</v>
      </c>
      <c r="O388" s="90" t="str">
        <f t="shared" si="1097"/>
        <v>x</v>
      </c>
      <c r="P388" s="92">
        <f t="shared" si="1152"/>
        <v>1</v>
      </c>
      <c r="Q388" s="92">
        <f t="shared" si="1152"/>
        <v>1</v>
      </c>
      <c r="R388" s="92">
        <f t="shared" si="1152"/>
        <v>0</v>
      </c>
      <c r="S388" s="92">
        <f t="shared" si="1152"/>
        <v>1</v>
      </c>
      <c r="T388" s="92">
        <f t="shared" si="1152"/>
        <v>0</v>
      </c>
      <c r="U388" s="92">
        <f t="shared" si="1152"/>
        <v>8</v>
      </c>
      <c r="V388" s="92">
        <f t="shared" si="1152"/>
        <v>8</v>
      </c>
      <c r="W388" s="92">
        <f t="shared" si="1152"/>
        <v>1</v>
      </c>
      <c r="X388" s="92">
        <f t="shared" si="1152"/>
        <v>0</v>
      </c>
      <c r="Y388" s="92">
        <f t="shared" si="1152"/>
        <v>0</v>
      </c>
      <c r="Z388" s="92">
        <f t="shared" si="1152"/>
        <v>0</v>
      </c>
      <c r="AA388" s="92">
        <f t="shared" si="1152"/>
        <v>0</v>
      </c>
      <c r="AB388" s="92">
        <f t="shared" si="1152"/>
        <v>1</v>
      </c>
      <c r="AC388" s="92">
        <f t="shared" si="1152"/>
        <v>0</v>
      </c>
      <c r="AD388" s="92">
        <f t="shared" si="1152"/>
        <v>1</v>
      </c>
      <c r="AE388" s="92">
        <f t="shared" si="1152"/>
        <v>0</v>
      </c>
      <c r="AF388" s="92">
        <f t="shared" si="1152"/>
        <v>0</v>
      </c>
      <c r="AG388" s="92">
        <f t="shared" si="1152"/>
        <v>0</v>
      </c>
      <c r="AH388" s="92">
        <f t="shared" si="1152"/>
        <v>0</v>
      </c>
      <c r="AI388" s="92">
        <f t="shared" si="1152"/>
        <v>0</v>
      </c>
      <c r="AJ388" s="92">
        <f t="shared" si="1152"/>
        <v>0</v>
      </c>
      <c r="AK388" s="92">
        <f t="shared" si="1152"/>
        <v>0</v>
      </c>
      <c r="AL388" s="92">
        <f t="shared" si="1152"/>
        <v>0</v>
      </c>
      <c r="AM388" s="92">
        <f t="shared" si="1152"/>
        <v>0</v>
      </c>
      <c r="AN388" s="92">
        <f t="shared" si="1152"/>
        <v>0</v>
      </c>
      <c r="AO388" s="92">
        <f t="shared" si="1152"/>
        <v>0</v>
      </c>
      <c r="AP388" s="92">
        <f t="shared" si="1152"/>
        <v>0</v>
      </c>
      <c r="AQ388" s="92">
        <f t="shared" ref="AQ388:AQ402" si="1153">AQ387</f>
        <v>0</v>
      </c>
      <c r="AR388" s="92">
        <f t="shared" si="1146"/>
        <v>0</v>
      </c>
      <c r="AS388" s="31" t="str">
        <f t="shared" si="1099"/>
        <v>SimulationStorage,1,</v>
      </c>
      <c r="AT388" s="31" t="str">
        <f t="shared" si="1100"/>
        <v>AnalysisStorage,1,</v>
      </c>
      <c r="AU388" s="31" t="str">
        <f t="shared" si="1101"/>
        <v>LogRuleEvaluation,0,</v>
      </c>
      <c r="AV388" s="31" t="str">
        <f t="shared" si="1102"/>
        <v>ParallelSimulations,1,</v>
      </c>
      <c r="AW388" s="31" t="str">
        <f t="shared" si="1103"/>
        <v>DurationStats,0,</v>
      </c>
      <c r="AX388" s="31" t="str">
        <f t="shared" si="1104"/>
        <v>AnalysisThruStep,8,</v>
      </c>
      <c r="AY388" s="31" t="str">
        <f t="shared" si="1105"/>
        <v>DontAbortOnErrorsThruStep,8,</v>
      </c>
      <c r="AZ388" s="31" t="str">
        <f t="shared" si="1106"/>
        <v>BypassValidFileChecks,1,</v>
      </c>
      <c r="BA388" s="31" t="str">
        <f t="shared" si="1107"/>
        <v>BypassInputChecks,0,</v>
      </c>
      <c r="BB388" s="31" t="str">
        <f t="shared" si="1108"/>
        <v>BypassUMLHChecks,0,</v>
      </c>
      <c r="BC388" s="31" t="str">
        <f t="shared" si="1109"/>
        <v>BypassCheckSimRules,0,</v>
      </c>
      <c r="BD388" s="31" t="str">
        <f t="shared" si="1110"/>
        <v>BypassCheckCodeRules,0,</v>
      </c>
      <c r="BE388" s="31" t="str">
        <f t="shared" si="1111"/>
        <v>StoreResultsToModelInput,1,</v>
      </c>
      <c r="BF388" s="31" t="str">
        <f t="shared" si="1112"/>
        <v>StoreBEMDetails,0,</v>
      </c>
      <c r="BG388" s="31" t="str">
        <f t="shared" si="1113"/>
        <v>ModelRpt_ALL,1,</v>
      </c>
      <c r="BH388" s="31" t="str">
        <f t="shared" si="1114"/>
        <v>ExportHourlyResults_All,0,</v>
      </c>
      <c r="BI388" s="31" t="str">
        <f t="shared" si="1115"/>
        <v>ComplianceReportPDF,0,</v>
      </c>
      <c r="BJ388" s="31" t="str">
        <f t="shared" si="1116"/>
        <v>ComplianceReportXML,0,</v>
      </c>
      <c r="BK388" s="31" t="str">
        <f t="shared" si="1117"/>
        <v>QuickAnalysis,0,</v>
      </c>
      <c r="BL388" s="31" t="str">
        <f t="shared" si="1118"/>
        <v>PromptUserUMLHWarning,0,</v>
      </c>
      <c r="BM388" s="31" t="str">
        <f t="shared" si="1119"/>
        <v>BypassOpenStudio_all,0,</v>
      </c>
      <c r="BN388" s="31" t="str">
        <f t="shared" si="1120"/>
        <v>BypassOpenStudio_zp,0,</v>
      </c>
      <c r="BO388" s="31" t="str">
        <f t="shared" si="1121"/>
        <v>BypassOpenStudio_zb,0,</v>
      </c>
      <c r="BP388" s="31" t="str">
        <f t="shared" si="1122"/>
        <v>BypassOpenStudio_ap,0,</v>
      </c>
      <c r="BQ388" s="31" t="str">
        <f t="shared" si="1123"/>
        <v>BypassOpenStudio_ab,0,</v>
      </c>
      <c r="BR388" s="31" t="str">
        <f t="shared" si="1124"/>
        <v>BypassOpenStudio_zp,0,</v>
      </c>
      <c r="BS388" s="31" t="str">
        <f t="shared" si="1125"/>
        <v>BypassOpenStudio_zb,0,</v>
      </c>
      <c r="BT388" s="31" t="str">
        <f t="shared" si="1126"/>
        <v>BypassOpenStudio_ap,0,</v>
      </c>
      <c r="BU388" s="31" t="str">
        <f t="shared" si="1127"/>
        <v>BypassOpenStudio_ab,0,</v>
      </c>
    </row>
    <row r="389" spans="1:73" outlineLevel="1" x14ac:dyDescent="0.25">
      <c r="A389" s="39">
        <f t="shared" si="1095"/>
        <v>0</v>
      </c>
      <c r="B389" s="27" t="str">
        <f t="shared" si="1128"/>
        <v>SoftwareSensitivity2016Tests\SimplifiedGeometry\x.cibd16</v>
      </c>
      <c r="C389" s="27" t="str">
        <f t="shared" si="1129"/>
        <v>BatchOut_171026_r5178_FinalRel-v3-SSTSG_SSTSG\x.cibd16</v>
      </c>
      <c r="D389" s="27" t="str">
        <f t="shared" si="1130"/>
        <v>BatchOut_171026_r5178_FinalRel-v3-SSTSG_SSTSG\XML\</v>
      </c>
      <c r="E389" s="9" t="str">
        <f t="shared" si="1131"/>
        <v>x</v>
      </c>
      <c r="F389" s="22"/>
      <c r="G389" s="29"/>
      <c r="H389" s="23" t="str">
        <f t="shared" si="1132"/>
        <v/>
      </c>
      <c r="I389" s="9" t="s">
        <v>11</v>
      </c>
      <c r="J389"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9" s="15" t="s">
        <v>1</v>
      </c>
      <c r="L389" s="92">
        <f t="shared" si="1135"/>
        <v>0</v>
      </c>
      <c r="M389" s="91" t="str">
        <f t="shared" si="1133"/>
        <v>x</v>
      </c>
      <c r="N389" s="90" t="s">
        <v>149</v>
      </c>
      <c r="O389" s="90" t="str">
        <f t="shared" si="1097"/>
        <v>x</v>
      </c>
      <c r="P389" s="92">
        <f t="shared" si="1152"/>
        <v>1</v>
      </c>
      <c r="Q389" s="92">
        <f t="shared" si="1152"/>
        <v>1</v>
      </c>
      <c r="R389" s="92">
        <f t="shared" si="1152"/>
        <v>0</v>
      </c>
      <c r="S389" s="92">
        <f t="shared" si="1152"/>
        <v>1</v>
      </c>
      <c r="T389" s="92">
        <f t="shared" si="1152"/>
        <v>0</v>
      </c>
      <c r="U389" s="92">
        <f t="shared" si="1152"/>
        <v>8</v>
      </c>
      <c r="V389" s="92">
        <f t="shared" si="1152"/>
        <v>8</v>
      </c>
      <c r="W389" s="92">
        <f t="shared" si="1152"/>
        <v>1</v>
      </c>
      <c r="X389" s="92">
        <f t="shared" si="1152"/>
        <v>0</v>
      </c>
      <c r="Y389" s="92">
        <f t="shared" si="1152"/>
        <v>0</v>
      </c>
      <c r="Z389" s="92">
        <f t="shared" si="1152"/>
        <v>0</v>
      </c>
      <c r="AA389" s="92">
        <f t="shared" si="1152"/>
        <v>0</v>
      </c>
      <c r="AB389" s="92">
        <f t="shared" si="1152"/>
        <v>1</v>
      </c>
      <c r="AC389" s="92">
        <f t="shared" si="1152"/>
        <v>0</v>
      </c>
      <c r="AD389" s="92">
        <f t="shared" si="1152"/>
        <v>1</v>
      </c>
      <c r="AE389" s="92">
        <f t="shared" si="1152"/>
        <v>0</v>
      </c>
      <c r="AF389" s="92">
        <f t="shared" si="1152"/>
        <v>0</v>
      </c>
      <c r="AG389" s="92">
        <f t="shared" si="1152"/>
        <v>0</v>
      </c>
      <c r="AH389" s="92">
        <f t="shared" si="1152"/>
        <v>0</v>
      </c>
      <c r="AI389" s="92">
        <f t="shared" si="1152"/>
        <v>0</v>
      </c>
      <c r="AJ389" s="92">
        <f t="shared" si="1152"/>
        <v>0</v>
      </c>
      <c r="AK389" s="92">
        <f t="shared" si="1152"/>
        <v>0</v>
      </c>
      <c r="AL389" s="92">
        <f t="shared" si="1152"/>
        <v>0</v>
      </c>
      <c r="AM389" s="92">
        <f t="shared" si="1152"/>
        <v>0</v>
      </c>
      <c r="AN389" s="92">
        <f t="shared" si="1152"/>
        <v>0</v>
      </c>
      <c r="AO389" s="92">
        <f t="shared" si="1152"/>
        <v>0</v>
      </c>
      <c r="AP389" s="92">
        <f t="shared" si="1152"/>
        <v>0</v>
      </c>
      <c r="AQ389" s="92">
        <f t="shared" si="1153"/>
        <v>0</v>
      </c>
      <c r="AR389" s="92">
        <f t="shared" si="1146"/>
        <v>0</v>
      </c>
      <c r="AS389" s="31" t="str">
        <f t="shared" si="1099"/>
        <v>SimulationStorage,1,</v>
      </c>
      <c r="AT389" s="31" t="str">
        <f t="shared" si="1100"/>
        <v>AnalysisStorage,1,</v>
      </c>
      <c r="AU389" s="31" t="str">
        <f t="shared" si="1101"/>
        <v>LogRuleEvaluation,0,</v>
      </c>
      <c r="AV389" s="31" t="str">
        <f t="shared" si="1102"/>
        <v>ParallelSimulations,1,</v>
      </c>
      <c r="AW389" s="31" t="str">
        <f t="shared" si="1103"/>
        <v>DurationStats,0,</v>
      </c>
      <c r="AX389" s="31" t="str">
        <f t="shared" si="1104"/>
        <v>AnalysisThruStep,8,</v>
      </c>
      <c r="AY389" s="31" t="str">
        <f t="shared" si="1105"/>
        <v>DontAbortOnErrorsThruStep,8,</v>
      </c>
      <c r="AZ389" s="31" t="str">
        <f t="shared" si="1106"/>
        <v>BypassValidFileChecks,1,</v>
      </c>
      <c r="BA389" s="31" t="str">
        <f t="shared" si="1107"/>
        <v>BypassInputChecks,0,</v>
      </c>
      <c r="BB389" s="31" t="str">
        <f t="shared" si="1108"/>
        <v>BypassUMLHChecks,0,</v>
      </c>
      <c r="BC389" s="31" t="str">
        <f t="shared" si="1109"/>
        <v>BypassCheckSimRules,0,</v>
      </c>
      <c r="BD389" s="31" t="str">
        <f t="shared" si="1110"/>
        <v>BypassCheckCodeRules,0,</v>
      </c>
      <c r="BE389" s="31" t="str">
        <f t="shared" si="1111"/>
        <v>StoreResultsToModelInput,1,</v>
      </c>
      <c r="BF389" s="31" t="str">
        <f t="shared" si="1112"/>
        <v>StoreBEMDetails,0,</v>
      </c>
      <c r="BG389" s="31" t="str">
        <f t="shared" si="1113"/>
        <v>ModelRpt_ALL,1,</v>
      </c>
      <c r="BH389" s="31" t="str">
        <f t="shared" si="1114"/>
        <v>ExportHourlyResults_All,0,</v>
      </c>
      <c r="BI389" s="31" t="str">
        <f t="shared" si="1115"/>
        <v>ComplianceReportPDF,0,</v>
      </c>
      <c r="BJ389" s="31" t="str">
        <f t="shared" si="1116"/>
        <v>ComplianceReportXML,0,</v>
      </c>
      <c r="BK389" s="31" t="str">
        <f t="shared" si="1117"/>
        <v>QuickAnalysis,0,</v>
      </c>
      <c r="BL389" s="31" t="str">
        <f t="shared" si="1118"/>
        <v>PromptUserUMLHWarning,0,</v>
      </c>
      <c r="BM389" s="31" t="str">
        <f t="shared" si="1119"/>
        <v>BypassOpenStudio_all,0,</v>
      </c>
      <c r="BN389" s="31" t="str">
        <f t="shared" si="1120"/>
        <v>BypassOpenStudio_zp,0,</v>
      </c>
      <c r="BO389" s="31" t="str">
        <f t="shared" si="1121"/>
        <v>BypassOpenStudio_zb,0,</v>
      </c>
      <c r="BP389" s="31" t="str">
        <f t="shared" si="1122"/>
        <v>BypassOpenStudio_ap,0,</v>
      </c>
      <c r="BQ389" s="31" t="str">
        <f t="shared" si="1123"/>
        <v>BypassOpenStudio_ab,0,</v>
      </c>
      <c r="BR389" s="31" t="str">
        <f t="shared" si="1124"/>
        <v>BypassOpenStudio_zp,0,</v>
      </c>
      <c r="BS389" s="31" t="str">
        <f t="shared" si="1125"/>
        <v>BypassOpenStudio_zb,0,</v>
      </c>
      <c r="BT389" s="31" t="str">
        <f t="shared" si="1126"/>
        <v>BypassOpenStudio_ap,0,</v>
      </c>
      <c r="BU389" s="31" t="str">
        <f t="shared" si="1127"/>
        <v>BypassOpenStudio_ab,0,</v>
      </c>
    </row>
    <row r="390" spans="1:73" outlineLevel="1" x14ac:dyDescent="0.25">
      <c r="A390" s="39">
        <f t="shared" si="1095"/>
        <v>0</v>
      </c>
      <c r="B390" s="27" t="str">
        <f t="shared" si="1128"/>
        <v>SoftwareSensitivity2016Tests\SimplifiedGeometry\x.cibd16</v>
      </c>
      <c r="C390" s="27" t="str">
        <f t="shared" si="1129"/>
        <v>BatchOut_171026_r5178_FinalRel-v3-SSTSG_SSTSG\x.cibd16</v>
      </c>
      <c r="D390" s="27" t="str">
        <f t="shared" si="1130"/>
        <v>BatchOut_171026_r5178_FinalRel-v3-SSTSG_SSTSG\XML\</v>
      </c>
      <c r="E390" s="9" t="str">
        <f t="shared" si="1131"/>
        <v>x</v>
      </c>
      <c r="F390" s="22"/>
      <c r="G390" s="29"/>
      <c r="H390" s="23" t="str">
        <f t="shared" si="1132"/>
        <v/>
      </c>
      <c r="I390" s="9" t="s">
        <v>11</v>
      </c>
      <c r="J390"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0" s="15" t="s">
        <v>1</v>
      </c>
      <c r="L390" s="92">
        <f t="shared" si="1135"/>
        <v>0</v>
      </c>
      <c r="M390" s="91" t="str">
        <f t="shared" si="1133"/>
        <v>x</v>
      </c>
      <c r="N390" s="90" t="s">
        <v>149</v>
      </c>
      <c r="O390" s="90" t="str">
        <f t="shared" si="1097"/>
        <v>x</v>
      </c>
      <c r="P390" s="92">
        <f t="shared" si="1152"/>
        <v>1</v>
      </c>
      <c r="Q390" s="92">
        <f t="shared" si="1152"/>
        <v>1</v>
      </c>
      <c r="R390" s="92">
        <f t="shared" si="1152"/>
        <v>0</v>
      </c>
      <c r="S390" s="92">
        <f t="shared" si="1152"/>
        <v>1</v>
      </c>
      <c r="T390" s="92">
        <f t="shared" si="1152"/>
        <v>0</v>
      </c>
      <c r="U390" s="92">
        <f t="shared" si="1152"/>
        <v>8</v>
      </c>
      <c r="V390" s="92">
        <f t="shared" si="1152"/>
        <v>8</v>
      </c>
      <c r="W390" s="92">
        <f t="shared" si="1152"/>
        <v>1</v>
      </c>
      <c r="X390" s="92">
        <f t="shared" si="1152"/>
        <v>0</v>
      </c>
      <c r="Y390" s="92">
        <f t="shared" si="1152"/>
        <v>0</v>
      </c>
      <c r="Z390" s="92">
        <f t="shared" si="1152"/>
        <v>0</v>
      </c>
      <c r="AA390" s="92">
        <f t="shared" si="1152"/>
        <v>0</v>
      </c>
      <c r="AB390" s="92">
        <f t="shared" si="1152"/>
        <v>1</v>
      </c>
      <c r="AC390" s="92">
        <f t="shared" si="1152"/>
        <v>0</v>
      </c>
      <c r="AD390" s="92">
        <f t="shared" si="1152"/>
        <v>1</v>
      </c>
      <c r="AE390" s="92">
        <f t="shared" si="1152"/>
        <v>0</v>
      </c>
      <c r="AF390" s="92">
        <f t="shared" si="1152"/>
        <v>0</v>
      </c>
      <c r="AG390" s="92">
        <f t="shared" si="1152"/>
        <v>0</v>
      </c>
      <c r="AH390" s="92">
        <f t="shared" si="1152"/>
        <v>0</v>
      </c>
      <c r="AI390" s="92">
        <f t="shared" si="1152"/>
        <v>0</v>
      </c>
      <c r="AJ390" s="92">
        <f t="shared" si="1152"/>
        <v>0</v>
      </c>
      <c r="AK390" s="92">
        <f t="shared" si="1152"/>
        <v>0</v>
      </c>
      <c r="AL390" s="92">
        <f t="shared" si="1152"/>
        <v>0</v>
      </c>
      <c r="AM390" s="92">
        <f t="shared" si="1152"/>
        <v>0</v>
      </c>
      <c r="AN390" s="92">
        <f t="shared" si="1152"/>
        <v>0</v>
      </c>
      <c r="AO390" s="92">
        <f t="shared" si="1152"/>
        <v>0</v>
      </c>
      <c r="AP390" s="92">
        <f t="shared" si="1152"/>
        <v>0</v>
      </c>
      <c r="AQ390" s="92">
        <f t="shared" si="1153"/>
        <v>0</v>
      </c>
      <c r="AR390" s="92">
        <f t="shared" si="1146"/>
        <v>0</v>
      </c>
      <c r="AS390" s="31" t="str">
        <f t="shared" si="1099"/>
        <v>SimulationStorage,1,</v>
      </c>
      <c r="AT390" s="31" t="str">
        <f t="shared" si="1100"/>
        <v>AnalysisStorage,1,</v>
      </c>
      <c r="AU390" s="31" t="str">
        <f t="shared" si="1101"/>
        <v>LogRuleEvaluation,0,</v>
      </c>
      <c r="AV390" s="31" t="str">
        <f t="shared" si="1102"/>
        <v>ParallelSimulations,1,</v>
      </c>
      <c r="AW390" s="31" t="str">
        <f t="shared" si="1103"/>
        <v>DurationStats,0,</v>
      </c>
      <c r="AX390" s="31" t="str">
        <f t="shared" si="1104"/>
        <v>AnalysisThruStep,8,</v>
      </c>
      <c r="AY390" s="31" t="str">
        <f t="shared" si="1105"/>
        <v>DontAbortOnErrorsThruStep,8,</v>
      </c>
      <c r="AZ390" s="31" t="str">
        <f t="shared" si="1106"/>
        <v>BypassValidFileChecks,1,</v>
      </c>
      <c r="BA390" s="31" t="str">
        <f t="shared" si="1107"/>
        <v>BypassInputChecks,0,</v>
      </c>
      <c r="BB390" s="31" t="str">
        <f t="shared" si="1108"/>
        <v>BypassUMLHChecks,0,</v>
      </c>
      <c r="BC390" s="31" t="str">
        <f t="shared" si="1109"/>
        <v>BypassCheckSimRules,0,</v>
      </c>
      <c r="BD390" s="31" t="str">
        <f t="shared" si="1110"/>
        <v>BypassCheckCodeRules,0,</v>
      </c>
      <c r="BE390" s="31" t="str">
        <f t="shared" si="1111"/>
        <v>StoreResultsToModelInput,1,</v>
      </c>
      <c r="BF390" s="31" t="str">
        <f t="shared" si="1112"/>
        <v>StoreBEMDetails,0,</v>
      </c>
      <c r="BG390" s="31" t="str">
        <f t="shared" si="1113"/>
        <v>ModelRpt_ALL,1,</v>
      </c>
      <c r="BH390" s="31" t="str">
        <f t="shared" si="1114"/>
        <v>ExportHourlyResults_All,0,</v>
      </c>
      <c r="BI390" s="31" t="str">
        <f t="shared" si="1115"/>
        <v>ComplianceReportPDF,0,</v>
      </c>
      <c r="BJ390" s="31" t="str">
        <f t="shared" si="1116"/>
        <v>ComplianceReportXML,0,</v>
      </c>
      <c r="BK390" s="31" t="str">
        <f t="shared" si="1117"/>
        <v>QuickAnalysis,0,</v>
      </c>
      <c r="BL390" s="31" t="str">
        <f t="shared" si="1118"/>
        <v>PromptUserUMLHWarning,0,</v>
      </c>
      <c r="BM390" s="31" t="str">
        <f t="shared" si="1119"/>
        <v>BypassOpenStudio_all,0,</v>
      </c>
      <c r="BN390" s="31" t="str">
        <f t="shared" si="1120"/>
        <v>BypassOpenStudio_zp,0,</v>
      </c>
      <c r="BO390" s="31" t="str">
        <f t="shared" si="1121"/>
        <v>BypassOpenStudio_zb,0,</v>
      </c>
      <c r="BP390" s="31" t="str">
        <f t="shared" si="1122"/>
        <v>BypassOpenStudio_ap,0,</v>
      </c>
      <c r="BQ390" s="31" t="str">
        <f t="shared" si="1123"/>
        <v>BypassOpenStudio_ab,0,</v>
      </c>
      <c r="BR390" s="31" t="str">
        <f t="shared" si="1124"/>
        <v>BypassOpenStudio_zp,0,</v>
      </c>
      <c r="BS390" s="31" t="str">
        <f t="shared" si="1125"/>
        <v>BypassOpenStudio_zb,0,</v>
      </c>
      <c r="BT390" s="31" t="str">
        <f t="shared" si="1126"/>
        <v>BypassOpenStudio_ap,0,</v>
      </c>
      <c r="BU390" s="31" t="str">
        <f t="shared" si="1127"/>
        <v>BypassOpenStudio_ab,0,</v>
      </c>
    </row>
    <row r="391" spans="1:73" outlineLevel="1" x14ac:dyDescent="0.25">
      <c r="A391" s="39">
        <f t="shared" si="1095"/>
        <v>0</v>
      </c>
      <c r="B391" s="27" t="str">
        <f t="shared" si="1128"/>
        <v>SoftwareSensitivity2016Tests\SimplifiedGeometry\x.cibd16</v>
      </c>
      <c r="C391" s="27" t="str">
        <f t="shared" si="1129"/>
        <v>BatchOut_171026_r5178_FinalRel-v3-SSTSG_SSTSG\x.cibd16</v>
      </c>
      <c r="D391" s="27" t="str">
        <f t="shared" si="1130"/>
        <v>BatchOut_171026_r5178_FinalRel-v3-SSTSG_SSTSG\XML\</v>
      </c>
      <c r="E391" s="9" t="str">
        <f t="shared" si="1131"/>
        <v>x</v>
      </c>
      <c r="F391" s="22"/>
      <c r="G391" s="29"/>
      <c r="H391" s="23" t="str">
        <f t="shared" si="1132"/>
        <v/>
      </c>
      <c r="I391" s="9" t="s">
        <v>11</v>
      </c>
      <c r="J391"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1" s="15" t="s">
        <v>1</v>
      </c>
      <c r="L391" s="92">
        <f t="shared" si="1135"/>
        <v>0</v>
      </c>
      <c r="M391" s="91" t="str">
        <f t="shared" si="1133"/>
        <v>x</v>
      </c>
      <c r="N391" s="90" t="s">
        <v>149</v>
      </c>
      <c r="O391" s="90" t="str">
        <f t="shared" si="1097"/>
        <v>x</v>
      </c>
      <c r="P391" s="92">
        <f t="shared" si="1152"/>
        <v>1</v>
      </c>
      <c r="Q391" s="92">
        <f t="shared" si="1152"/>
        <v>1</v>
      </c>
      <c r="R391" s="92">
        <f t="shared" si="1152"/>
        <v>0</v>
      </c>
      <c r="S391" s="92">
        <f t="shared" si="1152"/>
        <v>1</v>
      </c>
      <c r="T391" s="92">
        <f t="shared" si="1152"/>
        <v>0</v>
      </c>
      <c r="U391" s="92">
        <f t="shared" si="1152"/>
        <v>8</v>
      </c>
      <c r="V391" s="92">
        <f t="shared" si="1152"/>
        <v>8</v>
      </c>
      <c r="W391" s="92">
        <f t="shared" si="1152"/>
        <v>1</v>
      </c>
      <c r="X391" s="92">
        <f t="shared" si="1152"/>
        <v>0</v>
      </c>
      <c r="Y391" s="92">
        <f t="shared" si="1152"/>
        <v>0</v>
      </c>
      <c r="Z391" s="92">
        <f t="shared" si="1152"/>
        <v>0</v>
      </c>
      <c r="AA391" s="92">
        <f t="shared" si="1152"/>
        <v>0</v>
      </c>
      <c r="AB391" s="92">
        <f t="shared" si="1152"/>
        <v>1</v>
      </c>
      <c r="AC391" s="92">
        <f t="shared" si="1152"/>
        <v>0</v>
      </c>
      <c r="AD391" s="92">
        <f t="shared" si="1152"/>
        <v>1</v>
      </c>
      <c r="AE391" s="92">
        <f t="shared" si="1152"/>
        <v>0</v>
      </c>
      <c r="AF391" s="92">
        <f t="shared" si="1152"/>
        <v>0</v>
      </c>
      <c r="AG391" s="92">
        <f t="shared" si="1152"/>
        <v>0</v>
      </c>
      <c r="AH391" s="92">
        <f t="shared" si="1152"/>
        <v>0</v>
      </c>
      <c r="AI391" s="92">
        <f t="shared" si="1152"/>
        <v>0</v>
      </c>
      <c r="AJ391" s="92">
        <f t="shared" si="1152"/>
        <v>0</v>
      </c>
      <c r="AK391" s="92">
        <f t="shared" si="1152"/>
        <v>0</v>
      </c>
      <c r="AL391" s="92">
        <f t="shared" si="1152"/>
        <v>0</v>
      </c>
      <c r="AM391" s="92">
        <f t="shared" si="1152"/>
        <v>0</v>
      </c>
      <c r="AN391" s="92">
        <f t="shared" si="1152"/>
        <v>0</v>
      </c>
      <c r="AO391" s="92">
        <f t="shared" si="1152"/>
        <v>0</v>
      </c>
      <c r="AP391" s="92">
        <f t="shared" si="1152"/>
        <v>0</v>
      </c>
      <c r="AQ391" s="92">
        <f t="shared" si="1153"/>
        <v>0</v>
      </c>
      <c r="AR391" s="92">
        <f t="shared" si="1146"/>
        <v>0</v>
      </c>
      <c r="AS391" s="31" t="str">
        <f t="shared" si="1099"/>
        <v>SimulationStorage,1,</v>
      </c>
      <c r="AT391" s="31" t="str">
        <f t="shared" si="1100"/>
        <v>AnalysisStorage,1,</v>
      </c>
      <c r="AU391" s="31" t="str">
        <f t="shared" si="1101"/>
        <v>LogRuleEvaluation,0,</v>
      </c>
      <c r="AV391" s="31" t="str">
        <f t="shared" si="1102"/>
        <v>ParallelSimulations,1,</v>
      </c>
      <c r="AW391" s="31" t="str">
        <f t="shared" si="1103"/>
        <v>DurationStats,0,</v>
      </c>
      <c r="AX391" s="31" t="str">
        <f t="shared" si="1104"/>
        <v>AnalysisThruStep,8,</v>
      </c>
      <c r="AY391" s="31" t="str">
        <f t="shared" si="1105"/>
        <v>DontAbortOnErrorsThruStep,8,</v>
      </c>
      <c r="AZ391" s="31" t="str">
        <f t="shared" si="1106"/>
        <v>BypassValidFileChecks,1,</v>
      </c>
      <c r="BA391" s="31" t="str">
        <f t="shared" si="1107"/>
        <v>BypassInputChecks,0,</v>
      </c>
      <c r="BB391" s="31" t="str">
        <f t="shared" si="1108"/>
        <v>BypassUMLHChecks,0,</v>
      </c>
      <c r="BC391" s="31" t="str">
        <f t="shared" si="1109"/>
        <v>BypassCheckSimRules,0,</v>
      </c>
      <c r="BD391" s="31" t="str">
        <f t="shared" si="1110"/>
        <v>BypassCheckCodeRules,0,</v>
      </c>
      <c r="BE391" s="31" t="str">
        <f t="shared" si="1111"/>
        <v>StoreResultsToModelInput,1,</v>
      </c>
      <c r="BF391" s="31" t="str">
        <f t="shared" si="1112"/>
        <v>StoreBEMDetails,0,</v>
      </c>
      <c r="BG391" s="31" t="str">
        <f t="shared" si="1113"/>
        <v>ModelRpt_ALL,1,</v>
      </c>
      <c r="BH391" s="31" t="str">
        <f t="shared" si="1114"/>
        <v>ExportHourlyResults_All,0,</v>
      </c>
      <c r="BI391" s="31" t="str">
        <f t="shared" si="1115"/>
        <v>ComplianceReportPDF,0,</v>
      </c>
      <c r="BJ391" s="31" t="str">
        <f t="shared" si="1116"/>
        <v>ComplianceReportXML,0,</v>
      </c>
      <c r="BK391" s="31" t="str">
        <f t="shared" si="1117"/>
        <v>QuickAnalysis,0,</v>
      </c>
      <c r="BL391" s="31" t="str">
        <f t="shared" si="1118"/>
        <v>PromptUserUMLHWarning,0,</v>
      </c>
      <c r="BM391" s="31" t="str">
        <f t="shared" si="1119"/>
        <v>BypassOpenStudio_all,0,</v>
      </c>
      <c r="BN391" s="31" t="str">
        <f t="shared" si="1120"/>
        <v>BypassOpenStudio_zp,0,</v>
      </c>
      <c r="BO391" s="31" t="str">
        <f t="shared" si="1121"/>
        <v>BypassOpenStudio_zb,0,</v>
      </c>
      <c r="BP391" s="31" t="str">
        <f t="shared" si="1122"/>
        <v>BypassOpenStudio_ap,0,</v>
      </c>
      <c r="BQ391" s="31" t="str">
        <f t="shared" si="1123"/>
        <v>BypassOpenStudio_ab,0,</v>
      </c>
      <c r="BR391" s="31" t="str">
        <f t="shared" si="1124"/>
        <v>BypassOpenStudio_zp,0,</v>
      </c>
      <c r="BS391" s="31" t="str">
        <f t="shared" si="1125"/>
        <v>BypassOpenStudio_zb,0,</v>
      </c>
      <c r="BT391" s="31" t="str">
        <f t="shared" si="1126"/>
        <v>BypassOpenStudio_ap,0,</v>
      </c>
      <c r="BU391" s="31" t="str">
        <f t="shared" si="1127"/>
        <v>BypassOpenStudio_ab,0,</v>
      </c>
    </row>
    <row r="392" spans="1:73" outlineLevel="1" x14ac:dyDescent="0.25">
      <c r="A392" s="39">
        <f t="shared" si="1095"/>
        <v>0</v>
      </c>
      <c r="B392" s="27" t="str">
        <f t="shared" si="1128"/>
        <v>SoftwareSensitivity2016Tests\SimplifiedGeometry\x.cibd16</v>
      </c>
      <c r="C392" s="27" t="str">
        <f t="shared" si="1129"/>
        <v>BatchOut_171026_r5178_FinalRel-v3-SSTSG_SSTSG\x.cibd16</v>
      </c>
      <c r="D392" s="27" t="str">
        <f t="shared" si="1130"/>
        <v>BatchOut_171026_r5178_FinalRel-v3-SSTSG_SSTSG\XML\</v>
      </c>
      <c r="E392" s="9" t="str">
        <f t="shared" si="1131"/>
        <v>x</v>
      </c>
      <c r="F392" s="22"/>
      <c r="G392" s="29"/>
      <c r="H392" s="23" t="str">
        <f t="shared" si="1132"/>
        <v/>
      </c>
      <c r="I392" s="9" t="s">
        <v>11</v>
      </c>
      <c r="J392" s="87" t="str">
        <f t="shared" si="1096"/>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2" s="15" t="s">
        <v>1</v>
      </c>
      <c r="L392" s="92">
        <f t="shared" si="1135"/>
        <v>0</v>
      </c>
      <c r="M392" s="91" t="str">
        <f t="shared" si="1133"/>
        <v>x</v>
      </c>
      <c r="N392" s="90" t="s">
        <v>149</v>
      </c>
      <c r="O392" s="90" t="str">
        <f t="shared" si="1097"/>
        <v>x</v>
      </c>
      <c r="P392" s="92">
        <f t="shared" si="1152"/>
        <v>1</v>
      </c>
      <c r="Q392" s="92">
        <f t="shared" si="1152"/>
        <v>1</v>
      </c>
      <c r="R392" s="92">
        <f t="shared" si="1152"/>
        <v>0</v>
      </c>
      <c r="S392" s="92">
        <f t="shared" si="1152"/>
        <v>1</v>
      </c>
      <c r="T392" s="92">
        <f t="shared" si="1152"/>
        <v>0</v>
      </c>
      <c r="U392" s="92">
        <f t="shared" si="1152"/>
        <v>8</v>
      </c>
      <c r="V392" s="92">
        <f t="shared" si="1152"/>
        <v>8</v>
      </c>
      <c r="W392" s="92">
        <f t="shared" si="1152"/>
        <v>1</v>
      </c>
      <c r="X392" s="92">
        <f t="shared" si="1152"/>
        <v>0</v>
      </c>
      <c r="Y392" s="92">
        <f t="shared" si="1152"/>
        <v>0</v>
      </c>
      <c r="Z392" s="92">
        <f t="shared" si="1152"/>
        <v>0</v>
      </c>
      <c r="AA392" s="92">
        <f t="shared" si="1152"/>
        <v>0</v>
      </c>
      <c r="AB392" s="92">
        <f t="shared" si="1152"/>
        <v>1</v>
      </c>
      <c r="AC392" s="92">
        <f t="shared" si="1152"/>
        <v>0</v>
      </c>
      <c r="AD392" s="92">
        <f t="shared" si="1152"/>
        <v>1</v>
      </c>
      <c r="AE392" s="92">
        <f t="shared" si="1152"/>
        <v>0</v>
      </c>
      <c r="AF392" s="92">
        <f t="shared" si="1152"/>
        <v>0</v>
      </c>
      <c r="AG392" s="92">
        <f t="shared" si="1152"/>
        <v>0</v>
      </c>
      <c r="AH392" s="92">
        <f t="shared" si="1152"/>
        <v>0</v>
      </c>
      <c r="AI392" s="92">
        <f t="shared" si="1152"/>
        <v>0</v>
      </c>
      <c r="AJ392" s="92">
        <f t="shared" si="1152"/>
        <v>0</v>
      </c>
      <c r="AK392" s="92">
        <f t="shared" si="1152"/>
        <v>0</v>
      </c>
      <c r="AL392" s="92">
        <f t="shared" si="1152"/>
        <v>0</v>
      </c>
      <c r="AM392" s="92">
        <f t="shared" si="1152"/>
        <v>0</v>
      </c>
      <c r="AN392" s="92">
        <f t="shared" si="1152"/>
        <v>0</v>
      </c>
      <c r="AO392" s="92">
        <f t="shared" si="1152"/>
        <v>0</v>
      </c>
      <c r="AP392" s="92">
        <f t="shared" si="1152"/>
        <v>0</v>
      </c>
      <c r="AQ392" s="92">
        <f t="shared" si="1153"/>
        <v>0</v>
      </c>
      <c r="AR392" s="92">
        <f t="shared" si="1146"/>
        <v>0</v>
      </c>
      <c r="AS392" s="31" t="str">
        <f t="shared" si="1099"/>
        <v>SimulationStorage,1,</v>
      </c>
      <c r="AT392" s="31" t="str">
        <f t="shared" si="1100"/>
        <v>AnalysisStorage,1,</v>
      </c>
      <c r="AU392" s="31" t="str">
        <f t="shared" si="1101"/>
        <v>LogRuleEvaluation,0,</v>
      </c>
      <c r="AV392" s="31" t="str">
        <f t="shared" si="1102"/>
        <v>ParallelSimulations,1,</v>
      </c>
      <c r="AW392" s="31" t="str">
        <f t="shared" si="1103"/>
        <v>DurationStats,0,</v>
      </c>
      <c r="AX392" s="31" t="str">
        <f t="shared" si="1104"/>
        <v>AnalysisThruStep,8,</v>
      </c>
      <c r="AY392" s="31" t="str">
        <f t="shared" si="1105"/>
        <v>DontAbortOnErrorsThruStep,8,</v>
      </c>
      <c r="AZ392" s="31" t="str">
        <f t="shared" si="1106"/>
        <v>BypassValidFileChecks,1,</v>
      </c>
      <c r="BA392" s="31" t="str">
        <f t="shared" si="1107"/>
        <v>BypassInputChecks,0,</v>
      </c>
      <c r="BB392" s="31" t="str">
        <f t="shared" si="1108"/>
        <v>BypassUMLHChecks,0,</v>
      </c>
      <c r="BC392" s="31" t="str">
        <f t="shared" si="1109"/>
        <v>BypassCheckSimRules,0,</v>
      </c>
      <c r="BD392" s="31" t="str">
        <f t="shared" si="1110"/>
        <v>BypassCheckCodeRules,0,</v>
      </c>
      <c r="BE392" s="31" t="str">
        <f t="shared" si="1111"/>
        <v>StoreResultsToModelInput,1,</v>
      </c>
      <c r="BF392" s="31" t="str">
        <f t="shared" si="1112"/>
        <v>StoreBEMDetails,0,</v>
      </c>
      <c r="BG392" s="31" t="str">
        <f t="shared" si="1113"/>
        <v>ModelRpt_ALL,1,</v>
      </c>
      <c r="BH392" s="31" t="str">
        <f t="shared" si="1114"/>
        <v>ExportHourlyResults_All,0,</v>
      </c>
      <c r="BI392" s="31" t="str">
        <f t="shared" si="1115"/>
        <v>ComplianceReportPDF,0,</v>
      </c>
      <c r="BJ392" s="31" t="str">
        <f t="shared" si="1116"/>
        <v>ComplianceReportXML,0,</v>
      </c>
      <c r="BK392" s="31" t="str">
        <f t="shared" si="1117"/>
        <v>QuickAnalysis,0,</v>
      </c>
      <c r="BL392" s="31" t="str">
        <f t="shared" si="1118"/>
        <v>PromptUserUMLHWarning,0,</v>
      </c>
      <c r="BM392" s="31" t="str">
        <f t="shared" si="1119"/>
        <v>BypassOpenStudio_all,0,</v>
      </c>
      <c r="BN392" s="31" t="str">
        <f t="shared" si="1120"/>
        <v>BypassOpenStudio_zp,0,</v>
      </c>
      <c r="BO392" s="31" t="str">
        <f t="shared" si="1121"/>
        <v>BypassOpenStudio_zb,0,</v>
      </c>
      <c r="BP392" s="31" t="str">
        <f t="shared" si="1122"/>
        <v>BypassOpenStudio_ap,0,</v>
      </c>
      <c r="BQ392" s="31" t="str">
        <f t="shared" si="1123"/>
        <v>BypassOpenStudio_ab,0,</v>
      </c>
      <c r="BR392" s="31" t="str">
        <f t="shared" si="1124"/>
        <v>BypassOpenStudio_zp,0,</v>
      </c>
      <c r="BS392" s="31" t="str">
        <f t="shared" si="1125"/>
        <v>BypassOpenStudio_zb,0,</v>
      </c>
      <c r="BT392" s="31" t="str">
        <f t="shared" si="1126"/>
        <v>BypassOpenStudio_ap,0,</v>
      </c>
      <c r="BU392" s="31" t="str">
        <f t="shared" si="1127"/>
        <v>BypassOpenStudio_ab,0,</v>
      </c>
    </row>
    <row r="393" spans="1:73" outlineLevel="1" x14ac:dyDescent="0.25">
      <c r="A393" s="39">
        <f t="shared" ref="A393:A402" si="1154">L393</f>
        <v>0</v>
      </c>
      <c r="B393" s="27" t="str">
        <f t="shared" si="1128"/>
        <v>SoftwareSensitivity2016Tests\SimplifiedGeometry\x.cibd16</v>
      </c>
      <c r="C393" s="27" t="str">
        <f t="shared" si="1129"/>
        <v>BatchOut_171026_r5178_FinalRel-v3-SSTSG_SSTSG\x.cibd16</v>
      </c>
      <c r="D393" s="27" t="str">
        <f t="shared" si="1130"/>
        <v>BatchOut_171026_r5178_FinalRel-v3-SSTSG_SSTSG\XML\</v>
      </c>
      <c r="E393" s="9" t="str">
        <f t="shared" si="1131"/>
        <v>x</v>
      </c>
      <c r="F393" s="22"/>
      <c r="G393" s="29"/>
      <c r="H393" s="23" t="str">
        <f t="shared" si="1132"/>
        <v/>
      </c>
      <c r="I393" s="9" t="s">
        <v>11</v>
      </c>
      <c r="J393" s="87" t="str">
        <f t="shared" ref="J393:J402" si="1155">CONCATENATE(AS393,AT393,AU393,AV393,AW393,AX393,AY393,AZ393,BA393,BB393,BC393,BD393,BE393,BF393,BG393,BH393,BI393,BJ393,BK393,BL393,BM393,BN393,BO393,BP393,BQ393,BR393,BS393,BT393,BU393)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3" s="15" t="s">
        <v>1</v>
      </c>
      <c r="L393" s="92">
        <f t="shared" si="1135"/>
        <v>0</v>
      </c>
      <c r="M393" s="91" t="str">
        <f t="shared" si="1133"/>
        <v>x</v>
      </c>
      <c r="N393" s="90" t="s">
        <v>149</v>
      </c>
      <c r="O393" s="90" t="str">
        <f t="shared" ref="O393:O402" si="1156">N393</f>
        <v>x</v>
      </c>
      <c r="P393" s="92">
        <f t="shared" si="1152"/>
        <v>1</v>
      </c>
      <c r="Q393" s="92">
        <f t="shared" si="1152"/>
        <v>1</v>
      </c>
      <c r="R393" s="92">
        <f t="shared" si="1152"/>
        <v>0</v>
      </c>
      <c r="S393" s="92">
        <f t="shared" si="1152"/>
        <v>1</v>
      </c>
      <c r="T393" s="92">
        <f t="shared" si="1152"/>
        <v>0</v>
      </c>
      <c r="U393" s="92">
        <f t="shared" si="1152"/>
        <v>8</v>
      </c>
      <c r="V393" s="92">
        <f t="shared" si="1152"/>
        <v>8</v>
      </c>
      <c r="W393" s="92">
        <f t="shared" si="1152"/>
        <v>1</v>
      </c>
      <c r="X393" s="92">
        <f t="shared" si="1152"/>
        <v>0</v>
      </c>
      <c r="Y393" s="92">
        <f t="shared" si="1152"/>
        <v>0</v>
      </c>
      <c r="Z393" s="92">
        <f t="shared" si="1152"/>
        <v>0</v>
      </c>
      <c r="AA393" s="92">
        <f t="shared" si="1152"/>
        <v>0</v>
      </c>
      <c r="AB393" s="92">
        <f t="shared" si="1152"/>
        <v>1</v>
      </c>
      <c r="AC393" s="92">
        <f t="shared" si="1152"/>
        <v>0</v>
      </c>
      <c r="AD393" s="92">
        <f t="shared" si="1152"/>
        <v>1</v>
      </c>
      <c r="AE393" s="92">
        <f t="shared" si="1152"/>
        <v>0</v>
      </c>
      <c r="AF393" s="92">
        <f t="shared" si="1152"/>
        <v>0</v>
      </c>
      <c r="AG393" s="92">
        <f t="shared" si="1152"/>
        <v>0</v>
      </c>
      <c r="AH393" s="92">
        <f t="shared" si="1152"/>
        <v>0</v>
      </c>
      <c r="AI393" s="92">
        <f t="shared" si="1152"/>
        <v>0</v>
      </c>
      <c r="AJ393" s="92">
        <f t="shared" si="1152"/>
        <v>0</v>
      </c>
      <c r="AK393" s="92">
        <f t="shared" si="1152"/>
        <v>0</v>
      </c>
      <c r="AL393" s="92">
        <f t="shared" si="1152"/>
        <v>0</v>
      </c>
      <c r="AM393" s="92">
        <f t="shared" si="1152"/>
        <v>0</v>
      </c>
      <c r="AN393" s="92">
        <f t="shared" si="1152"/>
        <v>0</v>
      </c>
      <c r="AO393" s="92">
        <f t="shared" si="1152"/>
        <v>0</v>
      </c>
      <c r="AP393" s="92">
        <f t="shared" si="1152"/>
        <v>0</v>
      </c>
      <c r="AQ393" s="92">
        <f t="shared" si="1153"/>
        <v>0</v>
      </c>
      <c r="AR393" s="92">
        <f t="shared" si="1146"/>
        <v>0</v>
      </c>
      <c r="AS393" s="31" t="str">
        <f t="shared" ref="AS393:AS402" si="1157">P$13&amp;P393&amp;","</f>
        <v>SimulationStorage,1,</v>
      </c>
      <c r="AT393" s="31" t="str">
        <f t="shared" ref="AT393:AT402" si="1158">Q$13&amp;Q393&amp;","</f>
        <v>AnalysisStorage,1,</v>
      </c>
      <c r="AU393" s="31" t="str">
        <f t="shared" ref="AU393:AU402" si="1159">R$13&amp;R393&amp;","</f>
        <v>LogRuleEvaluation,0,</v>
      </c>
      <c r="AV393" s="31" t="str">
        <f t="shared" ref="AV393:AV402" si="1160">S$13&amp;S393&amp;","</f>
        <v>ParallelSimulations,1,</v>
      </c>
      <c r="AW393" s="31" t="str">
        <f t="shared" ref="AW393:AW402" si="1161">T$13&amp;T393&amp;","</f>
        <v>DurationStats,0,</v>
      </c>
      <c r="AX393" s="31" t="str">
        <f t="shared" ref="AX393:AX402" si="1162">U$13&amp;U393&amp;","</f>
        <v>AnalysisThruStep,8,</v>
      </c>
      <c r="AY393" s="31" t="str">
        <f t="shared" ref="AY393:AY402" si="1163">V$13&amp;V393&amp;","</f>
        <v>DontAbortOnErrorsThruStep,8,</v>
      </c>
      <c r="AZ393" s="31" t="str">
        <f t="shared" ref="AZ393:AZ402" si="1164">W$13&amp;W393&amp;","</f>
        <v>BypassValidFileChecks,1,</v>
      </c>
      <c r="BA393" s="31" t="str">
        <f t="shared" ref="BA393:BA402" si="1165">X$13&amp;X393&amp;","</f>
        <v>BypassInputChecks,0,</v>
      </c>
      <c r="BB393" s="31" t="str">
        <f t="shared" ref="BB393:BB402" si="1166">Y$13&amp;Y393&amp;","</f>
        <v>BypassUMLHChecks,0,</v>
      </c>
      <c r="BC393" s="31" t="str">
        <f t="shared" ref="BC393:BC402" si="1167">Z$13&amp;Z393&amp;","</f>
        <v>BypassCheckSimRules,0,</v>
      </c>
      <c r="BD393" s="31" t="str">
        <f t="shared" ref="BD393:BD402" si="1168">AA$13&amp;AA393&amp;","</f>
        <v>BypassCheckCodeRules,0,</v>
      </c>
      <c r="BE393" s="31" t="str">
        <f t="shared" ref="BE393:BE402" si="1169">AB$13&amp;AB393&amp;","</f>
        <v>StoreResultsToModelInput,1,</v>
      </c>
      <c r="BF393" s="31" t="str">
        <f t="shared" ref="BF393:BF402" si="1170">AC$13&amp;AC393&amp;","</f>
        <v>StoreBEMDetails,0,</v>
      </c>
      <c r="BG393" s="31" t="str">
        <f t="shared" ref="BG393:BG402" si="1171">AD$13&amp;AD393&amp;","</f>
        <v>ModelRpt_ALL,1,</v>
      </c>
      <c r="BH393" s="31" t="str">
        <f t="shared" ref="BH393:BH402" si="1172">AE$13&amp;AE393&amp;","</f>
        <v>ExportHourlyResults_All,0,</v>
      </c>
      <c r="BI393" s="31" t="str">
        <f t="shared" ref="BI393:BI402" si="1173">AF$13&amp;AF393&amp;","</f>
        <v>ComplianceReportPDF,0,</v>
      </c>
      <c r="BJ393" s="31" t="str">
        <f t="shared" ref="BJ393:BJ402" si="1174">AG$13&amp;AG393&amp;","</f>
        <v>ComplianceReportXML,0,</v>
      </c>
      <c r="BK393" s="31" t="str">
        <f t="shared" ref="BK393:BK402" si="1175">AH$13&amp;AH393&amp;","</f>
        <v>QuickAnalysis,0,</v>
      </c>
      <c r="BL393" s="31" t="str">
        <f t="shared" ref="BL393:BL402" si="1176">AI$13&amp;AI393&amp;","</f>
        <v>PromptUserUMLHWarning,0,</v>
      </c>
      <c r="BM393" s="31" t="str">
        <f t="shared" ref="BM393:BM402" si="1177">AJ$13&amp;AJ393&amp;","</f>
        <v>BypassOpenStudio_all,0,</v>
      </c>
      <c r="BN393" s="31" t="str">
        <f t="shared" ref="BN393:BN402" si="1178">AK$13&amp;AK393&amp;","</f>
        <v>BypassOpenStudio_zp,0,</v>
      </c>
      <c r="BO393" s="31" t="str">
        <f t="shared" ref="BO393:BO402" si="1179">AL$13&amp;AL393&amp;","</f>
        <v>BypassOpenStudio_zb,0,</v>
      </c>
      <c r="BP393" s="31" t="str">
        <f t="shared" ref="BP393:BP402" si="1180">AM$13&amp;AM393&amp;","</f>
        <v>BypassOpenStudio_ap,0,</v>
      </c>
      <c r="BQ393" s="31" t="str">
        <f t="shared" ref="BQ393:BQ402" si="1181">AN$13&amp;AN393&amp;","</f>
        <v>BypassOpenStudio_ab,0,</v>
      </c>
      <c r="BR393" s="31" t="str">
        <f t="shared" ref="BR393:BR402" si="1182">AO$13&amp;AO393&amp;","</f>
        <v>BypassOpenStudio_zp,0,</v>
      </c>
      <c r="BS393" s="31" t="str">
        <f t="shared" ref="BS393:BS402" si="1183">AP$13&amp;AP393&amp;","</f>
        <v>BypassOpenStudio_zb,0,</v>
      </c>
      <c r="BT393" s="31" t="str">
        <f t="shared" ref="BT393:BT402" si="1184">AQ$13&amp;AQ393&amp;","</f>
        <v>BypassOpenStudio_ap,0,</v>
      </c>
      <c r="BU393" s="31" t="str">
        <f t="shared" ref="BU393:BU402" si="1185">AR$13&amp;AR393&amp;","</f>
        <v>BypassOpenStudio_ab,0,</v>
      </c>
    </row>
    <row r="394" spans="1:73" outlineLevel="1" x14ac:dyDescent="0.25">
      <c r="A394" s="39">
        <f t="shared" si="1154"/>
        <v>0</v>
      </c>
      <c r="B394" s="27" t="str">
        <f t="shared" ref="B394:B402" si="1186">M$261&amp;N394&amp;".cibd16"</f>
        <v>SoftwareSensitivity2016Tests\SimplifiedGeometry\x.cibd16</v>
      </c>
      <c r="C394" s="27" t="str">
        <f t="shared" ref="C394:C402" si="1187" xml:space="preserve"> M$262 &amp; O394 &amp; ".cibd16"</f>
        <v>BatchOut_171026_r5178_FinalRel-v3-SSTSG_SSTSG\x.cibd16</v>
      </c>
      <c r="D394" s="27" t="str">
        <f t="shared" ref="D394:D402" si="1188">$M$263</f>
        <v>BatchOut_171026_r5178_FinalRel-v3-SSTSG_SSTSG\XML\</v>
      </c>
      <c r="E394" s="9" t="str">
        <f t="shared" ref="E394:E402" si="1189">M394</f>
        <v>x</v>
      </c>
      <c r="F394" s="22"/>
      <c r="G394" s="29"/>
      <c r="H394" s="23" t="str">
        <f t="shared" ref="H394:H402" si="1190">IF(F394&gt;1,1,"")</f>
        <v/>
      </c>
      <c r="I394" s="9" t="s">
        <v>11</v>
      </c>
      <c r="J394"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4" s="15" t="s">
        <v>1</v>
      </c>
      <c r="L394" s="92">
        <f t="shared" si="1135"/>
        <v>0</v>
      </c>
      <c r="M394" s="91" t="str">
        <f t="shared" ref="M394:M402" si="1191">N394</f>
        <v>x</v>
      </c>
      <c r="N394" s="90" t="s">
        <v>149</v>
      </c>
      <c r="O394" s="90" t="str">
        <f t="shared" si="1156"/>
        <v>x</v>
      </c>
      <c r="P394" s="92">
        <f t="shared" ref="P394:AH394" si="1192">P393</f>
        <v>1</v>
      </c>
      <c r="Q394" s="92">
        <f t="shared" si="1192"/>
        <v>1</v>
      </c>
      <c r="R394" s="92">
        <f t="shared" si="1192"/>
        <v>0</v>
      </c>
      <c r="S394" s="92">
        <f t="shared" si="1192"/>
        <v>1</v>
      </c>
      <c r="T394" s="92">
        <f t="shared" si="1192"/>
        <v>0</v>
      </c>
      <c r="U394" s="92">
        <f t="shared" si="1192"/>
        <v>8</v>
      </c>
      <c r="V394" s="92">
        <f t="shared" si="1192"/>
        <v>8</v>
      </c>
      <c r="W394" s="92">
        <f t="shared" si="1192"/>
        <v>1</v>
      </c>
      <c r="X394" s="92">
        <f t="shared" si="1192"/>
        <v>0</v>
      </c>
      <c r="Y394" s="92">
        <f t="shared" si="1192"/>
        <v>0</v>
      </c>
      <c r="Z394" s="92">
        <f t="shared" si="1192"/>
        <v>0</v>
      </c>
      <c r="AA394" s="92">
        <f t="shared" si="1192"/>
        <v>0</v>
      </c>
      <c r="AB394" s="92">
        <f t="shared" si="1192"/>
        <v>1</v>
      </c>
      <c r="AC394" s="92">
        <f t="shared" si="1192"/>
        <v>0</v>
      </c>
      <c r="AD394" s="92">
        <f t="shared" si="1192"/>
        <v>1</v>
      </c>
      <c r="AE394" s="92">
        <f t="shared" si="1192"/>
        <v>0</v>
      </c>
      <c r="AF394" s="92">
        <f t="shared" si="1192"/>
        <v>0</v>
      </c>
      <c r="AG394" s="92">
        <f t="shared" si="1192"/>
        <v>0</v>
      </c>
      <c r="AH394" s="92">
        <f t="shared" si="1192"/>
        <v>0</v>
      </c>
      <c r="AI394" s="92">
        <f t="shared" si="1152"/>
        <v>0</v>
      </c>
      <c r="AJ394" s="92">
        <f t="shared" si="1152"/>
        <v>0</v>
      </c>
      <c r="AK394" s="92">
        <f t="shared" si="1152"/>
        <v>0</v>
      </c>
      <c r="AL394" s="92">
        <f t="shared" si="1152"/>
        <v>0</v>
      </c>
      <c r="AM394" s="92">
        <f t="shared" si="1152"/>
        <v>0</v>
      </c>
      <c r="AN394" s="92">
        <f t="shared" si="1152"/>
        <v>0</v>
      </c>
      <c r="AO394" s="92">
        <f t="shared" si="1152"/>
        <v>0</v>
      </c>
      <c r="AP394" s="92">
        <f t="shared" si="1152"/>
        <v>0</v>
      </c>
      <c r="AQ394" s="92">
        <f t="shared" si="1153"/>
        <v>0</v>
      </c>
      <c r="AR394" s="92">
        <f t="shared" si="1146"/>
        <v>0</v>
      </c>
      <c r="AS394" s="31" t="str">
        <f t="shared" si="1157"/>
        <v>SimulationStorage,1,</v>
      </c>
      <c r="AT394" s="31" t="str">
        <f t="shared" si="1158"/>
        <v>AnalysisStorage,1,</v>
      </c>
      <c r="AU394" s="31" t="str">
        <f t="shared" si="1159"/>
        <v>LogRuleEvaluation,0,</v>
      </c>
      <c r="AV394" s="31" t="str">
        <f t="shared" si="1160"/>
        <v>ParallelSimulations,1,</v>
      </c>
      <c r="AW394" s="31" t="str">
        <f t="shared" si="1161"/>
        <v>DurationStats,0,</v>
      </c>
      <c r="AX394" s="31" t="str">
        <f t="shared" si="1162"/>
        <v>AnalysisThruStep,8,</v>
      </c>
      <c r="AY394" s="31" t="str">
        <f t="shared" si="1163"/>
        <v>DontAbortOnErrorsThruStep,8,</v>
      </c>
      <c r="AZ394" s="31" t="str">
        <f t="shared" si="1164"/>
        <v>BypassValidFileChecks,1,</v>
      </c>
      <c r="BA394" s="31" t="str">
        <f t="shared" si="1165"/>
        <v>BypassInputChecks,0,</v>
      </c>
      <c r="BB394" s="31" t="str">
        <f t="shared" si="1166"/>
        <v>BypassUMLHChecks,0,</v>
      </c>
      <c r="BC394" s="31" t="str">
        <f t="shared" si="1167"/>
        <v>BypassCheckSimRules,0,</v>
      </c>
      <c r="BD394" s="31" t="str">
        <f t="shared" si="1168"/>
        <v>BypassCheckCodeRules,0,</v>
      </c>
      <c r="BE394" s="31" t="str">
        <f t="shared" si="1169"/>
        <v>StoreResultsToModelInput,1,</v>
      </c>
      <c r="BF394" s="31" t="str">
        <f t="shared" si="1170"/>
        <v>StoreBEMDetails,0,</v>
      </c>
      <c r="BG394" s="31" t="str">
        <f t="shared" si="1171"/>
        <v>ModelRpt_ALL,1,</v>
      </c>
      <c r="BH394" s="31" t="str">
        <f t="shared" si="1172"/>
        <v>ExportHourlyResults_All,0,</v>
      </c>
      <c r="BI394" s="31" t="str">
        <f t="shared" si="1173"/>
        <v>ComplianceReportPDF,0,</v>
      </c>
      <c r="BJ394" s="31" t="str">
        <f t="shared" si="1174"/>
        <v>ComplianceReportXML,0,</v>
      </c>
      <c r="BK394" s="31" t="str">
        <f t="shared" si="1175"/>
        <v>QuickAnalysis,0,</v>
      </c>
      <c r="BL394" s="31" t="str">
        <f t="shared" si="1176"/>
        <v>PromptUserUMLHWarning,0,</v>
      </c>
      <c r="BM394" s="31" t="str">
        <f t="shared" si="1177"/>
        <v>BypassOpenStudio_all,0,</v>
      </c>
      <c r="BN394" s="31" t="str">
        <f t="shared" si="1178"/>
        <v>BypassOpenStudio_zp,0,</v>
      </c>
      <c r="BO394" s="31" t="str">
        <f t="shared" si="1179"/>
        <v>BypassOpenStudio_zb,0,</v>
      </c>
      <c r="BP394" s="31" t="str">
        <f t="shared" si="1180"/>
        <v>BypassOpenStudio_ap,0,</v>
      </c>
      <c r="BQ394" s="31" t="str">
        <f t="shared" si="1181"/>
        <v>BypassOpenStudio_ab,0,</v>
      </c>
      <c r="BR394" s="31" t="str">
        <f t="shared" si="1182"/>
        <v>BypassOpenStudio_zp,0,</v>
      </c>
      <c r="BS394" s="31" t="str">
        <f t="shared" si="1183"/>
        <v>BypassOpenStudio_zb,0,</v>
      </c>
      <c r="BT394" s="31" t="str">
        <f t="shared" si="1184"/>
        <v>BypassOpenStudio_ap,0,</v>
      </c>
      <c r="BU394" s="31" t="str">
        <f t="shared" si="1185"/>
        <v>BypassOpenStudio_ab,0,</v>
      </c>
    </row>
    <row r="395" spans="1:73" outlineLevel="1" x14ac:dyDescent="0.25">
      <c r="A395" s="39">
        <f t="shared" si="1154"/>
        <v>0</v>
      </c>
      <c r="B395" s="27" t="str">
        <f t="shared" si="1186"/>
        <v>SoftwareSensitivity2016Tests\SimplifiedGeometry\x.cibd16</v>
      </c>
      <c r="C395" s="27" t="str">
        <f t="shared" si="1187"/>
        <v>BatchOut_171026_r5178_FinalRel-v3-SSTSG_SSTSG\x.cibd16</v>
      </c>
      <c r="D395" s="27" t="str">
        <f t="shared" si="1188"/>
        <v>BatchOut_171026_r5178_FinalRel-v3-SSTSG_SSTSG\XML\</v>
      </c>
      <c r="E395" s="9" t="str">
        <f t="shared" si="1189"/>
        <v>x</v>
      </c>
      <c r="F395" s="22"/>
      <c r="G395" s="29"/>
      <c r="H395" s="23" t="str">
        <f t="shared" si="1190"/>
        <v/>
      </c>
      <c r="I395" s="9" t="s">
        <v>11</v>
      </c>
      <c r="J395"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5" s="15" t="s">
        <v>1</v>
      </c>
      <c r="L395" s="92">
        <f t="shared" ref="L395:L402" si="1193">L394</f>
        <v>0</v>
      </c>
      <c r="M395" s="91" t="str">
        <f t="shared" si="1191"/>
        <v>x</v>
      </c>
      <c r="N395" s="90" t="s">
        <v>149</v>
      </c>
      <c r="O395" s="90" t="str">
        <f t="shared" si="1156"/>
        <v>x</v>
      </c>
      <c r="P395" s="92">
        <f t="shared" ref="P395:AH395" si="1194">P394</f>
        <v>1</v>
      </c>
      <c r="Q395" s="92">
        <f t="shared" si="1194"/>
        <v>1</v>
      </c>
      <c r="R395" s="92">
        <f t="shared" si="1194"/>
        <v>0</v>
      </c>
      <c r="S395" s="92">
        <f t="shared" si="1194"/>
        <v>1</v>
      </c>
      <c r="T395" s="92">
        <f t="shared" si="1194"/>
        <v>0</v>
      </c>
      <c r="U395" s="92">
        <f t="shared" si="1194"/>
        <v>8</v>
      </c>
      <c r="V395" s="92">
        <f t="shared" si="1194"/>
        <v>8</v>
      </c>
      <c r="W395" s="92">
        <f t="shared" si="1194"/>
        <v>1</v>
      </c>
      <c r="X395" s="92">
        <f t="shared" si="1194"/>
        <v>0</v>
      </c>
      <c r="Y395" s="92">
        <f t="shared" si="1194"/>
        <v>0</v>
      </c>
      <c r="Z395" s="92">
        <f t="shared" si="1194"/>
        <v>0</v>
      </c>
      <c r="AA395" s="92">
        <f t="shared" si="1194"/>
        <v>0</v>
      </c>
      <c r="AB395" s="92">
        <f t="shared" si="1194"/>
        <v>1</v>
      </c>
      <c r="AC395" s="92">
        <f t="shared" si="1194"/>
        <v>0</v>
      </c>
      <c r="AD395" s="92">
        <f t="shared" si="1194"/>
        <v>1</v>
      </c>
      <c r="AE395" s="92">
        <f t="shared" si="1194"/>
        <v>0</v>
      </c>
      <c r="AF395" s="92">
        <f t="shared" si="1194"/>
        <v>0</v>
      </c>
      <c r="AG395" s="92">
        <f t="shared" si="1194"/>
        <v>0</v>
      </c>
      <c r="AH395" s="92">
        <f t="shared" si="1194"/>
        <v>0</v>
      </c>
      <c r="AI395" s="92">
        <f t="shared" si="1152"/>
        <v>0</v>
      </c>
      <c r="AJ395" s="92">
        <f t="shared" si="1152"/>
        <v>0</v>
      </c>
      <c r="AK395" s="92">
        <f t="shared" si="1152"/>
        <v>0</v>
      </c>
      <c r="AL395" s="92">
        <f t="shared" si="1152"/>
        <v>0</v>
      </c>
      <c r="AM395" s="92">
        <f t="shared" si="1152"/>
        <v>0</v>
      </c>
      <c r="AN395" s="92">
        <f t="shared" si="1152"/>
        <v>0</v>
      </c>
      <c r="AO395" s="92">
        <f t="shared" si="1152"/>
        <v>0</v>
      </c>
      <c r="AP395" s="92">
        <f t="shared" si="1152"/>
        <v>0</v>
      </c>
      <c r="AQ395" s="92">
        <f t="shared" si="1153"/>
        <v>0</v>
      </c>
      <c r="AR395" s="92">
        <f t="shared" si="1146"/>
        <v>0</v>
      </c>
      <c r="AS395" s="31" t="str">
        <f t="shared" si="1157"/>
        <v>SimulationStorage,1,</v>
      </c>
      <c r="AT395" s="31" t="str">
        <f t="shared" si="1158"/>
        <v>AnalysisStorage,1,</v>
      </c>
      <c r="AU395" s="31" t="str">
        <f t="shared" si="1159"/>
        <v>LogRuleEvaluation,0,</v>
      </c>
      <c r="AV395" s="31" t="str">
        <f t="shared" si="1160"/>
        <v>ParallelSimulations,1,</v>
      </c>
      <c r="AW395" s="31" t="str">
        <f t="shared" si="1161"/>
        <v>DurationStats,0,</v>
      </c>
      <c r="AX395" s="31" t="str">
        <f t="shared" si="1162"/>
        <v>AnalysisThruStep,8,</v>
      </c>
      <c r="AY395" s="31" t="str">
        <f t="shared" si="1163"/>
        <v>DontAbortOnErrorsThruStep,8,</v>
      </c>
      <c r="AZ395" s="31" t="str">
        <f t="shared" si="1164"/>
        <v>BypassValidFileChecks,1,</v>
      </c>
      <c r="BA395" s="31" t="str">
        <f t="shared" si="1165"/>
        <v>BypassInputChecks,0,</v>
      </c>
      <c r="BB395" s="31" t="str">
        <f t="shared" si="1166"/>
        <v>BypassUMLHChecks,0,</v>
      </c>
      <c r="BC395" s="31" t="str">
        <f t="shared" si="1167"/>
        <v>BypassCheckSimRules,0,</v>
      </c>
      <c r="BD395" s="31" t="str">
        <f t="shared" si="1168"/>
        <v>BypassCheckCodeRules,0,</v>
      </c>
      <c r="BE395" s="31" t="str">
        <f t="shared" si="1169"/>
        <v>StoreResultsToModelInput,1,</v>
      </c>
      <c r="BF395" s="31" t="str">
        <f t="shared" si="1170"/>
        <v>StoreBEMDetails,0,</v>
      </c>
      <c r="BG395" s="31" t="str">
        <f t="shared" si="1171"/>
        <v>ModelRpt_ALL,1,</v>
      </c>
      <c r="BH395" s="31" t="str">
        <f t="shared" si="1172"/>
        <v>ExportHourlyResults_All,0,</v>
      </c>
      <c r="BI395" s="31" t="str">
        <f t="shared" si="1173"/>
        <v>ComplianceReportPDF,0,</v>
      </c>
      <c r="BJ395" s="31" t="str">
        <f t="shared" si="1174"/>
        <v>ComplianceReportXML,0,</v>
      </c>
      <c r="BK395" s="31" t="str">
        <f t="shared" si="1175"/>
        <v>QuickAnalysis,0,</v>
      </c>
      <c r="BL395" s="31" t="str">
        <f t="shared" si="1176"/>
        <v>PromptUserUMLHWarning,0,</v>
      </c>
      <c r="BM395" s="31" t="str">
        <f t="shared" si="1177"/>
        <v>BypassOpenStudio_all,0,</v>
      </c>
      <c r="BN395" s="31" t="str">
        <f t="shared" si="1178"/>
        <v>BypassOpenStudio_zp,0,</v>
      </c>
      <c r="BO395" s="31" t="str">
        <f t="shared" si="1179"/>
        <v>BypassOpenStudio_zb,0,</v>
      </c>
      <c r="BP395" s="31" t="str">
        <f t="shared" si="1180"/>
        <v>BypassOpenStudio_ap,0,</v>
      </c>
      <c r="BQ395" s="31" t="str">
        <f t="shared" si="1181"/>
        <v>BypassOpenStudio_ab,0,</v>
      </c>
      <c r="BR395" s="31" t="str">
        <f t="shared" si="1182"/>
        <v>BypassOpenStudio_zp,0,</v>
      </c>
      <c r="BS395" s="31" t="str">
        <f t="shared" si="1183"/>
        <v>BypassOpenStudio_zb,0,</v>
      </c>
      <c r="BT395" s="31" t="str">
        <f t="shared" si="1184"/>
        <v>BypassOpenStudio_ap,0,</v>
      </c>
      <c r="BU395" s="31" t="str">
        <f t="shared" si="1185"/>
        <v>BypassOpenStudio_ab,0,</v>
      </c>
    </row>
    <row r="396" spans="1:73" outlineLevel="1" x14ac:dyDescent="0.25">
      <c r="A396" s="39">
        <f t="shared" si="1154"/>
        <v>0</v>
      </c>
      <c r="B396" s="27" t="str">
        <f t="shared" si="1186"/>
        <v>SoftwareSensitivity2016Tests\SimplifiedGeometry\x.cibd16</v>
      </c>
      <c r="C396" s="27" t="str">
        <f t="shared" si="1187"/>
        <v>BatchOut_171026_r5178_FinalRel-v3-SSTSG_SSTSG\x.cibd16</v>
      </c>
      <c r="D396" s="27" t="str">
        <f t="shared" si="1188"/>
        <v>BatchOut_171026_r5178_FinalRel-v3-SSTSG_SSTSG\XML\</v>
      </c>
      <c r="E396" s="9" t="str">
        <f t="shared" si="1189"/>
        <v>x</v>
      </c>
      <c r="F396" s="22"/>
      <c r="G396" s="29"/>
      <c r="H396" s="23" t="str">
        <f t="shared" si="1190"/>
        <v/>
      </c>
      <c r="I396" s="9" t="s">
        <v>11</v>
      </c>
      <c r="J396"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6" s="15" t="s">
        <v>1</v>
      </c>
      <c r="L396" s="92">
        <f t="shared" si="1193"/>
        <v>0</v>
      </c>
      <c r="M396" s="91" t="str">
        <f t="shared" si="1191"/>
        <v>x</v>
      </c>
      <c r="N396" s="90" t="s">
        <v>149</v>
      </c>
      <c r="O396" s="90" t="str">
        <f t="shared" si="1156"/>
        <v>x</v>
      </c>
      <c r="P396" s="92">
        <f t="shared" ref="P396:AH396" si="1195">P395</f>
        <v>1</v>
      </c>
      <c r="Q396" s="92">
        <f t="shared" si="1195"/>
        <v>1</v>
      </c>
      <c r="R396" s="92">
        <f t="shared" si="1195"/>
        <v>0</v>
      </c>
      <c r="S396" s="92">
        <f t="shared" si="1195"/>
        <v>1</v>
      </c>
      <c r="T396" s="92">
        <f t="shared" si="1195"/>
        <v>0</v>
      </c>
      <c r="U396" s="92">
        <f t="shared" si="1195"/>
        <v>8</v>
      </c>
      <c r="V396" s="92">
        <f t="shared" si="1195"/>
        <v>8</v>
      </c>
      <c r="W396" s="92">
        <f t="shared" si="1195"/>
        <v>1</v>
      </c>
      <c r="X396" s="92">
        <f t="shared" si="1195"/>
        <v>0</v>
      </c>
      <c r="Y396" s="92">
        <f t="shared" si="1195"/>
        <v>0</v>
      </c>
      <c r="Z396" s="92">
        <f t="shared" si="1195"/>
        <v>0</v>
      </c>
      <c r="AA396" s="92">
        <f t="shared" si="1195"/>
        <v>0</v>
      </c>
      <c r="AB396" s="92">
        <f t="shared" si="1195"/>
        <v>1</v>
      </c>
      <c r="AC396" s="92">
        <f t="shared" si="1195"/>
        <v>0</v>
      </c>
      <c r="AD396" s="92">
        <f t="shared" si="1195"/>
        <v>1</v>
      </c>
      <c r="AE396" s="92">
        <f t="shared" si="1195"/>
        <v>0</v>
      </c>
      <c r="AF396" s="92">
        <f t="shared" si="1195"/>
        <v>0</v>
      </c>
      <c r="AG396" s="92">
        <f t="shared" si="1195"/>
        <v>0</v>
      </c>
      <c r="AH396" s="92">
        <f t="shared" si="1195"/>
        <v>0</v>
      </c>
      <c r="AI396" s="92">
        <f t="shared" si="1152"/>
        <v>0</v>
      </c>
      <c r="AJ396" s="92">
        <f t="shared" si="1152"/>
        <v>0</v>
      </c>
      <c r="AK396" s="92">
        <f t="shared" si="1152"/>
        <v>0</v>
      </c>
      <c r="AL396" s="92">
        <f t="shared" si="1152"/>
        <v>0</v>
      </c>
      <c r="AM396" s="92">
        <f t="shared" si="1152"/>
        <v>0</v>
      </c>
      <c r="AN396" s="92">
        <f t="shared" si="1152"/>
        <v>0</v>
      </c>
      <c r="AO396" s="92">
        <f t="shared" si="1152"/>
        <v>0</v>
      </c>
      <c r="AP396" s="92">
        <f t="shared" si="1152"/>
        <v>0</v>
      </c>
      <c r="AQ396" s="92">
        <f t="shared" si="1153"/>
        <v>0</v>
      </c>
      <c r="AR396" s="92">
        <f t="shared" si="1146"/>
        <v>0</v>
      </c>
      <c r="AS396" s="31" t="str">
        <f t="shared" si="1157"/>
        <v>SimulationStorage,1,</v>
      </c>
      <c r="AT396" s="31" t="str">
        <f t="shared" si="1158"/>
        <v>AnalysisStorage,1,</v>
      </c>
      <c r="AU396" s="31" t="str">
        <f t="shared" si="1159"/>
        <v>LogRuleEvaluation,0,</v>
      </c>
      <c r="AV396" s="31" t="str">
        <f t="shared" si="1160"/>
        <v>ParallelSimulations,1,</v>
      </c>
      <c r="AW396" s="31" t="str">
        <f t="shared" si="1161"/>
        <v>DurationStats,0,</v>
      </c>
      <c r="AX396" s="31" t="str">
        <f t="shared" si="1162"/>
        <v>AnalysisThruStep,8,</v>
      </c>
      <c r="AY396" s="31" t="str">
        <f t="shared" si="1163"/>
        <v>DontAbortOnErrorsThruStep,8,</v>
      </c>
      <c r="AZ396" s="31" t="str">
        <f t="shared" si="1164"/>
        <v>BypassValidFileChecks,1,</v>
      </c>
      <c r="BA396" s="31" t="str">
        <f t="shared" si="1165"/>
        <v>BypassInputChecks,0,</v>
      </c>
      <c r="BB396" s="31" t="str">
        <f t="shared" si="1166"/>
        <v>BypassUMLHChecks,0,</v>
      </c>
      <c r="BC396" s="31" t="str">
        <f t="shared" si="1167"/>
        <v>BypassCheckSimRules,0,</v>
      </c>
      <c r="BD396" s="31" t="str">
        <f t="shared" si="1168"/>
        <v>BypassCheckCodeRules,0,</v>
      </c>
      <c r="BE396" s="31" t="str">
        <f t="shared" si="1169"/>
        <v>StoreResultsToModelInput,1,</v>
      </c>
      <c r="BF396" s="31" t="str">
        <f t="shared" si="1170"/>
        <v>StoreBEMDetails,0,</v>
      </c>
      <c r="BG396" s="31" t="str">
        <f t="shared" si="1171"/>
        <v>ModelRpt_ALL,1,</v>
      </c>
      <c r="BH396" s="31" t="str">
        <f t="shared" si="1172"/>
        <v>ExportHourlyResults_All,0,</v>
      </c>
      <c r="BI396" s="31" t="str">
        <f t="shared" si="1173"/>
        <v>ComplianceReportPDF,0,</v>
      </c>
      <c r="BJ396" s="31" t="str">
        <f t="shared" si="1174"/>
        <v>ComplianceReportXML,0,</v>
      </c>
      <c r="BK396" s="31" t="str">
        <f t="shared" si="1175"/>
        <v>QuickAnalysis,0,</v>
      </c>
      <c r="BL396" s="31" t="str">
        <f t="shared" si="1176"/>
        <v>PromptUserUMLHWarning,0,</v>
      </c>
      <c r="BM396" s="31" t="str">
        <f t="shared" si="1177"/>
        <v>BypassOpenStudio_all,0,</v>
      </c>
      <c r="BN396" s="31" t="str">
        <f t="shared" si="1178"/>
        <v>BypassOpenStudio_zp,0,</v>
      </c>
      <c r="BO396" s="31" t="str">
        <f t="shared" si="1179"/>
        <v>BypassOpenStudio_zb,0,</v>
      </c>
      <c r="BP396" s="31" t="str">
        <f t="shared" si="1180"/>
        <v>BypassOpenStudio_ap,0,</v>
      </c>
      <c r="BQ396" s="31" t="str">
        <f t="shared" si="1181"/>
        <v>BypassOpenStudio_ab,0,</v>
      </c>
      <c r="BR396" s="31" t="str">
        <f t="shared" si="1182"/>
        <v>BypassOpenStudio_zp,0,</v>
      </c>
      <c r="BS396" s="31" t="str">
        <f t="shared" si="1183"/>
        <v>BypassOpenStudio_zb,0,</v>
      </c>
      <c r="BT396" s="31" t="str">
        <f t="shared" si="1184"/>
        <v>BypassOpenStudio_ap,0,</v>
      </c>
      <c r="BU396" s="31" t="str">
        <f t="shared" si="1185"/>
        <v>BypassOpenStudio_ab,0,</v>
      </c>
    </row>
    <row r="397" spans="1:73" outlineLevel="1" x14ac:dyDescent="0.25">
      <c r="A397" s="39">
        <f t="shared" si="1154"/>
        <v>0</v>
      </c>
      <c r="B397" s="27" t="str">
        <f t="shared" si="1186"/>
        <v>SoftwareSensitivity2016Tests\SimplifiedGeometry\x.cibd16</v>
      </c>
      <c r="C397" s="27" t="str">
        <f t="shared" si="1187"/>
        <v>BatchOut_171026_r5178_FinalRel-v3-SSTSG_SSTSG\x.cibd16</v>
      </c>
      <c r="D397" s="27" t="str">
        <f t="shared" si="1188"/>
        <v>BatchOut_171026_r5178_FinalRel-v3-SSTSG_SSTSG\XML\</v>
      </c>
      <c r="E397" s="9" t="str">
        <f t="shared" si="1189"/>
        <v>x</v>
      </c>
      <c r="F397" s="22"/>
      <c r="G397" s="29"/>
      <c r="H397" s="23" t="str">
        <f t="shared" si="1190"/>
        <v/>
      </c>
      <c r="I397" s="9" t="s">
        <v>11</v>
      </c>
      <c r="J397"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7" s="15" t="s">
        <v>1</v>
      </c>
      <c r="L397" s="92">
        <f t="shared" si="1193"/>
        <v>0</v>
      </c>
      <c r="M397" s="91" t="str">
        <f t="shared" si="1191"/>
        <v>x</v>
      </c>
      <c r="N397" s="90" t="s">
        <v>149</v>
      </c>
      <c r="O397" s="90" t="str">
        <f t="shared" si="1156"/>
        <v>x</v>
      </c>
      <c r="P397" s="92">
        <f t="shared" ref="P397:AH397" si="1196">P396</f>
        <v>1</v>
      </c>
      <c r="Q397" s="92">
        <f t="shared" si="1196"/>
        <v>1</v>
      </c>
      <c r="R397" s="92">
        <f t="shared" si="1196"/>
        <v>0</v>
      </c>
      <c r="S397" s="92">
        <f t="shared" si="1196"/>
        <v>1</v>
      </c>
      <c r="T397" s="92">
        <f t="shared" si="1196"/>
        <v>0</v>
      </c>
      <c r="U397" s="92">
        <f t="shared" si="1196"/>
        <v>8</v>
      </c>
      <c r="V397" s="92">
        <f t="shared" si="1196"/>
        <v>8</v>
      </c>
      <c r="W397" s="92">
        <f t="shared" si="1196"/>
        <v>1</v>
      </c>
      <c r="X397" s="92">
        <f t="shared" si="1196"/>
        <v>0</v>
      </c>
      <c r="Y397" s="92">
        <f t="shared" si="1196"/>
        <v>0</v>
      </c>
      <c r="Z397" s="92">
        <f t="shared" si="1196"/>
        <v>0</v>
      </c>
      <c r="AA397" s="92">
        <f t="shared" si="1196"/>
        <v>0</v>
      </c>
      <c r="AB397" s="92">
        <f t="shared" si="1196"/>
        <v>1</v>
      </c>
      <c r="AC397" s="92">
        <f t="shared" si="1196"/>
        <v>0</v>
      </c>
      <c r="AD397" s="92">
        <f t="shared" si="1196"/>
        <v>1</v>
      </c>
      <c r="AE397" s="92">
        <f t="shared" si="1196"/>
        <v>0</v>
      </c>
      <c r="AF397" s="92">
        <f t="shared" si="1196"/>
        <v>0</v>
      </c>
      <c r="AG397" s="92">
        <f t="shared" si="1196"/>
        <v>0</v>
      </c>
      <c r="AH397" s="92">
        <f t="shared" si="1196"/>
        <v>0</v>
      </c>
      <c r="AI397" s="92">
        <f t="shared" si="1152"/>
        <v>0</v>
      </c>
      <c r="AJ397" s="92">
        <f t="shared" si="1152"/>
        <v>0</v>
      </c>
      <c r="AK397" s="92">
        <f t="shared" si="1152"/>
        <v>0</v>
      </c>
      <c r="AL397" s="92">
        <f t="shared" si="1152"/>
        <v>0</v>
      </c>
      <c r="AM397" s="92">
        <f t="shared" si="1152"/>
        <v>0</v>
      </c>
      <c r="AN397" s="92">
        <f t="shared" si="1152"/>
        <v>0</v>
      </c>
      <c r="AO397" s="92">
        <f t="shared" si="1152"/>
        <v>0</v>
      </c>
      <c r="AP397" s="92">
        <f t="shared" si="1152"/>
        <v>0</v>
      </c>
      <c r="AQ397" s="92">
        <f t="shared" si="1153"/>
        <v>0</v>
      </c>
      <c r="AR397" s="92">
        <f t="shared" si="1146"/>
        <v>0</v>
      </c>
      <c r="AS397" s="31" t="str">
        <f t="shared" si="1157"/>
        <v>SimulationStorage,1,</v>
      </c>
      <c r="AT397" s="31" t="str">
        <f t="shared" si="1158"/>
        <v>AnalysisStorage,1,</v>
      </c>
      <c r="AU397" s="31" t="str">
        <f t="shared" si="1159"/>
        <v>LogRuleEvaluation,0,</v>
      </c>
      <c r="AV397" s="31" t="str">
        <f t="shared" si="1160"/>
        <v>ParallelSimulations,1,</v>
      </c>
      <c r="AW397" s="31" t="str">
        <f t="shared" si="1161"/>
        <v>DurationStats,0,</v>
      </c>
      <c r="AX397" s="31" t="str">
        <f t="shared" si="1162"/>
        <v>AnalysisThruStep,8,</v>
      </c>
      <c r="AY397" s="31" t="str">
        <f t="shared" si="1163"/>
        <v>DontAbortOnErrorsThruStep,8,</v>
      </c>
      <c r="AZ397" s="31" t="str">
        <f t="shared" si="1164"/>
        <v>BypassValidFileChecks,1,</v>
      </c>
      <c r="BA397" s="31" t="str">
        <f t="shared" si="1165"/>
        <v>BypassInputChecks,0,</v>
      </c>
      <c r="BB397" s="31" t="str">
        <f t="shared" si="1166"/>
        <v>BypassUMLHChecks,0,</v>
      </c>
      <c r="BC397" s="31" t="str">
        <f t="shared" si="1167"/>
        <v>BypassCheckSimRules,0,</v>
      </c>
      <c r="BD397" s="31" t="str">
        <f t="shared" si="1168"/>
        <v>BypassCheckCodeRules,0,</v>
      </c>
      <c r="BE397" s="31" t="str">
        <f t="shared" si="1169"/>
        <v>StoreResultsToModelInput,1,</v>
      </c>
      <c r="BF397" s="31" t="str">
        <f t="shared" si="1170"/>
        <v>StoreBEMDetails,0,</v>
      </c>
      <c r="BG397" s="31" t="str">
        <f t="shared" si="1171"/>
        <v>ModelRpt_ALL,1,</v>
      </c>
      <c r="BH397" s="31" t="str">
        <f t="shared" si="1172"/>
        <v>ExportHourlyResults_All,0,</v>
      </c>
      <c r="BI397" s="31" t="str">
        <f t="shared" si="1173"/>
        <v>ComplianceReportPDF,0,</v>
      </c>
      <c r="BJ397" s="31" t="str">
        <f t="shared" si="1174"/>
        <v>ComplianceReportXML,0,</v>
      </c>
      <c r="BK397" s="31" t="str">
        <f t="shared" si="1175"/>
        <v>QuickAnalysis,0,</v>
      </c>
      <c r="BL397" s="31" t="str">
        <f t="shared" si="1176"/>
        <v>PromptUserUMLHWarning,0,</v>
      </c>
      <c r="BM397" s="31" t="str">
        <f t="shared" si="1177"/>
        <v>BypassOpenStudio_all,0,</v>
      </c>
      <c r="BN397" s="31" t="str">
        <f t="shared" si="1178"/>
        <v>BypassOpenStudio_zp,0,</v>
      </c>
      <c r="BO397" s="31" t="str">
        <f t="shared" si="1179"/>
        <v>BypassOpenStudio_zb,0,</v>
      </c>
      <c r="BP397" s="31" t="str">
        <f t="shared" si="1180"/>
        <v>BypassOpenStudio_ap,0,</v>
      </c>
      <c r="BQ397" s="31" t="str">
        <f t="shared" si="1181"/>
        <v>BypassOpenStudio_ab,0,</v>
      </c>
      <c r="BR397" s="31" t="str">
        <f t="shared" si="1182"/>
        <v>BypassOpenStudio_zp,0,</v>
      </c>
      <c r="BS397" s="31" t="str">
        <f t="shared" si="1183"/>
        <v>BypassOpenStudio_zb,0,</v>
      </c>
      <c r="BT397" s="31" t="str">
        <f t="shared" si="1184"/>
        <v>BypassOpenStudio_ap,0,</v>
      </c>
      <c r="BU397" s="31" t="str">
        <f t="shared" si="1185"/>
        <v>BypassOpenStudio_ab,0,</v>
      </c>
    </row>
    <row r="398" spans="1:73" outlineLevel="1" x14ac:dyDescent="0.25">
      <c r="A398" s="39">
        <f t="shared" si="1154"/>
        <v>0</v>
      </c>
      <c r="B398" s="27" t="str">
        <f t="shared" si="1186"/>
        <v>SoftwareSensitivity2016Tests\SimplifiedGeometry\x.cibd16</v>
      </c>
      <c r="C398" s="27" t="str">
        <f t="shared" si="1187"/>
        <v>BatchOut_171026_r5178_FinalRel-v3-SSTSG_SSTSG\x.cibd16</v>
      </c>
      <c r="D398" s="27" t="str">
        <f t="shared" si="1188"/>
        <v>BatchOut_171026_r5178_FinalRel-v3-SSTSG_SSTSG\XML\</v>
      </c>
      <c r="E398" s="9" t="str">
        <f t="shared" si="1189"/>
        <v>x</v>
      </c>
      <c r="F398" s="22"/>
      <c r="G398" s="29"/>
      <c r="H398" s="23" t="str">
        <f t="shared" si="1190"/>
        <v/>
      </c>
      <c r="I398" s="9" t="s">
        <v>11</v>
      </c>
      <c r="J398"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8" s="15" t="s">
        <v>1</v>
      </c>
      <c r="L398" s="92">
        <f t="shared" si="1193"/>
        <v>0</v>
      </c>
      <c r="M398" s="91" t="str">
        <f t="shared" si="1191"/>
        <v>x</v>
      </c>
      <c r="N398" s="90" t="s">
        <v>149</v>
      </c>
      <c r="O398" s="90" t="str">
        <f t="shared" si="1156"/>
        <v>x</v>
      </c>
      <c r="P398" s="92">
        <f t="shared" ref="P398:AH398" si="1197">P397</f>
        <v>1</v>
      </c>
      <c r="Q398" s="92">
        <f t="shared" si="1197"/>
        <v>1</v>
      </c>
      <c r="R398" s="92">
        <f t="shared" si="1197"/>
        <v>0</v>
      </c>
      <c r="S398" s="92">
        <f t="shared" si="1197"/>
        <v>1</v>
      </c>
      <c r="T398" s="92">
        <f t="shared" si="1197"/>
        <v>0</v>
      </c>
      <c r="U398" s="92">
        <f t="shared" si="1197"/>
        <v>8</v>
      </c>
      <c r="V398" s="92">
        <f t="shared" si="1197"/>
        <v>8</v>
      </c>
      <c r="W398" s="92">
        <f t="shared" si="1197"/>
        <v>1</v>
      </c>
      <c r="X398" s="92">
        <f t="shared" si="1197"/>
        <v>0</v>
      </c>
      <c r="Y398" s="92">
        <f t="shared" si="1197"/>
        <v>0</v>
      </c>
      <c r="Z398" s="92">
        <f t="shared" si="1197"/>
        <v>0</v>
      </c>
      <c r="AA398" s="92">
        <f t="shared" si="1197"/>
        <v>0</v>
      </c>
      <c r="AB398" s="92">
        <f t="shared" si="1197"/>
        <v>1</v>
      </c>
      <c r="AC398" s="92">
        <f t="shared" si="1197"/>
        <v>0</v>
      </c>
      <c r="AD398" s="92">
        <f t="shared" si="1197"/>
        <v>1</v>
      </c>
      <c r="AE398" s="92">
        <f t="shared" si="1197"/>
        <v>0</v>
      </c>
      <c r="AF398" s="92">
        <f t="shared" si="1197"/>
        <v>0</v>
      </c>
      <c r="AG398" s="92">
        <f t="shared" si="1197"/>
        <v>0</v>
      </c>
      <c r="AH398" s="92">
        <f t="shared" si="1197"/>
        <v>0</v>
      </c>
      <c r="AI398" s="92">
        <f t="shared" si="1152"/>
        <v>0</v>
      </c>
      <c r="AJ398" s="92">
        <f t="shared" si="1152"/>
        <v>0</v>
      </c>
      <c r="AK398" s="92">
        <f t="shared" si="1152"/>
        <v>0</v>
      </c>
      <c r="AL398" s="92">
        <f t="shared" si="1152"/>
        <v>0</v>
      </c>
      <c r="AM398" s="92">
        <f t="shared" si="1152"/>
        <v>0</v>
      </c>
      <c r="AN398" s="92">
        <f t="shared" si="1152"/>
        <v>0</v>
      </c>
      <c r="AO398" s="92">
        <f t="shared" si="1152"/>
        <v>0</v>
      </c>
      <c r="AP398" s="92">
        <f t="shared" si="1152"/>
        <v>0</v>
      </c>
      <c r="AQ398" s="92">
        <f t="shared" si="1153"/>
        <v>0</v>
      </c>
      <c r="AR398" s="92">
        <f t="shared" si="1146"/>
        <v>0</v>
      </c>
      <c r="AS398" s="31" t="str">
        <f t="shared" si="1157"/>
        <v>SimulationStorage,1,</v>
      </c>
      <c r="AT398" s="31" t="str">
        <f t="shared" si="1158"/>
        <v>AnalysisStorage,1,</v>
      </c>
      <c r="AU398" s="31" t="str">
        <f t="shared" si="1159"/>
        <v>LogRuleEvaluation,0,</v>
      </c>
      <c r="AV398" s="31" t="str">
        <f t="shared" si="1160"/>
        <v>ParallelSimulations,1,</v>
      </c>
      <c r="AW398" s="31" t="str">
        <f t="shared" si="1161"/>
        <v>DurationStats,0,</v>
      </c>
      <c r="AX398" s="31" t="str">
        <f t="shared" si="1162"/>
        <v>AnalysisThruStep,8,</v>
      </c>
      <c r="AY398" s="31" t="str">
        <f t="shared" si="1163"/>
        <v>DontAbortOnErrorsThruStep,8,</v>
      </c>
      <c r="AZ398" s="31" t="str">
        <f t="shared" si="1164"/>
        <v>BypassValidFileChecks,1,</v>
      </c>
      <c r="BA398" s="31" t="str">
        <f t="shared" si="1165"/>
        <v>BypassInputChecks,0,</v>
      </c>
      <c r="BB398" s="31" t="str">
        <f t="shared" si="1166"/>
        <v>BypassUMLHChecks,0,</v>
      </c>
      <c r="BC398" s="31" t="str">
        <f t="shared" si="1167"/>
        <v>BypassCheckSimRules,0,</v>
      </c>
      <c r="BD398" s="31" t="str">
        <f t="shared" si="1168"/>
        <v>BypassCheckCodeRules,0,</v>
      </c>
      <c r="BE398" s="31" t="str">
        <f t="shared" si="1169"/>
        <v>StoreResultsToModelInput,1,</v>
      </c>
      <c r="BF398" s="31" t="str">
        <f t="shared" si="1170"/>
        <v>StoreBEMDetails,0,</v>
      </c>
      <c r="BG398" s="31" t="str">
        <f t="shared" si="1171"/>
        <v>ModelRpt_ALL,1,</v>
      </c>
      <c r="BH398" s="31" t="str">
        <f t="shared" si="1172"/>
        <v>ExportHourlyResults_All,0,</v>
      </c>
      <c r="BI398" s="31" t="str">
        <f t="shared" si="1173"/>
        <v>ComplianceReportPDF,0,</v>
      </c>
      <c r="BJ398" s="31" t="str">
        <f t="shared" si="1174"/>
        <v>ComplianceReportXML,0,</v>
      </c>
      <c r="BK398" s="31" t="str">
        <f t="shared" si="1175"/>
        <v>QuickAnalysis,0,</v>
      </c>
      <c r="BL398" s="31" t="str">
        <f t="shared" si="1176"/>
        <v>PromptUserUMLHWarning,0,</v>
      </c>
      <c r="BM398" s="31" t="str">
        <f t="shared" si="1177"/>
        <v>BypassOpenStudio_all,0,</v>
      </c>
      <c r="BN398" s="31" t="str">
        <f t="shared" si="1178"/>
        <v>BypassOpenStudio_zp,0,</v>
      </c>
      <c r="BO398" s="31" t="str">
        <f t="shared" si="1179"/>
        <v>BypassOpenStudio_zb,0,</v>
      </c>
      <c r="BP398" s="31" t="str">
        <f t="shared" si="1180"/>
        <v>BypassOpenStudio_ap,0,</v>
      </c>
      <c r="BQ398" s="31" t="str">
        <f t="shared" si="1181"/>
        <v>BypassOpenStudio_ab,0,</v>
      </c>
      <c r="BR398" s="31" t="str">
        <f t="shared" si="1182"/>
        <v>BypassOpenStudio_zp,0,</v>
      </c>
      <c r="BS398" s="31" t="str">
        <f t="shared" si="1183"/>
        <v>BypassOpenStudio_zb,0,</v>
      </c>
      <c r="BT398" s="31" t="str">
        <f t="shared" si="1184"/>
        <v>BypassOpenStudio_ap,0,</v>
      </c>
      <c r="BU398" s="31" t="str">
        <f t="shared" si="1185"/>
        <v>BypassOpenStudio_ab,0,</v>
      </c>
    </row>
    <row r="399" spans="1:73" outlineLevel="1" x14ac:dyDescent="0.25">
      <c r="A399" s="39">
        <f t="shared" si="1154"/>
        <v>0</v>
      </c>
      <c r="B399" s="27" t="str">
        <f t="shared" si="1186"/>
        <v>SoftwareSensitivity2016Tests\SimplifiedGeometry\x.cibd16</v>
      </c>
      <c r="C399" s="27" t="str">
        <f t="shared" si="1187"/>
        <v>BatchOut_171026_r5178_FinalRel-v3-SSTSG_SSTSG\x.cibd16</v>
      </c>
      <c r="D399" s="27" t="str">
        <f t="shared" si="1188"/>
        <v>BatchOut_171026_r5178_FinalRel-v3-SSTSG_SSTSG\XML\</v>
      </c>
      <c r="E399" s="9" t="str">
        <f t="shared" si="1189"/>
        <v>x</v>
      </c>
      <c r="F399" s="22"/>
      <c r="G399" s="29"/>
      <c r="H399" s="23" t="str">
        <f t="shared" si="1190"/>
        <v/>
      </c>
      <c r="I399" s="9" t="s">
        <v>11</v>
      </c>
      <c r="J399"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9" s="15" t="s">
        <v>1</v>
      </c>
      <c r="L399" s="92">
        <f t="shared" si="1193"/>
        <v>0</v>
      </c>
      <c r="M399" s="91" t="str">
        <f t="shared" si="1191"/>
        <v>x</v>
      </c>
      <c r="N399" s="90" t="s">
        <v>149</v>
      </c>
      <c r="O399" s="90" t="str">
        <f t="shared" si="1156"/>
        <v>x</v>
      </c>
      <c r="P399" s="92">
        <f t="shared" ref="P399:AH399" si="1198">P398</f>
        <v>1</v>
      </c>
      <c r="Q399" s="92">
        <f t="shared" si="1198"/>
        <v>1</v>
      </c>
      <c r="R399" s="92">
        <f t="shared" si="1198"/>
        <v>0</v>
      </c>
      <c r="S399" s="92">
        <f t="shared" si="1198"/>
        <v>1</v>
      </c>
      <c r="T399" s="92">
        <f t="shared" si="1198"/>
        <v>0</v>
      </c>
      <c r="U399" s="92">
        <f t="shared" si="1198"/>
        <v>8</v>
      </c>
      <c r="V399" s="92">
        <f t="shared" si="1198"/>
        <v>8</v>
      </c>
      <c r="W399" s="92">
        <f t="shared" si="1198"/>
        <v>1</v>
      </c>
      <c r="X399" s="92">
        <f t="shared" si="1198"/>
        <v>0</v>
      </c>
      <c r="Y399" s="92">
        <f t="shared" si="1198"/>
        <v>0</v>
      </c>
      <c r="Z399" s="92">
        <f t="shared" si="1198"/>
        <v>0</v>
      </c>
      <c r="AA399" s="92">
        <f t="shared" si="1198"/>
        <v>0</v>
      </c>
      <c r="AB399" s="92">
        <f t="shared" si="1198"/>
        <v>1</v>
      </c>
      <c r="AC399" s="92">
        <f t="shared" si="1198"/>
        <v>0</v>
      </c>
      <c r="AD399" s="92">
        <f t="shared" si="1198"/>
        <v>1</v>
      </c>
      <c r="AE399" s="92">
        <f t="shared" si="1198"/>
        <v>0</v>
      </c>
      <c r="AF399" s="92">
        <f t="shared" si="1198"/>
        <v>0</v>
      </c>
      <c r="AG399" s="92">
        <f t="shared" si="1198"/>
        <v>0</v>
      </c>
      <c r="AH399" s="92">
        <f t="shared" si="1198"/>
        <v>0</v>
      </c>
      <c r="AI399" s="92">
        <f t="shared" si="1152"/>
        <v>0</v>
      </c>
      <c r="AJ399" s="92">
        <f t="shared" si="1152"/>
        <v>0</v>
      </c>
      <c r="AK399" s="92">
        <f t="shared" si="1152"/>
        <v>0</v>
      </c>
      <c r="AL399" s="92">
        <f t="shared" si="1152"/>
        <v>0</v>
      </c>
      <c r="AM399" s="92">
        <f t="shared" si="1152"/>
        <v>0</v>
      </c>
      <c r="AN399" s="92">
        <f t="shared" si="1152"/>
        <v>0</v>
      </c>
      <c r="AO399" s="92">
        <f t="shared" ref="AO399:AP402" si="1199">AO398</f>
        <v>0</v>
      </c>
      <c r="AP399" s="92">
        <f t="shared" si="1199"/>
        <v>0</v>
      </c>
      <c r="AQ399" s="92">
        <f t="shared" si="1153"/>
        <v>0</v>
      </c>
      <c r="AR399" s="92">
        <f t="shared" si="1146"/>
        <v>0</v>
      </c>
      <c r="AS399" s="31" t="str">
        <f t="shared" si="1157"/>
        <v>SimulationStorage,1,</v>
      </c>
      <c r="AT399" s="31" t="str">
        <f t="shared" si="1158"/>
        <v>AnalysisStorage,1,</v>
      </c>
      <c r="AU399" s="31" t="str">
        <f t="shared" si="1159"/>
        <v>LogRuleEvaluation,0,</v>
      </c>
      <c r="AV399" s="31" t="str">
        <f t="shared" si="1160"/>
        <v>ParallelSimulations,1,</v>
      </c>
      <c r="AW399" s="31" t="str">
        <f t="shared" si="1161"/>
        <v>DurationStats,0,</v>
      </c>
      <c r="AX399" s="31" t="str">
        <f t="shared" si="1162"/>
        <v>AnalysisThruStep,8,</v>
      </c>
      <c r="AY399" s="31" t="str">
        <f t="shared" si="1163"/>
        <v>DontAbortOnErrorsThruStep,8,</v>
      </c>
      <c r="AZ399" s="31" t="str">
        <f t="shared" si="1164"/>
        <v>BypassValidFileChecks,1,</v>
      </c>
      <c r="BA399" s="31" t="str">
        <f t="shared" si="1165"/>
        <v>BypassInputChecks,0,</v>
      </c>
      <c r="BB399" s="31" t="str">
        <f t="shared" si="1166"/>
        <v>BypassUMLHChecks,0,</v>
      </c>
      <c r="BC399" s="31" t="str">
        <f t="shared" si="1167"/>
        <v>BypassCheckSimRules,0,</v>
      </c>
      <c r="BD399" s="31" t="str">
        <f t="shared" si="1168"/>
        <v>BypassCheckCodeRules,0,</v>
      </c>
      <c r="BE399" s="31" t="str">
        <f t="shared" si="1169"/>
        <v>StoreResultsToModelInput,1,</v>
      </c>
      <c r="BF399" s="31" t="str">
        <f t="shared" si="1170"/>
        <v>StoreBEMDetails,0,</v>
      </c>
      <c r="BG399" s="31" t="str">
        <f t="shared" si="1171"/>
        <v>ModelRpt_ALL,1,</v>
      </c>
      <c r="BH399" s="31" t="str">
        <f t="shared" si="1172"/>
        <v>ExportHourlyResults_All,0,</v>
      </c>
      <c r="BI399" s="31" t="str">
        <f t="shared" si="1173"/>
        <v>ComplianceReportPDF,0,</v>
      </c>
      <c r="BJ399" s="31" t="str">
        <f t="shared" si="1174"/>
        <v>ComplianceReportXML,0,</v>
      </c>
      <c r="BK399" s="31" t="str">
        <f t="shared" si="1175"/>
        <v>QuickAnalysis,0,</v>
      </c>
      <c r="BL399" s="31" t="str">
        <f t="shared" si="1176"/>
        <v>PromptUserUMLHWarning,0,</v>
      </c>
      <c r="BM399" s="31" t="str">
        <f t="shared" si="1177"/>
        <v>BypassOpenStudio_all,0,</v>
      </c>
      <c r="BN399" s="31" t="str">
        <f t="shared" si="1178"/>
        <v>BypassOpenStudio_zp,0,</v>
      </c>
      <c r="BO399" s="31" t="str">
        <f t="shared" si="1179"/>
        <v>BypassOpenStudio_zb,0,</v>
      </c>
      <c r="BP399" s="31" t="str">
        <f t="shared" si="1180"/>
        <v>BypassOpenStudio_ap,0,</v>
      </c>
      <c r="BQ399" s="31" t="str">
        <f t="shared" si="1181"/>
        <v>BypassOpenStudio_ab,0,</v>
      </c>
      <c r="BR399" s="31" t="str">
        <f t="shared" si="1182"/>
        <v>BypassOpenStudio_zp,0,</v>
      </c>
      <c r="BS399" s="31" t="str">
        <f t="shared" si="1183"/>
        <v>BypassOpenStudio_zb,0,</v>
      </c>
      <c r="BT399" s="31" t="str">
        <f t="shared" si="1184"/>
        <v>BypassOpenStudio_ap,0,</v>
      </c>
      <c r="BU399" s="31" t="str">
        <f t="shared" si="1185"/>
        <v>BypassOpenStudio_ab,0,</v>
      </c>
    </row>
    <row r="400" spans="1:73" outlineLevel="1" x14ac:dyDescent="0.25">
      <c r="A400" s="39">
        <f t="shared" si="1154"/>
        <v>0</v>
      </c>
      <c r="B400" s="27" t="str">
        <f t="shared" si="1186"/>
        <v>SoftwareSensitivity2016Tests\SimplifiedGeometry\x.cibd16</v>
      </c>
      <c r="C400" s="27" t="str">
        <f t="shared" si="1187"/>
        <v>BatchOut_171026_r5178_FinalRel-v3-SSTSG_SSTSG\x.cibd16</v>
      </c>
      <c r="D400" s="27" t="str">
        <f t="shared" si="1188"/>
        <v>BatchOut_171026_r5178_FinalRel-v3-SSTSG_SSTSG\XML\</v>
      </c>
      <c r="E400" s="9" t="str">
        <f t="shared" si="1189"/>
        <v>x</v>
      </c>
      <c r="F400" s="22"/>
      <c r="G400" s="29"/>
      <c r="H400" s="23" t="str">
        <f t="shared" si="1190"/>
        <v/>
      </c>
      <c r="I400" s="9" t="s">
        <v>11</v>
      </c>
      <c r="J400"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0" s="15" t="s">
        <v>1</v>
      </c>
      <c r="L400" s="92">
        <v>0</v>
      </c>
      <c r="M400" s="91" t="str">
        <f t="shared" si="1191"/>
        <v>x</v>
      </c>
      <c r="N400" s="90" t="s">
        <v>149</v>
      </c>
      <c r="O400" s="90" t="str">
        <f t="shared" si="1156"/>
        <v>x</v>
      </c>
      <c r="P400" s="92">
        <f t="shared" ref="P400:AO402" si="1200">P399</f>
        <v>1</v>
      </c>
      <c r="Q400" s="92">
        <f t="shared" si="1200"/>
        <v>1</v>
      </c>
      <c r="R400" s="92">
        <f t="shared" si="1200"/>
        <v>0</v>
      </c>
      <c r="S400" s="92">
        <f t="shared" si="1200"/>
        <v>1</v>
      </c>
      <c r="T400" s="92">
        <f t="shared" si="1200"/>
        <v>0</v>
      </c>
      <c r="U400" s="92">
        <f t="shared" si="1200"/>
        <v>8</v>
      </c>
      <c r="V400" s="92">
        <f t="shared" si="1200"/>
        <v>8</v>
      </c>
      <c r="W400" s="92">
        <f t="shared" si="1200"/>
        <v>1</v>
      </c>
      <c r="X400" s="92">
        <f t="shared" si="1200"/>
        <v>0</v>
      </c>
      <c r="Y400" s="92">
        <f t="shared" si="1200"/>
        <v>0</v>
      </c>
      <c r="Z400" s="92">
        <f t="shared" si="1200"/>
        <v>0</v>
      </c>
      <c r="AA400" s="92">
        <f t="shared" si="1200"/>
        <v>0</v>
      </c>
      <c r="AB400" s="92">
        <f t="shared" si="1200"/>
        <v>1</v>
      </c>
      <c r="AC400" s="92">
        <f t="shared" si="1200"/>
        <v>0</v>
      </c>
      <c r="AD400" s="92">
        <f t="shared" si="1200"/>
        <v>1</v>
      </c>
      <c r="AE400" s="92">
        <f t="shared" si="1200"/>
        <v>0</v>
      </c>
      <c r="AF400" s="92">
        <f t="shared" si="1200"/>
        <v>0</v>
      </c>
      <c r="AG400" s="92">
        <f t="shared" si="1200"/>
        <v>0</v>
      </c>
      <c r="AH400" s="92">
        <f t="shared" si="1200"/>
        <v>0</v>
      </c>
      <c r="AI400" s="92">
        <f t="shared" si="1200"/>
        <v>0</v>
      </c>
      <c r="AJ400" s="92">
        <f t="shared" si="1200"/>
        <v>0</v>
      </c>
      <c r="AK400" s="92">
        <f t="shared" si="1200"/>
        <v>0</v>
      </c>
      <c r="AL400" s="92">
        <f t="shared" si="1200"/>
        <v>0</v>
      </c>
      <c r="AM400" s="92">
        <f t="shared" si="1200"/>
        <v>0</v>
      </c>
      <c r="AN400" s="92">
        <f t="shared" si="1200"/>
        <v>0</v>
      </c>
      <c r="AO400" s="92">
        <f t="shared" si="1200"/>
        <v>0</v>
      </c>
      <c r="AP400" s="92">
        <f t="shared" si="1199"/>
        <v>0</v>
      </c>
      <c r="AQ400" s="92">
        <f t="shared" si="1153"/>
        <v>0</v>
      </c>
      <c r="AR400" s="92">
        <f t="shared" si="1146"/>
        <v>0</v>
      </c>
      <c r="AS400" s="31" t="str">
        <f t="shared" si="1157"/>
        <v>SimulationStorage,1,</v>
      </c>
      <c r="AT400" s="31" t="str">
        <f t="shared" si="1158"/>
        <v>AnalysisStorage,1,</v>
      </c>
      <c r="AU400" s="31" t="str">
        <f t="shared" si="1159"/>
        <v>LogRuleEvaluation,0,</v>
      </c>
      <c r="AV400" s="31" t="str">
        <f t="shared" si="1160"/>
        <v>ParallelSimulations,1,</v>
      </c>
      <c r="AW400" s="31" t="str">
        <f t="shared" si="1161"/>
        <v>DurationStats,0,</v>
      </c>
      <c r="AX400" s="31" t="str">
        <f t="shared" si="1162"/>
        <v>AnalysisThruStep,8,</v>
      </c>
      <c r="AY400" s="31" t="str">
        <f t="shared" si="1163"/>
        <v>DontAbortOnErrorsThruStep,8,</v>
      </c>
      <c r="AZ400" s="31" t="str">
        <f t="shared" si="1164"/>
        <v>BypassValidFileChecks,1,</v>
      </c>
      <c r="BA400" s="31" t="str">
        <f t="shared" si="1165"/>
        <v>BypassInputChecks,0,</v>
      </c>
      <c r="BB400" s="31" t="str">
        <f t="shared" si="1166"/>
        <v>BypassUMLHChecks,0,</v>
      </c>
      <c r="BC400" s="31" t="str">
        <f t="shared" si="1167"/>
        <v>BypassCheckSimRules,0,</v>
      </c>
      <c r="BD400" s="31" t="str">
        <f t="shared" si="1168"/>
        <v>BypassCheckCodeRules,0,</v>
      </c>
      <c r="BE400" s="31" t="str">
        <f t="shared" si="1169"/>
        <v>StoreResultsToModelInput,1,</v>
      </c>
      <c r="BF400" s="31" t="str">
        <f t="shared" si="1170"/>
        <v>StoreBEMDetails,0,</v>
      </c>
      <c r="BG400" s="31" t="str">
        <f t="shared" si="1171"/>
        <v>ModelRpt_ALL,1,</v>
      </c>
      <c r="BH400" s="31" t="str">
        <f t="shared" si="1172"/>
        <v>ExportHourlyResults_All,0,</v>
      </c>
      <c r="BI400" s="31" t="str">
        <f t="shared" si="1173"/>
        <v>ComplianceReportPDF,0,</v>
      </c>
      <c r="BJ400" s="31" t="str">
        <f t="shared" si="1174"/>
        <v>ComplianceReportXML,0,</v>
      </c>
      <c r="BK400" s="31" t="str">
        <f t="shared" si="1175"/>
        <v>QuickAnalysis,0,</v>
      </c>
      <c r="BL400" s="31" t="str">
        <f t="shared" si="1176"/>
        <v>PromptUserUMLHWarning,0,</v>
      </c>
      <c r="BM400" s="31" t="str">
        <f t="shared" si="1177"/>
        <v>BypassOpenStudio_all,0,</v>
      </c>
      <c r="BN400" s="31" t="str">
        <f t="shared" si="1178"/>
        <v>BypassOpenStudio_zp,0,</v>
      </c>
      <c r="BO400" s="31" t="str">
        <f t="shared" si="1179"/>
        <v>BypassOpenStudio_zb,0,</v>
      </c>
      <c r="BP400" s="31" t="str">
        <f t="shared" si="1180"/>
        <v>BypassOpenStudio_ap,0,</v>
      </c>
      <c r="BQ400" s="31" t="str">
        <f t="shared" si="1181"/>
        <v>BypassOpenStudio_ab,0,</v>
      </c>
      <c r="BR400" s="31" t="str">
        <f t="shared" si="1182"/>
        <v>BypassOpenStudio_zp,0,</v>
      </c>
      <c r="BS400" s="31" t="str">
        <f t="shared" si="1183"/>
        <v>BypassOpenStudio_zb,0,</v>
      </c>
      <c r="BT400" s="31" t="str">
        <f t="shared" si="1184"/>
        <v>BypassOpenStudio_ap,0,</v>
      </c>
      <c r="BU400" s="31" t="str">
        <f t="shared" si="1185"/>
        <v>BypassOpenStudio_ab,0,</v>
      </c>
    </row>
    <row r="401" spans="1:73" outlineLevel="1" x14ac:dyDescent="0.25">
      <c r="A401" s="39">
        <f t="shared" si="1154"/>
        <v>0</v>
      </c>
      <c r="B401" s="27" t="str">
        <f t="shared" si="1186"/>
        <v>SoftwareSensitivity2016Tests\SimplifiedGeometry\x.cibd16</v>
      </c>
      <c r="C401" s="27" t="str">
        <f t="shared" si="1187"/>
        <v>BatchOut_171026_r5178_FinalRel-v3-SSTSG_SSTSG\x.cibd16</v>
      </c>
      <c r="D401" s="27" t="str">
        <f t="shared" si="1188"/>
        <v>BatchOut_171026_r5178_FinalRel-v3-SSTSG_SSTSG\XML\</v>
      </c>
      <c r="E401" s="9" t="str">
        <f t="shared" si="1189"/>
        <v>x</v>
      </c>
      <c r="F401" s="22"/>
      <c r="G401" s="29"/>
      <c r="H401" s="23" t="str">
        <f t="shared" si="1190"/>
        <v/>
      </c>
      <c r="I401" s="9" t="s">
        <v>11</v>
      </c>
      <c r="J401"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1" s="15" t="s">
        <v>1</v>
      </c>
      <c r="L401" s="92">
        <f t="shared" si="1193"/>
        <v>0</v>
      </c>
      <c r="M401" s="91" t="str">
        <f t="shared" si="1191"/>
        <v>x</v>
      </c>
      <c r="N401" s="90" t="s">
        <v>149</v>
      </c>
      <c r="O401" s="90" t="str">
        <f t="shared" si="1156"/>
        <v>x</v>
      </c>
      <c r="P401" s="92">
        <f t="shared" ref="P401:AH401" si="1201">P400</f>
        <v>1</v>
      </c>
      <c r="Q401" s="92">
        <f t="shared" si="1201"/>
        <v>1</v>
      </c>
      <c r="R401" s="92">
        <f t="shared" si="1201"/>
        <v>0</v>
      </c>
      <c r="S401" s="92">
        <f t="shared" si="1201"/>
        <v>1</v>
      </c>
      <c r="T401" s="92">
        <f t="shared" si="1201"/>
        <v>0</v>
      </c>
      <c r="U401" s="92">
        <f t="shared" si="1201"/>
        <v>8</v>
      </c>
      <c r="V401" s="92">
        <f t="shared" si="1201"/>
        <v>8</v>
      </c>
      <c r="W401" s="92">
        <f t="shared" si="1201"/>
        <v>1</v>
      </c>
      <c r="X401" s="92">
        <f t="shared" si="1201"/>
        <v>0</v>
      </c>
      <c r="Y401" s="92">
        <f t="shared" si="1201"/>
        <v>0</v>
      </c>
      <c r="Z401" s="92">
        <f t="shared" si="1201"/>
        <v>0</v>
      </c>
      <c r="AA401" s="92">
        <f t="shared" si="1201"/>
        <v>0</v>
      </c>
      <c r="AB401" s="92">
        <f t="shared" si="1201"/>
        <v>1</v>
      </c>
      <c r="AC401" s="92">
        <f t="shared" si="1201"/>
        <v>0</v>
      </c>
      <c r="AD401" s="92">
        <f t="shared" si="1201"/>
        <v>1</v>
      </c>
      <c r="AE401" s="92">
        <f t="shared" si="1201"/>
        <v>0</v>
      </c>
      <c r="AF401" s="92">
        <f t="shared" si="1201"/>
        <v>0</v>
      </c>
      <c r="AG401" s="92">
        <f t="shared" si="1201"/>
        <v>0</v>
      </c>
      <c r="AH401" s="92">
        <f t="shared" si="1201"/>
        <v>0</v>
      </c>
      <c r="AI401" s="92">
        <f t="shared" si="1200"/>
        <v>0</v>
      </c>
      <c r="AJ401" s="92">
        <f t="shared" si="1200"/>
        <v>0</v>
      </c>
      <c r="AK401" s="92">
        <f t="shared" si="1200"/>
        <v>0</v>
      </c>
      <c r="AL401" s="92">
        <f t="shared" si="1200"/>
        <v>0</v>
      </c>
      <c r="AM401" s="92">
        <f t="shared" si="1200"/>
        <v>0</v>
      </c>
      <c r="AN401" s="92">
        <f t="shared" si="1200"/>
        <v>0</v>
      </c>
      <c r="AO401" s="92">
        <f t="shared" si="1200"/>
        <v>0</v>
      </c>
      <c r="AP401" s="92">
        <f t="shared" si="1199"/>
        <v>0</v>
      </c>
      <c r="AQ401" s="92">
        <f t="shared" si="1153"/>
        <v>0</v>
      </c>
      <c r="AR401" s="92">
        <f t="shared" si="1146"/>
        <v>0</v>
      </c>
      <c r="AS401" s="31" t="str">
        <f t="shared" si="1157"/>
        <v>SimulationStorage,1,</v>
      </c>
      <c r="AT401" s="31" t="str">
        <f t="shared" si="1158"/>
        <v>AnalysisStorage,1,</v>
      </c>
      <c r="AU401" s="31" t="str">
        <f t="shared" si="1159"/>
        <v>LogRuleEvaluation,0,</v>
      </c>
      <c r="AV401" s="31" t="str">
        <f t="shared" si="1160"/>
        <v>ParallelSimulations,1,</v>
      </c>
      <c r="AW401" s="31" t="str">
        <f t="shared" si="1161"/>
        <v>DurationStats,0,</v>
      </c>
      <c r="AX401" s="31" t="str">
        <f t="shared" si="1162"/>
        <v>AnalysisThruStep,8,</v>
      </c>
      <c r="AY401" s="31" t="str">
        <f t="shared" si="1163"/>
        <v>DontAbortOnErrorsThruStep,8,</v>
      </c>
      <c r="AZ401" s="31" t="str">
        <f t="shared" si="1164"/>
        <v>BypassValidFileChecks,1,</v>
      </c>
      <c r="BA401" s="31" t="str">
        <f t="shared" si="1165"/>
        <v>BypassInputChecks,0,</v>
      </c>
      <c r="BB401" s="31" t="str">
        <f t="shared" si="1166"/>
        <v>BypassUMLHChecks,0,</v>
      </c>
      <c r="BC401" s="31" t="str">
        <f t="shared" si="1167"/>
        <v>BypassCheckSimRules,0,</v>
      </c>
      <c r="BD401" s="31" t="str">
        <f t="shared" si="1168"/>
        <v>BypassCheckCodeRules,0,</v>
      </c>
      <c r="BE401" s="31" t="str">
        <f t="shared" si="1169"/>
        <v>StoreResultsToModelInput,1,</v>
      </c>
      <c r="BF401" s="31" t="str">
        <f t="shared" si="1170"/>
        <v>StoreBEMDetails,0,</v>
      </c>
      <c r="BG401" s="31" t="str">
        <f t="shared" si="1171"/>
        <v>ModelRpt_ALL,1,</v>
      </c>
      <c r="BH401" s="31" t="str">
        <f t="shared" si="1172"/>
        <v>ExportHourlyResults_All,0,</v>
      </c>
      <c r="BI401" s="31" t="str">
        <f t="shared" si="1173"/>
        <v>ComplianceReportPDF,0,</v>
      </c>
      <c r="BJ401" s="31" t="str">
        <f t="shared" si="1174"/>
        <v>ComplianceReportXML,0,</v>
      </c>
      <c r="BK401" s="31" t="str">
        <f t="shared" si="1175"/>
        <v>QuickAnalysis,0,</v>
      </c>
      <c r="BL401" s="31" t="str">
        <f t="shared" si="1176"/>
        <v>PromptUserUMLHWarning,0,</v>
      </c>
      <c r="BM401" s="31" t="str">
        <f t="shared" si="1177"/>
        <v>BypassOpenStudio_all,0,</v>
      </c>
      <c r="BN401" s="31" t="str">
        <f t="shared" si="1178"/>
        <v>BypassOpenStudio_zp,0,</v>
      </c>
      <c r="BO401" s="31" t="str">
        <f t="shared" si="1179"/>
        <v>BypassOpenStudio_zb,0,</v>
      </c>
      <c r="BP401" s="31" t="str">
        <f t="shared" si="1180"/>
        <v>BypassOpenStudio_ap,0,</v>
      </c>
      <c r="BQ401" s="31" t="str">
        <f t="shared" si="1181"/>
        <v>BypassOpenStudio_ab,0,</v>
      </c>
      <c r="BR401" s="31" t="str">
        <f t="shared" si="1182"/>
        <v>BypassOpenStudio_zp,0,</v>
      </c>
      <c r="BS401" s="31" t="str">
        <f t="shared" si="1183"/>
        <v>BypassOpenStudio_zb,0,</v>
      </c>
      <c r="BT401" s="31" t="str">
        <f t="shared" si="1184"/>
        <v>BypassOpenStudio_ap,0,</v>
      </c>
      <c r="BU401" s="31" t="str">
        <f t="shared" si="1185"/>
        <v>BypassOpenStudio_ab,0,</v>
      </c>
    </row>
    <row r="402" spans="1:73" outlineLevel="1" x14ac:dyDescent="0.25">
      <c r="A402" s="39">
        <f t="shared" si="1154"/>
        <v>0</v>
      </c>
      <c r="B402" s="27" t="str">
        <f t="shared" si="1186"/>
        <v>SoftwareSensitivity2016Tests\SimplifiedGeometry\x.cibd16</v>
      </c>
      <c r="C402" s="27" t="str">
        <f t="shared" si="1187"/>
        <v>BatchOut_171026_r5178_FinalRel-v3-SSTSG_SSTSG\x.cibd16</v>
      </c>
      <c r="D402" s="27" t="str">
        <f t="shared" si="1188"/>
        <v>BatchOut_171026_r5178_FinalRel-v3-SSTSG_SSTSG\XML\</v>
      </c>
      <c r="E402" s="9" t="str">
        <f t="shared" si="1189"/>
        <v>x</v>
      </c>
      <c r="F402" s="22"/>
      <c r="G402" s="29"/>
      <c r="H402" s="23" t="str">
        <f t="shared" si="1190"/>
        <v/>
      </c>
      <c r="I402" s="9" t="s">
        <v>11</v>
      </c>
      <c r="J402" s="87" t="str">
        <f t="shared" si="115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2" s="15" t="s">
        <v>1</v>
      </c>
      <c r="L402" s="92">
        <f t="shared" si="1193"/>
        <v>0</v>
      </c>
      <c r="M402" s="91" t="str">
        <f t="shared" si="1191"/>
        <v>x</v>
      </c>
      <c r="N402" s="90" t="s">
        <v>149</v>
      </c>
      <c r="O402" s="90" t="str">
        <f t="shared" si="1156"/>
        <v>x</v>
      </c>
      <c r="P402" s="92">
        <f t="shared" ref="P402:AH402" si="1202">P401</f>
        <v>1</v>
      </c>
      <c r="Q402" s="92">
        <f t="shared" si="1202"/>
        <v>1</v>
      </c>
      <c r="R402" s="92">
        <f t="shared" si="1202"/>
        <v>0</v>
      </c>
      <c r="S402" s="92">
        <f t="shared" si="1202"/>
        <v>1</v>
      </c>
      <c r="T402" s="92">
        <f t="shared" si="1202"/>
        <v>0</v>
      </c>
      <c r="U402" s="92">
        <f t="shared" si="1202"/>
        <v>8</v>
      </c>
      <c r="V402" s="92">
        <f t="shared" si="1202"/>
        <v>8</v>
      </c>
      <c r="W402" s="92">
        <f t="shared" si="1202"/>
        <v>1</v>
      </c>
      <c r="X402" s="92">
        <f t="shared" si="1202"/>
        <v>0</v>
      </c>
      <c r="Y402" s="92">
        <f t="shared" si="1202"/>
        <v>0</v>
      </c>
      <c r="Z402" s="92">
        <f t="shared" si="1202"/>
        <v>0</v>
      </c>
      <c r="AA402" s="92">
        <f t="shared" si="1202"/>
        <v>0</v>
      </c>
      <c r="AB402" s="92">
        <f t="shared" si="1202"/>
        <v>1</v>
      </c>
      <c r="AC402" s="92">
        <f t="shared" si="1202"/>
        <v>0</v>
      </c>
      <c r="AD402" s="92">
        <f t="shared" si="1202"/>
        <v>1</v>
      </c>
      <c r="AE402" s="92">
        <f t="shared" si="1202"/>
        <v>0</v>
      </c>
      <c r="AF402" s="92">
        <f t="shared" si="1202"/>
        <v>0</v>
      </c>
      <c r="AG402" s="92">
        <f t="shared" si="1202"/>
        <v>0</v>
      </c>
      <c r="AH402" s="92">
        <f t="shared" si="1202"/>
        <v>0</v>
      </c>
      <c r="AI402" s="92">
        <f t="shared" si="1200"/>
        <v>0</v>
      </c>
      <c r="AJ402" s="92">
        <f t="shared" si="1200"/>
        <v>0</v>
      </c>
      <c r="AK402" s="92">
        <f t="shared" si="1200"/>
        <v>0</v>
      </c>
      <c r="AL402" s="92">
        <f t="shared" si="1200"/>
        <v>0</v>
      </c>
      <c r="AM402" s="92">
        <f t="shared" si="1200"/>
        <v>0</v>
      </c>
      <c r="AN402" s="92">
        <f t="shared" si="1200"/>
        <v>0</v>
      </c>
      <c r="AO402" s="92">
        <f t="shared" si="1200"/>
        <v>0</v>
      </c>
      <c r="AP402" s="92">
        <f t="shared" si="1199"/>
        <v>0</v>
      </c>
      <c r="AQ402" s="92">
        <f t="shared" si="1153"/>
        <v>0</v>
      </c>
      <c r="AR402" s="92">
        <f t="shared" si="1146"/>
        <v>0</v>
      </c>
      <c r="AS402" s="31" t="str">
        <f t="shared" si="1157"/>
        <v>SimulationStorage,1,</v>
      </c>
      <c r="AT402" s="31" t="str">
        <f t="shared" si="1158"/>
        <v>AnalysisStorage,1,</v>
      </c>
      <c r="AU402" s="31" t="str">
        <f t="shared" si="1159"/>
        <v>LogRuleEvaluation,0,</v>
      </c>
      <c r="AV402" s="31" t="str">
        <f t="shared" si="1160"/>
        <v>ParallelSimulations,1,</v>
      </c>
      <c r="AW402" s="31" t="str">
        <f t="shared" si="1161"/>
        <v>DurationStats,0,</v>
      </c>
      <c r="AX402" s="31" t="str">
        <f t="shared" si="1162"/>
        <v>AnalysisThruStep,8,</v>
      </c>
      <c r="AY402" s="31" t="str">
        <f t="shared" si="1163"/>
        <v>DontAbortOnErrorsThruStep,8,</v>
      </c>
      <c r="AZ402" s="31" t="str">
        <f t="shared" si="1164"/>
        <v>BypassValidFileChecks,1,</v>
      </c>
      <c r="BA402" s="31" t="str">
        <f t="shared" si="1165"/>
        <v>BypassInputChecks,0,</v>
      </c>
      <c r="BB402" s="31" t="str">
        <f t="shared" si="1166"/>
        <v>BypassUMLHChecks,0,</v>
      </c>
      <c r="BC402" s="31" t="str">
        <f t="shared" si="1167"/>
        <v>BypassCheckSimRules,0,</v>
      </c>
      <c r="BD402" s="31" t="str">
        <f t="shared" si="1168"/>
        <v>BypassCheckCodeRules,0,</v>
      </c>
      <c r="BE402" s="31" t="str">
        <f t="shared" si="1169"/>
        <v>StoreResultsToModelInput,1,</v>
      </c>
      <c r="BF402" s="31" t="str">
        <f t="shared" si="1170"/>
        <v>StoreBEMDetails,0,</v>
      </c>
      <c r="BG402" s="31" t="str">
        <f t="shared" si="1171"/>
        <v>ModelRpt_ALL,1,</v>
      </c>
      <c r="BH402" s="31" t="str">
        <f t="shared" si="1172"/>
        <v>ExportHourlyResults_All,0,</v>
      </c>
      <c r="BI402" s="31" t="str">
        <f t="shared" si="1173"/>
        <v>ComplianceReportPDF,0,</v>
      </c>
      <c r="BJ402" s="31" t="str">
        <f t="shared" si="1174"/>
        <v>ComplianceReportXML,0,</v>
      </c>
      <c r="BK402" s="31" t="str">
        <f t="shared" si="1175"/>
        <v>QuickAnalysis,0,</v>
      </c>
      <c r="BL402" s="31" t="str">
        <f t="shared" si="1176"/>
        <v>PromptUserUMLHWarning,0,</v>
      </c>
      <c r="BM402" s="31" t="str">
        <f t="shared" si="1177"/>
        <v>BypassOpenStudio_all,0,</v>
      </c>
      <c r="BN402" s="31" t="str">
        <f t="shared" si="1178"/>
        <v>BypassOpenStudio_zp,0,</v>
      </c>
      <c r="BO402" s="31" t="str">
        <f t="shared" si="1179"/>
        <v>BypassOpenStudio_zb,0,</v>
      </c>
      <c r="BP402" s="31" t="str">
        <f t="shared" si="1180"/>
        <v>BypassOpenStudio_ap,0,</v>
      </c>
      <c r="BQ402" s="31" t="str">
        <f t="shared" si="1181"/>
        <v>BypassOpenStudio_ab,0,</v>
      </c>
      <c r="BR402" s="31" t="str">
        <f t="shared" si="1182"/>
        <v>BypassOpenStudio_zp,0,</v>
      </c>
      <c r="BS402" s="31" t="str">
        <f t="shared" si="1183"/>
        <v>BypassOpenStudio_zb,0,</v>
      </c>
      <c r="BT402" s="31" t="str">
        <f t="shared" si="1184"/>
        <v>BypassOpenStudio_ap,0,</v>
      </c>
      <c r="BU402" s="31" t="str">
        <f t="shared" si="1185"/>
        <v>BypassOpenStudio_ab,0,</v>
      </c>
    </row>
    <row r="403" spans="1:73" x14ac:dyDescent="0.25">
      <c r="A403" s="10">
        <v>-1</v>
      </c>
      <c r="B403" s="6"/>
      <c r="C403" s="6"/>
      <c r="D403" s="6"/>
      <c r="E403" s="6"/>
      <c r="F403" s="6"/>
      <c r="G403" s="6"/>
      <c r="H403" s="6"/>
      <c r="I403" s="6"/>
      <c r="J403" s="88"/>
    </row>
  </sheetData>
  <sortState ref="N265">
    <sortCondition ref="N265"/>
  </sortState>
  <mergeCells count="6">
    <mergeCell ref="AJ261:AR261"/>
    <mergeCell ref="AJ15:AN15"/>
    <mergeCell ref="AO15:AR15"/>
    <mergeCell ref="AJ69:AR69"/>
    <mergeCell ref="AJ114:AR114"/>
    <mergeCell ref="AJ37:AR37"/>
  </mergeCells>
  <conditionalFormatting sqref="P17:AE17 P34:AD40 P65:AD72 P111:AD117 P75:U101 AD75:AD105 W75:AC101 V75:V105 P74:AD74 P119:AD255 AJ119:AR255 AJ74:AR101 AJ111:AR117 AJ65:AR72 P18:AD31 AJ17:AR31 AJ33:AR40 P41:AR59 P62:AR63">
    <cfRule type="cellIs" dxfId="85" priority="135" operator="equal">
      <formula>P16</formula>
    </cfRule>
  </conditionalFormatting>
  <conditionalFormatting sqref="P64:AD64 AJ64:AR64">
    <cfRule type="cellIs" dxfId="84" priority="137" operator="equal">
      <formula>P31</formula>
    </cfRule>
  </conditionalFormatting>
  <conditionalFormatting sqref="P32:AD32 AJ32:AR32">
    <cfRule type="cellIs" dxfId="83" priority="133" operator="equal">
      <formula>P12</formula>
    </cfRule>
  </conditionalFormatting>
  <conditionalFormatting sqref="P109:AD109 AJ109:AR109">
    <cfRule type="cellIs" dxfId="82" priority="142" operator="equal">
      <formula>P101</formula>
    </cfRule>
  </conditionalFormatting>
  <conditionalFormatting sqref="P102:U105 AJ102:AR105 W102:AC105">
    <cfRule type="cellIs" dxfId="81" priority="125" operator="equal">
      <formula>P101</formula>
    </cfRule>
  </conditionalFormatting>
  <conditionalFormatting sqref="P110:AD110 AJ110:AR110">
    <cfRule type="cellIs" dxfId="80" priority="143" operator="equal">
      <formula>#REF!</formula>
    </cfRule>
  </conditionalFormatting>
  <conditionalFormatting sqref="P33:AD33">
    <cfRule type="cellIs" dxfId="79" priority="144" operator="equal">
      <formula>P32</formula>
    </cfRule>
  </conditionalFormatting>
  <conditionalFormatting sqref="P73:AD73 AJ73:AR73">
    <cfRule type="cellIs" dxfId="78" priority="117" operator="equal">
      <formula>P72</formula>
    </cfRule>
  </conditionalFormatting>
  <conditionalFormatting sqref="P118:AD118 AJ118:AR118">
    <cfRule type="cellIs" dxfId="77" priority="116" operator="equal">
      <formula>P117</formula>
    </cfRule>
  </conditionalFormatting>
  <conditionalFormatting sqref="AE34:AE40 AE65:AE72 AE111:AE117 AE74:AE105 AE119:AE255 AE18:AE31">
    <cfRule type="cellIs" dxfId="76" priority="110" operator="equal">
      <formula>AE17</formula>
    </cfRule>
  </conditionalFormatting>
  <conditionalFormatting sqref="AE64">
    <cfRule type="cellIs" dxfId="75" priority="111" operator="equal">
      <formula>AE31</formula>
    </cfRule>
  </conditionalFormatting>
  <conditionalFormatting sqref="AE32">
    <cfRule type="cellIs" dxfId="74" priority="109" operator="equal">
      <formula>AE12</formula>
    </cfRule>
  </conditionalFormatting>
  <conditionalFormatting sqref="AE109">
    <cfRule type="cellIs" dxfId="73" priority="113" operator="equal">
      <formula>AE101</formula>
    </cfRule>
  </conditionalFormatting>
  <conditionalFormatting sqref="AE110">
    <cfRule type="cellIs" dxfId="72" priority="114" operator="equal">
      <formula>#REF!</formula>
    </cfRule>
  </conditionalFormatting>
  <conditionalFormatting sqref="AE33">
    <cfRule type="cellIs" dxfId="71" priority="115" operator="equal">
      <formula>AE32</formula>
    </cfRule>
  </conditionalFormatting>
  <conditionalFormatting sqref="AE73">
    <cfRule type="cellIs" dxfId="70" priority="102" operator="equal">
      <formula>AE72</formula>
    </cfRule>
  </conditionalFormatting>
  <conditionalFormatting sqref="AE118">
    <cfRule type="cellIs" dxfId="69" priority="101" operator="equal">
      <formula>AE117</formula>
    </cfRule>
  </conditionalFormatting>
  <conditionalFormatting sqref="AF17">
    <cfRule type="cellIs" dxfId="68" priority="100" operator="equal">
      <formula>AF16</formula>
    </cfRule>
  </conditionalFormatting>
  <conditionalFormatting sqref="AF34:AF40 AF65:AF72 AF111:AF117 AF74:AF105 AF119:AF255 AF18:AF31">
    <cfRule type="cellIs" dxfId="67" priority="94" operator="equal">
      <formula>AF17</formula>
    </cfRule>
  </conditionalFormatting>
  <conditionalFormatting sqref="AF64">
    <cfRule type="cellIs" dxfId="66" priority="95" operator="equal">
      <formula>AF31</formula>
    </cfRule>
  </conditionalFormatting>
  <conditionalFormatting sqref="AF32">
    <cfRule type="cellIs" dxfId="65" priority="93" operator="equal">
      <formula>AF12</formula>
    </cfRule>
  </conditionalFormatting>
  <conditionalFormatting sqref="AF109">
    <cfRule type="cellIs" dxfId="64" priority="97" operator="equal">
      <formula>AF101</formula>
    </cfRule>
  </conditionalFormatting>
  <conditionalFormatting sqref="AF110">
    <cfRule type="cellIs" dxfId="63" priority="98" operator="equal">
      <formula>#REF!</formula>
    </cfRule>
  </conditionalFormatting>
  <conditionalFormatting sqref="AF33">
    <cfRule type="cellIs" dxfId="62" priority="99" operator="equal">
      <formula>AF32</formula>
    </cfRule>
  </conditionalFormatting>
  <conditionalFormatting sqref="AF73">
    <cfRule type="cellIs" dxfId="61" priority="86" operator="equal">
      <formula>AF72</formula>
    </cfRule>
  </conditionalFormatting>
  <conditionalFormatting sqref="AF118">
    <cfRule type="cellIs" dxfId="60" priority="85" operator="equal">
      <formula>AF117</formula>
    </cfRule>
  </conditionalFormatting>
  <conditionalFormatting sqref="AG17">
    <cfRule type="cellIs" dxfId="59" priority="84" operator="equal">
      <formula>AG16</formula>
    </cfRule>
  </conditionalFormatting>
  <conditionalFormatting sqref="AG34:AG40 AG65:AG72 AG111:AG117 AG74:AG105 AG119:AG255 AG18:AG31">
    <cfRule type="cellIs" dxfId="58" priority="78" operator="equal">
      <formula>AG17</formula>
    </cfRule>
  </conditionalFormatting>
  <conditionalFormatting sqref="AG64">
    <cfRule type="cellIs" dxfId="57" priority="79" operator="equal">
      <formula>AG31</formula>
    </cfRule>
  </conditionalFormatting>
  <conditionalFormatting sqref="AG32">
    <cfRule type="cellIs" dxfId="56" priority="77" operator="equal">
      <formula>AG12</formula>
    </cfRule>
  </conditionalFormatting>
  <conditionalFormatting sqref="AG109">
    <cfRule type="cellIs" dxfId="55" priority="81" operator="equal">
      <formula>AG101</formula>
    </cfRule>
  </conditionalFormatting>
  <conditionalFormatting sqref="AG110">
    <cfRule type="cellIs" dxfId="54" priority="82" operator="equal">
      <formula>#REF!</formula>
    </cfRule>
  </conditionalFormatting>
  <conditionalFormatting sqref="AG33">
    <cfRule type="cellIs" dxfId="53" priority="83" operator="equal">
      <formula>AG32</formula>
    </cfRule>
  </conditionalFormatting>
  <conditionalFormatting sqref="AG73">
    <cfRule type="cellIs" dxfId="52" priority="70" operator="equal">
      <formula>AG72</formula>
    </cfRule>
  </conditionalFormatting>
  <conditionalFormatting sqref="AG118">
    <cfRule type="cellIs" dxfId="51" priority="69" operator="equal">
      <formula>AG117</formula>
    </cfRule>
  </conditionalFormatting>
  <conditionalFormatting sqref="AH17:AI17">
    <cfRule type="cellIs" dxfId="50" priority="68" operator="equal">
      <formula>AH16</formula>
    </cfRule>
  </conditionalFormatting>
  <conditionalFormatting sqref="AH34:AH40 AH65:AH72 AH111:AH117 AH74:AH105 AH119:AH255 AH18:AH31">
    <cfRule type="cellIs" dxfId="49" priority="62" operator="equal">
      <formula>AH17</formula>
    </cfRule>
  </conditionalFormatting>
  <conditionalFormatting sqref="AH64">
    <cfRule type="cellIs" dxfId="48" priority="63" operator="equal">
      <formula>AH31</formula>
    </cfRule>
  </conditionalFormatting>
  <conditionalFormatting sqref="AH32">
    <cfRule type="cellIs" dxfId="47" priority="61" operator="equal">
      <formula>AH12</formula>
    </cfRule>
  </conditionalFormatting>
  <conditionalFormatting sqref="AH109">
    <cfRule type="cellIs" dxfId="46" priority="65" operator="equal">
      <formula>AH101</formula>
    </cfRule>
  </conditionalFormatting>
  <conditionalFormatting sqref="AH110">
    <cfRule type="cellIs" dxfId="45" priority="66" operator="equal">
      <formula>#REF!</formula>
    </cfRule>
  </conditionalFormatting>
  <conditionalFormatting sqref="AH33">
    <cfRule type="cellIs" dxfId="44" priority="67" operator="equal">
      <formula>AH32</formula>
    </cfRule>
  </conditionalFormatting>
  <conditionalFormatting sqref="AH73">
    <cfRule type="cellIs" dxfId="43" priority="54" operator="equal">
      <formula>AH72</formula>
    </cfRule>
  </conditionalFormatting>
  <conditionalFormatting sqref="AH118">
    <cfRule type="cellIs" dxfId="42" priority="53" operator="equal">
      <formula>AH117</formula>
    </cfRule>
  </conditionalFormatting>
  <conditionalFormatting sqref="AI34:AI40 AI65:AI72 AI111:AI117 AI74:AI105 AI119:AI255 AI18:AI31">
    <cfRule type="cellIs" dxfId="41" priority="47" operator="equal">
      <formula>AI17</formula>
    </cfRule>
  </conditionalFormatting>
  <conditionalFormatting sqref="AI64">
    <cfRule type="cellIs" dxfId="40" priority="48" operator="equal">
      <formula>AI31</formula>
    </cfRule>
  </conditionalFormatting>
  <conditionalFormatting sqref="AI32">
    <cfRule type="cellIs" dxfId="39" priority="46" operator="equal">
      <formula>AI12</formula>
    </cfRule>
  </conditionalFormatting>
  <conditionalFormatting sqref="AI109">
    <cfRule type="cellIs" dxfId="38" priority="50" operator="equal">
      <formula>AI101</formula>
    </cfRule>
  </conditionalFormatting>
  <conditionalFormatting sqref="AI110">
    <cfRule type="cellIs" dxfId="37" priority="51" operator="equal">
      <formula>#REF!</formula>
    </cfRule>
  </conditionalFormatting>
  <conditionalFormatting sqref="AI33">
    <cfRule type="cellIs" dxfId="36" priority="52" operator="equal">
      <formula>AI32</formula>
    </cfRule>
  </conditionalFormatting>
  <conditionalFormatting sqref="AI73">
    <cfRule type="cellIs" dxfId="35" priority="43" operator="equal">
      <formula>AI72</formula>
    </cfRule>
  </conditionalFormatting>
  <conditionalFormatting sqref="AI118">
    <cfRule type="cellIs" dxfId="34" priority="42" operator="equal">
      <formula>AI117</formula>
    </cfRule>
  </conditionalFormatting>
  <conditionalFormatting sqref="P61:AR61">
    <cfRule type="cellIs" dxfId="33" priority="146" operator="equal">
      <formula>P59</formula>
    </cfRule>
  </conditionalFormatting>
  <conditionalFormatting sqref="P60:AR60">
    <cfRule type="cellIs" dxfId="32" priority="40" operator="equal">
      <formula>P59</formula>
    </cfRule>
  </conditionalFormatting>
  <conditionalFormatting sqref="AD106:AD108 V106:V108">
    <cfRule type="cellIs" dxfId="31" priority="32" operator="equal">
      <formula>V105</formula>
    </cfRule>
  </conditionalFormatting>
  <conditionalFormatting sqref="P106:U108 AJ106:AR108 W106:AC108">
    <cfRule type="cellIs" dxfId="30" priority="31" operator="equal">
      <formula>P105</formula>
    </cfRule>
  </conditionalFormatting>
  <conditionalFormatting sqref="AE106:AE108">
    <cfRule type="cellIs" dxfId="29" priority="30" operator="equal">
      <formula>AE105</formula>
    </cfRule>
  </conditionalFormatting>
  <conditionalFormatting sqref="AF106:AF108">
    <cfRule type="cellIs" dxfId="28" priority="29" operator="equal">
      <formula>AF105</formula>
    </cfRule>
  </conditionalFormatting>
  <conditionalFormatting sqref="AG106:AG108">
    <cfRule type="cellIs" dxfId="27" priority="28" operator="equal">
      <formula>AG105</formula>
    </cfRule>
  </conditionalFormatting>
  <conditionalFormatting sqref="AH106:AH108">
    <cfRule type="cellIs" dxfId="26" priority="27" operator="equal">
      <formula>AH105</formula>
    </cfRule>
  </conditionalFormatting>
  <conditionalFormatting sqref="AI106:AI108">
    <cfRule type="cellIs" dxfId="25" priority="26" operator="equal">
      <formula>AI105</formula>
    </cfRule>
  </conditionalFormatting>
  <conditionalFormatting sqref="P258:AD264 P266:AD402 AJ266:AR402 AJ258:AR264">
    <cfRule type="cellIs" dxfId="24" priority="23" operator="equal">
      <formula>P257</formula>
    </cfRule>
  </conditionalFormatting>
  <conditionalFormatting sqref="P256:AD256 AJ256:AR256">
    <cfRule type="cellIs" dxfId="23" priority="24" operator="equal">
      <formula>P248</formula>
    </cfRule>
  </conditionalFormatting>
  <conditionalFormatting sqref="P257:AD257 AJ257:AR257">
    <cfRule type="cellIs" dxfId="22" priority="25" operator="equal">
      <formula>#REF!</formula>
    </cfRule>
  </conditionalFormatting>
  <conditionalFormatting sqref="P265:AD265 AJ265:AR265">
    <cfRule type="cellIs" dxfId="21" priority="22" operator="equal">
      <formula>P264</formula>
    </cfRule>
  </conditionalFormatting>
  <conditionalFormatting sqref="AE258:AE264 AE266:AE402">
    <cfRule type="cellIs" dxfId="20" priority="19" operator="equal">
      <formula>AE257</formula>
    </cfRule>
  </conditionalFormatting>
  <conditionalFormatting sqref="AE256">
    <cfRule type="cellIs" dxfId="19" priority="20" operator="equal">
      <formula>AE248</formula>
    </cfRule>
  </conditionalFormatting>
  <conditionalFormatting sqref="AE257">
    <cfRule type="cellIs" dxfId="18" priority="21" operator="equal">
      <formula>#REF!</formula>
    </cfRule>
  </conditionalFormatting>
  <conditionalFormatting sqref="AE265">
    <cfRule type="cellIs" dxfId="17" priority="18" operator="equal">
      <formula>AE264</formula>
    </cfRule>
  </conditionalFormatting>
  <conditionalFormatting sqref="AF258:AF264 AF266:AF402">
    <cfRule type="cellIs" dxfId="16" priority="15" operator="equal">
      <formula>AF257</formula>
    </cfRule>
  </conditionalFormatting>
  <conditionalFormatting sqref="AF256">
    <cfRule type="cellIs" dxfId="15" priority="16" operator="equal">
      <formula>AF248</formula>
    </cfRule>
  </conditionalFormatting>
  <conditionalFormatting sqref="AF257">
    <cfRule type="cellIs" dxfId="14" priority="17" operator="equal">
      <formula>#REF!</formula>
    </cfRule>
  </conditionalFormatting>
  <conditionalFormatting sqref="AF265">
    <cfRule type="cellIs" dxfId="13" priority="14" operator="equal">
      <formula>AF264</formula>
    </cfRule>
  </conditionalFormatting>
  <conditionalFormatting sqref="AG258:AG264 AG266:AG402">
    <cfRule type="cellIs" dxfId="12" priority="11" operator="equal">
      <formula>AG257</formula>
    </cfRule>
  </conditionalFormatting>
  <conditionalFormatting sqref="AG256">
    <cfRule type="cellIs" dxfId="11" priority="12" operator="equal">
      <formula>AG248</formula>
    </cfRule>
  </conditionalFormatting>
  <conditionalFormatting sqref="AG257">
    <cfRule type="cellIs" dxfId="10" priority="13" operator="equal">
      <formula>#REF!</formula>
    </cfRule>
  </conditionalFormatting>
  <conditionalFormatting sqref="AG265">
    <cfRule type="cellIs" dxfId="9" priority="10" operator="equal">
      <formula>AG264</formula>
    </cfRule>
  </conditionalFormatting>
  <conditionalFormatting sqref="AH258:AH264 AH266:AH402">
    <cfRule type="cellIs" dxfId="8" priority="7" operator="equal">
      <formula>AH257</formula>
    </cfRule>
  </conditionalFormatting>
  <conditionalFormatting sqref="AH256">
    <cfRule type="cellIs" dxfId="7" priority="8" operator="equal">
      <formula>AH248</formula>
    </cfRule>
  </conditionalFormatting>
  <conditionalFormatting sqref="AH257">
    <cfRule type="cellIs" dxfId="6" priority="9" operator="equal">
      <formula>#REF!</formula>
    </cfRule>
  </conditionalFormatting>
  <conditionalFormatting sqref="AH265">
    <cfRule type="cellIs" dxfId="5" priority="6" operator="equal">
      <formula>AH264</formula>
    </cfRule>
  </conditionalFormatting>
  <conditionalFormatting sqref="AI258:AI264 AI266:AI402">
    <cfRule type="cellIs" dxfId="4" priority="3" operator="equal">
      <formula>AI257</formula>
    </cfRule>
  </conditionalFormatting>
  <conditionalFormatting sqref="AI256">
    <cfRule type="cellIs" dxfId="3" priority="4" operator="equal">
      <formula>AI248</formula>
    </cfRule>
  </conditionalFormatting>
  <conditionalFormatting sqref="AI257">
    <cfRule type="cellIs" dxfId="2" priority="5" operator="equal">
      <formula>#REF!</formula>
    </cfRule>
  </conditionalFormatting>
  <conditionalFormatting sqref="AI265">
    <cfRule type="cellIs" dxfId="1" priority="2" operator="equal">
      <formula>AI264</formula>
    </cfRule>
  </conditionalFormatting>
  <conditionalFormatting sqref="N265:N363">
    <cfRule type="duplicateValues" dxfId="0"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8" r:id="rId4" name="Button 38">
              <controlPr defaultSize="0" print="0" autoFill="0" autoPict="0" macro="[0]!SaveBatchCsvCurrentSheet">
                <anchor moveWithCells="1" sizeWithCells="1">
                  <from>
                    <xdr:col>13</xdr:col>
                    <xdr:colOff>104775</xdr:colOff>
                    <xdr:row>2</xdr:row>
                    <xdr:rowOff>9525</xdr:rowOff>
                  </from>
                  <to>
                    <xdr:col>13</xdr:col>
                    <xdr:colOff>1704975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2"/>
  <sheetViews>
    <sheetView zoomScale="70" zoomScaleNormal="70" workbookViewId="0">
      <selection activeCell="M27" sqref="M27"/>
    </sheetView>
  </sheetViews>
  <sheetFormatPr defaultColWidth="9.140625"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5" style="13" customWidth="1" collapsed="1"/>
    <col min="12" max="12" width="13" style="38" customWidth="1"/>
    <col min="13" max="13" width="36" style="13"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L5" s="13"/>
      <c r="M5" s="36" t="s">
        <v>44</v>
      </c>
    </row>
    <row r="6" spans="1:30" x14ac:dyDescent="0.25">
      <c r="A6" s="2" t="s">
        <v>1</v>
      </c>
      <c r="B6" s="2"/>
      <c r="C6" s="30"/>
      <c r="D6" s="30"/>
      <c r="E6" s="16"/>
      <c r="F6" s="16"/>
      <c r="G6" s="16"/>
      <c r="H6" s="16"/>
      <c r="L6" s="13"/>
    </row>
    <row r="7" spans="1:30" x14ac:dyDescent="0.25">
      <c r="A7" s="1" t="s">
        <v>4</v>
      </c>
      <c r="B7" s="13" t="s">
        <v>18</v>
      </c>
      <c r="C7" s="30"/>
      <c r="D7" s="30"/>
      <c r="L7" s="37" t="s">
        <v>45</v>
      </c>
      <c r="M7" s="32">
        <v>140512</v>
      </c>
    </row>
    <row r="8" spans="1:30" x14ac:dyDescent="0.25">
      <c r="A8" s="1" t="s">
        <v>5</v>
      </c>
      <c r="B8" s="13" t="s">
        <v>19</v>
      </c>
      <c r="C8" s="30"/>
      <c r="D8" s="30"/>
      <c r="L8" s="14" t="s">
        <v>46</v>
      </c>
      <c r="M8" s="32" t="s">
        <v>125</v>
      </c>
    </row>
    <row r="9" spans="1:30" x14ac:dyDescent="0.25">
      <c r="A9" s="3">
        <v>2</v>
      </c>
      <c r="B9" s="4" t="str">
        <f>M9</f>
        <v>BatchResults_140512_r1953.csv</v>
      </c>
      <c r="C9" s="30" t="s">
        <v>1</v>
      </c>
      <c r="D9" s="30"/>
      <c r="E9" s="30"/>
      <c r="F9" s="30"/>
      <c r="G9" s="30"/>
      <c r="H9" s="30"/>
      <c r="I9" s="26"/>
      <c r="L9" s="35" t="s">
        <v>39</v>
      </c>
      <c r="M9" s="28" t="str">
        <f>"BatchResults_"&amp;M7&amp;"_"&amp;M8&amp;".csv"</f>
        <v>BatchResults_140512_r1953.csv</v>
      </c>
      <c r="N9" s="1" t="s">
        <v>48</v>
      </c>
    </row>
    <row r="10" spans="1:30" x14ac:dyDescent="0.25">
      <c r="A10" s="1" t="s">
        <v>1</v>
      </c>
      <c r="L10" s="14" t="s">
        <v>16</v>
      </c>
      <c r="M10" s="28"/>
      <c r="N10" s="1" t="s">
        <v>47</v>
      </c>
    </row>
    <row r="11" spans="1:30" x14ac:dyDescent="0.25">
      <c r="A11" s="1" t="s">
        <v>1</v>
      </c>
      <c r="L11" s="14" t="s">
        <v>17</v>
      </c>
      <c r="M11" s="28" t="str">
        <f>"BatchOut"&amp;"_"&amp;M7&amp;"_"&amp;M8&amp;"\"</f>
        <v>BatchOut_140512_r1953\</v>
      </c>
      <c r="N11" s="1" t="s">
        <v>47</v>
      </c>
    </row>
    <row r="12" spans="1:30" x14ac:dyDescent="0.25">
      <c r="A12" s="1" t="s">
        <v>1</v>
      </c>
      <c r="L12" s="14" t="s">
        <v>42</v>
      </c>
      <c r="M12" s="28" t="str">
        <f>M11&amp;"XML\"</f>
        <v>BatchOut_140512_r1953\XML\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13" t="s">
        <v>27</v>
      </c>
      <c r="O14" s="13"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t="shared" ref="B16:B30" si="1" xml:space="preserve"> M$10&amp;N16&amp;"\"&amp;N16&amp;".cibd"</f>
        <v>010012-SchSml-CECStd\010012-SchSml-CECStd.cibd</v>
      </c>
      <c r="C16" s="27" t="str">
        <f t="shared" ref="C16:C30" si="2" xml:space="preserve"> M$11 &amp; O16 &amp; ".cibd"</f>
        <v>BatchOut_140512_r1953\010012-SchSml-CECStd.cibd</v>
      </c>
      <c r="D16" s="27" t="str">
        <f>$M$12</f>
        <v>BatchOut_140512_r1953\XML\</v>
      </c>
      <c r="E16" s="9" t="str">
        <f>M16</f>
        <v>010012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LEFT(N16,6)&amp;IF(SUM(F16:H16)&gt;0,"_autosize","")</f>
        <v>010012</v>
      </c>
      <c r="N16" s="28" t="s">
        <v>84</v>
      </c>
      <c r="O16" s="28" t="str">
        <f>N16</f>
        <v>010012-SchSml-CECStd</v>
      </c>
      <c r="P16" s="28">
        <v>0</v>
      </c>
      <c r="Q16" s="28">
        <v>11</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1" si="4">L17</f>
        <v>1</v>
      </c>
      <c r="B17" s="27" t="str">
        <f t="shared" si="1"/>
        <v>020012-OffSml-CECStd\020012-OffSml-CECStd.cibd</v>
      </c>
      <c r="C17" s="27" t="str">
        <f t="shared" si="2"/>
        <v>BatchOut_140512_r1953\020012-OffSml-CECStd.cibd</v>
      </c>
      <c r="D17" s="27" t="str">
        <f t="shared" ref="D17:D30" si="5">$M$12</f>
        <v>BatchOut_140512_r1953\XML\</v>
      </c>
      <c r="E17" s="9" t="str">
        <f t="shared" ref="E17:E24" si="6">M17</f>
        <v>020012</v>
      </c>
      <c r="F17" s="22"/>
      <c r="G17" s="29"/>
      <c r="H17" s="23"/>
      <c r="I17" s="9" t="s">
        <v>11</v>
      </c>
      <c r="J17" s="9" t="str">
        <f t="shared" ref="J17:J30"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ref="M17:M30" si="8">LEFT(N17,6)&amp;IF(SUM(F17:H17)&gt;0,"_autosize","")</f>
        <v>020012</v>
      </c>
      <c r="N17" s="28" t="s">
        <v>85</v>
      </c>
      <c r="O17" s="28" t="str">
        <f t="shared" ref="O17:O27" si="9">N17</f>
        <v>020012-OffSml-CECStd</v>
      </c>
      <c r="P17" s="28">
        <f>P16</f>
        <v>0</v>
      </c>
      <c r="Q17" s="28">
        <f>Q16</f>
        <v>11</v>
      </c>
      <c r="R17" s="28">
        <f t="shared" ref="R17:S28" si="10">R16</f>
        <v>0</v>
      </c>
      <c r="S17" s="28">
        <f t="shared" si="10"/>
        <v>0</v>
      </c>
      <c r="T17" s="28">
        <f>T16</f>
        <v>0</v>
      </c>
      <c r="U17" s="28">
        <f t="shared" ref="U17:Y28" si="11">U16</f>
        <v>0</v>
      </c>
      <c r="V17" s="28">
        <f t="shared" si="11"/>
        <v>1</v>
      </c>
      <c r="W17" s="36">
        <v>11</v>
      </c>
      <c r="X17" s="36">
        <v>1</v>
      </c>
      <c r="Y17" s="28">
        <f>Y16</f>
        <v>0</v>
      </c>
      <c r="Z17" s="28">
        <f t="shared" ref="Z17:AA18" si="12">Z16</f>
        <v>0</v>
      </c>
      <c r="AA17" s="28">
        <f t="shared" si="12"/>
        <v>0</v>
      </c>
      <c r="AB17" s="28">
        <f>AB16</f>
        <v>0</v>
      </c>
      <c r="AC17" s="28">
        <f t="shared" ref="AC17:AC18" si="13">AC16</f>
        <v>0</v>
      </c>
      <c r="AD17" s="28">
        <f t="shared" ref="AD17:AD18" si="14">AD16</f>
        <v>0</v>
      </c>
    </row>
    <row r="18" spans="1:30" x14ac:dyDescent="0.25">
      <c r="A18" s="39">
        <f t="shared" ref="A18" si="15">L18</f>
        <v>1</v>
      </c>
      <c r="B18" s="27" t="str">
        <f t="shared" ref="B18" si="16" xml:space="preserve"> M$10&amp;N18&amp;"\"&amp;N18&amp;".cibd"</f>
        <v>020212-OffSml-SimpleGeometry\020212-OffSml-SimpleGeometry.cibd</v>
      </c>
      <c r="C18" s="27" t="str">
        <f t="shared" ref="C18" si="17" xml:space="preserve"> M$11 &amp; O18 &amp; ".cibd"</f>
        <v>BatchOut_140512_r1953\020212-OffSml-SimpleGeometry.cibd</v>
      </c>
      <c r="D18" s="27" t="str">
        <f t="shared" si="5"/>
        <v>BatchOut_140512_r1953\XML\</v>
      </c>
      <c r="E18" s="9" t="str">
        <f t="shared" ref="E18" si="18">M18</f>
        <v>020212</v>
      </c>
      <c r="F18" s="22"/>
      <c r="G18" s="29"/>
      <c r="H18" s="23"/>
      <c r="I18" s="9" t="s">
        <v>11</v>
      </c>
      <c r="J18" s="9" t="str">
        <f t="shared" ref="J18" si="19">$P$12&amp;","&amp;P18&amp;","&amp;$Q$12&amp;","&amp;Q18&amp;","&amp;$R$12&amp;","&amp;R18&amp;","&amp;$S$12&amp;","&amp;S18&amp;","&amp;$T$12&amp;","&amp;T18&amp;","&amp;$U$12&amp;","&amp;U18&amp;","&amp;$V$12&amp;","&amp;V18&amp;","&amp;$Y$12&amp;","&amp;Y18&amp;","&amp;$AB$12&amp;","&amp;AB18&amp;","&amp;$Z$12&amp;","&amp;Z18&amp;","&amp;$AC$12&amp;","&amp;AC18&amp;","&amp;$AA$12&amp;","&amp;AA18&amp;","&amp;$AD$12&amp;","&amp;AD18&amp;","&amp;$W$12&amp;","&amp;W18&amp;","&amp;$X$12&amp;","&amp;X18&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 si="20">LEFT(N18,6)&amp;IF(SUM(F18:H18)&gt;0,"_autosize","")</f>
        <v>020212</v>
      </c>
      <c r="N18" s="28" t="s">
        <v>123</v>
      </c>
      <c r="O18" s="28" t="str">
        <f t="shared" ref="O18" si="21">N18</f>
        <v>020212-OffSml-SimpleGeometry</v>
      </c>
      <c r="P18" s="28">
        <f>P17</f>
        <v>0</v>
      </c>
      <c r="Q18" s="28">
        <f>Q17</f>
        <v>11</v>
      </c>
      <c r="R18" s="28">
        <f t="shared" si="10"/>
        <v>0</v>
      </c>
      <c r="S18" s="28">
        <f t="shared" si="10"/>
        <v>0</v>
      </c>
      <c r="T18" s="28">
        <f>T17</f>
        <v>0</v>
      </c>
      <c r="U18" s="28">
        <f t="shared" si="11"/>
        <v>0</v>
      </c>
      <c r="V18" s="28">
        <f t="shared" si="11"/>
        <v>1</v>
      </c>
      <c r="W18" s="36">
        <v>11</v>
      </c>
      <c r="X18" s="36">
        <v>1</v>
      </c>
      <c r="Y18" s="28">
        <f>Y17</f>
        <v>0</v>
      </c>
      <c r="Z18" s="28">
        <f t="shared" si="12"/>
        <v>0</v>
      </c>
      <c r="AA18" s="28">
        <f t="shared" si="12"/>
        <v>0</v>
      </c>
      <c r="AB18" s="28">
        <f>AB17</f>
        <v>0</v>
      </c>
      <c r="AC18" s="28">
        <f t="shared" si="13"/>
        <v>0</v>
      </c>
      <c r="AD18" s="28">
        <f t="shared" si="14"/>
        <v>0</v>
      </c>
    </row>
    <row r="19" spans="1:30" x14ac:dyDescent="0.25">
      <c r="A19" s="39">
        <f t="shared" si="4"/>
        <v>1</v>
      </c>
      <c r="B19" s="27" t="str">
        <f t="shared" si="1"/>
        <v>030012-OffMed-CECStd\030012-OffMed-CECStd.cibd</v>
      </c>
      <c r="C19" s="27" t="str">
        <f t="shared" si="2"/>
        <v>BatchOut_140512_r1953\030012-OffMed-CECStd.cibd</v>
      </c>
      <c r="D19" s="27" t="str">
        <f t="shared" si="5"/>
        <v>BatchOut_140512_r1953\XML\</v>
      </c>
      <c r="E19" s="9" t="str">
        <f t="shared" si="6"/>
        <v>030012</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8"/>
        <v>030012</v>
      </c>
      <c r="N19" s="28" t="s">
        <v>86</v>
      </c>
      <c r="O19" s="28" t="str">
        <f t="shared" si="9"/>
        <v>030012-OffMed-CECStd</v>
      </c>
      <c r="P19" s="28">
        <f t="shared" ref="P19:V21" si="22">P17</f>
        <v>0</v>
      </c>
      <c r="Q19" s="28">
        <f t="shared" si="22"/>
        <v>11</v>
      </c>
      <c r="R19" s="28">
        <f t="shared" si="22"/>
        <v>0</v>
      </c>
      <c r="S19" s="28">
        <f t="shared" si="22"/>
        <v>0</v>
      </c>
      <c r="T19" s="28">
        <f t="shared" si="22"/>
        <v>0</v>
      </c>
      <c r="U19" s="28">
        <f t="shared" si="22"/>
        <v>0</v>
      </c>
      <c r="V19" s="28">
        <f t="shared" si="22"/>
        <v>1</v>
      </c>
      <c r="W19" s="36">
        <v>11</v>
      </c>
      <c r="X19" s="36">
        <v>1</v>
      </c>
      <c r="Y19" s="28">
        <f t="shared" ref="Y19:AD21" si="23">Y17</f>
        <v>0</v>
      </c>
      <c r="Z19" s="28">
        <f t="shared" si="23"/>
        <v>0</v>
      </c>
      <c r="AA19" s="28">
        <f t="shared" si="23"/>
        <v>0</v>
      </c>
      <c r="AB19" s="28">
        <f t="shared" si="23"/>
        <v>0</v>
      </c>
      <c r="AC19" s="28">
        <f t="shared" si="23"/>
        <v>0</v>
      </c>
      <c r="AD19" s="28">
        <f t="shared" si="23"/>
        <v>0</v>
      </c>
    </row>
    <row r="20" spans="1:30" x14ac:dyDescent="0.25">
      <c r="A20" s="39">
        <f t="shared" ref="A20" si="24">L20</f>
        <v>1</v>
      </c>
      <c r="B20" s="27" t="str">
        <f t="shared" ref="B20" si="25" xml:space="preserve"> M$10&amp;N20&amp;"\"&amp;N20&amp;".cibd"</f>
        <v>030212-OffMed-SimpleGeometry\030212-OffMed-SimpleGeometry.cibd</v>
      </c>
      <c r="C20" s="27" t="str">
        <f t="shared" ref="C20" si="26" xml:space="preserve"> M$11 &amp; O20 &amp; ".cibd"</f>
        <v>BatchOut_140512_r1953\030212-OffMed-SimpleGeometry.cibd</v>
      </c>
      <c r="D20" s="27" t="str">
        <f t="shared" si="5"/>
        <v>BatchOut_140512_r1953\XML\</v>
      </c>
      <c r="E20" s="9" t="str">
        <f t="shared" ref="E20" si="27">M20</f>
        <v>030212</v>
      </c>
      <c r="F20" s="22"/>
      <c r="G20" s="29"/>
      <c r="H20" s="23"/>
      <c r="I20" s="9" t="s">
        <v>11</v>
      </c>
      <c r="J20" s="9" t="str">
        <f t="shared" ref="J20" si="28">$P$12&amp;","&amp;P20&amp;","&amp;$Q$12&amp;","&amp;Q20&amp;","&amp;$R$12&amp;","&amp;R20&amp;","&amp;$S$12&amp;","&amp;S20&amp;","&amp;$T$12&amp;","&amp;T20&amp;","&amp;$U$12&amp;","&amp;U20&amp;","&amp;$V$12&amp;","&amp;V20&amp;","&amp;$Y$12&amp;","&amp;Y20&amp;","&amp;$AB$12&amp;","&amp;AB20&amp;","&amp;$Z$12&amp;","&amp;Z20&amp;","&amp;$AC$12&amp;","&amp;AC20&amp;","&amp;$AA$12&amp;","&amp;AA20&amp;","&amp;$AD$12&amp;","&amp;AD20&amp;","&amp;$W$12&amp;","&amp;W20&amp;","&amp;$X$12&amp;","&amp;X20&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ref="M20" si="29">LEFT(N20,6)&amp;IF(SUM(F20:H20)&gt;0,"_autosize","")</f>
        <v>030212</v>
      </c>
      <c r="N20" s="28" t="s">
        <v>124</v>
      </c>
      <c r="O20" s="28" t="str">
        <f t="shared" ref="O20" si="30">N20</f>
        <v>030212-OffMed-SimpleGeometry</v>
      </c>
      <c r="P20" s="28">
        <f t="shared" si="22"/>
        <v>0</v>
      </c>
      <c r="Q20" s="28">
        <f t="shared" si="22"/>
        <v>11</v>
      </c>
      <c r="R20" s="28">
        <f t="shared" si="22"/>
        <v>0</v>
      </c>
      <c r="S20" s="28">
        <f t="shared" si="22"/>
        <v>0</v>
      </c>
      <c r="T20" s="28">
        <f t="shared" si="22"/>
        <v>0</v>
      </c>
      <c r="U20" s="28">
        <f t="shared" si="22"/>
        <v>0</v>
      </c>
      <c r="V20" s="28">
        <f t="shared" si="22"/>
        <v>1</v>
      </c>
      <c r="W20" s="36">
        <v>11</v>
      </c>
      <c r="X20" s="36">
        <v>1</v>
      </c>
      <c r="Y20" s="28">
        <f t="shared" si="23"/>
        <v>0</v>
      </c>
      <c r="Z20" s="28">
        <f t="shared" si="23"/>
        <v>0</v>
      </c>
      <c r="AA20" s="28">
        <f t="shared" si="23"/>
        <v>0</v>
      </c>
      <c r="AB20" s="28">
        <f t="shared" si="23"/>
        <v>0</v>
      </c>
      <c r="AC20" s="28">
        <f t="shared" si="23"/>
        <v>0</v>
      </c>
      <c r="AD20" s="28">
        <f t="shared" si="23"/>
        <v>0</v>
      </c>
    </row>
    <row r="21" spans="1:30" x14ac:dyDescent="0.25">
      <c r="A21" s="39">
        <f t="shared" si="4"/>
        <v>1</v>
      </c>
      <c r="B21" s="27" t="str">
        <f t="shared" si="1"/>
        <v>040012-OffLrg-CECStd\040012-OffLrg-CECStd.cibd</v>
      </c>
      <c r="C21" s="27" t="str">
        <f t="shared" si="2"/>
        <v>BatchOut_140512_r1953\040012-OffLrg-CECStd.cibd</v>
      </c>
      <c r="D21" s="27" t="str">
        <f t="shared" si="5"/>
        <v>BatchOut_140512_r1953\XML\</v>
      </c>
      <c r="E21" s="9" t="str">
        <f t="shared" si="6"/>
        <v>040012</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8"/>
        <v>040012</v>
      </c>
      <c r="N21" s="28" t="s">
        <v>87</v>
      </c>
      <c r="O21" s="28" t="str">
        <f t="shared" si="9"/>
        <v>040012-OffLrg-CECStd</v>
      </c>
      <c r="P21" s="28">
        <f t="shared" si="22"/>
        <v>0</v>
      </c>
      <c r="Q21" s="28">
        <f t="shared" si="22"/>
        <v>11</v>
      </c>
      <c r="R21" s="28">
        <f t="shared" si="22"/>
        <v>0</v>
      </c>
      <c r="S21" s="28">
        <f t="shared" si="22"/>
        <v>0</v>
      </c>
      <c r="T21" s="28">
        <f t="shared" si="22"/>
        <v>0</v>
      </c>
      <c r="U21" s="28">
        <f t="shared" si="22"/>
        <v>0</v>
      </c>
      <c r="V21" s="28">
        <f t="shared" si="22"/>
        <v>1</v>
      </c>
      <c r="W21" s="36">
        <v>11</v>
      </c>
      <c r="X21" s="36">
        <v>1</v>
      </c>
      <c r="Y21" s="28">
        <f t="shared" si="23"/>
        <v>0</v>
      </c>
      <c r="Z21" s="28">
        <f t="shared" si="23"/>
        <v>0</v>
      </c>
      <c r="AA21" s="28">
        <f t="shared" si="23"/>
        <v>0</v>
      </c>
      <c r="AB21" s="28">
        <f t="shared" si="23"/>
        <v>0</v>
      </c>
      <c r="AC21" s="28">
        <f t="shared" si="23"/>
        <v>0</v>
      </c>
      <c r="AD21" s="28">
        <f t="shared" si="23"/>
        <v>0</v>
      </c>
    </row>
    <row r="22" spans="1:30" x14ac:dyDescent="0.25">
      <c r="A22" s="39">
        <f t="shared" si="4"/>
        <v>1</v>
      </c>
      <c r="B22" s="27" t="str">
        <f t="shared" si="1"/>
        <v>050012-RetlMed-CECStd\050012-RetlMed-CECStd.cibd</v>
      </c>
      <c r="C22" s="27" t="str">
        <f t="shared" si="2"/>
        <v>BatchOut_140512_r1953\050012-RetlMed-CECStd.cibd</v>
      </c>
      <c r="D22" s="27" t="str">
        <f t="shared" si="5"/>
        <v>BatchOut_140512_r1953\XML\</v>
      </c>
      <c r="E22" s="9" t="str">
        <f t="shared" si="6"/>
        <v>050012</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8"/>
        <v>050012</v>
      </c>
      <c r="N22" s="28" t="s">
        <v>88</v>
      </c>
      <c r="O22" s="28" t="str">
        <f t="shared" si="9"/>
        <v>050012-RetlMed-CECStd</v>
      </c>
      <c r="P22" s="28">
        <f t="shared" ref="P22:P30" si="31">P21</f>
        <v>0</v>
      </c>
      <c r="Q22" s="28">
        <f t="shared" ref="Q22:S30" si="32">Q21</f>
        <v>11</v>
      </c>
      <c r="R22" s="28">
        <f t="shared" si="10"/>
        <v>0</v>
      </c>
      <c r="S22" s="28">
        <f t="shared" si="10"/>
        <v>0</v>
      </c>
      <c r="T22" s="28">
        <f t="shared" ref="T22:V30" si="33">T21</f>
        <v>0</v>
      </c>
      <c r="U22" s="28">
        <f t="shared" si="11"/>
        <v>0</v>
      </c>
      <c r="V22" s="28">
        <f t="shared" si="11"/>
        <v>1</v>
      </c>
      <c r="W22" s="36">
        <v>11</v>
      </c>
      <c r="X22" s="36">
        <v>1</v>
      </c>
      <c r="Y22" s="28">
        <f t="shared" si="11"/>
        <v>0</v>
      </c>
      <c r="Z22" s="28">
        <f t="shared" ref="Z22:Z30" si="34">Z21</f>
        <v>0</v>
      </c>
      <c r="AA22" s="28">
        <f t="shared" ref="AA22:AA30" si="35">AA21</f>
        <v>0</v>
      </c>
      <c r="AB22" s="28">
        <f t="shared" ref="AB22:AB30" si="36">AB21</f>
        <v>0</v>
      </c>
      <c r="AC22" s="28">
        <f t="shared" ref="AC22:AC30" si="37">AC21</f>
        <v>0</v>
      </c>
      <c r="AD22" s="28">
        <f t="shared" ref="AD22:AD30" si="38">AD21</f>
        <v>0</v>
      </c>
    </row>
    <row r="23" spans="1:30" x14ac:dyDescent="0.25">
      <c r="A23" s="39">
        <f t="shared" si="4"/>
        <v>0</v>
      </c>
      <c r="B23" s="27" t="str">
        <f t="shared" si="1"/>
        <v>060012-RstntSml-CECStd\060012-RstntSml-CECStd.cibd</v>
      </c>
      <c r="C23" s="27" t="str">
        <f t="shared" si="2"/>
        <v>BatchOut_140512_r1953\060012-RstntSml-CECStd.cibd</v>
      </c>
      <c r="D23" s="27" t="str">
        <f t="shared" si="5"/>
        <v>BatchOut_140512_r1953\XML\</v>
      </c>
      <c r="E23" s="9" t="str">
        <f t="shared" si="6"/>
        <v>060012</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0</v>
      </c>
      <c r="M23" s="32" t="str">
        <f t="shared" si="8"/>
        <v>060012</v>
      </c>
      <c r="N23" s="28" t="s">
        <v>89</v>
      </c>
      <c r="O23" s="28" t="str">
        <f t="shared" si="9"/>
        <v>060012-RstntSml-CECStd</v>
      </c>
      <c r="P23" s="28">
        <f t="shared" si="31"/>
        <v>0</v>
      </c>
      <c r="Q23" s="28">
        <f t="shared" si="32"/>
        <v>11</v>
      </c>
      <c r="R23" s="28">
        <f t="shared" si="10"/>
        <v>0</v>
      </c>
      <c r="S23" s="28">
        <f t="shared" si="10"/>
        <v>0</v>
      </c>
      <c r="T23" s="28">
        <f t="shared" si="33"/>
        <v>0</v>
      </c>
      <c r="U23" s="28">
        <f t="shared" si="11"/>
        <v>0</v>
      </c>
      <c r="V23" s="28">
        <f t="shared" si="11"/>
        <v>1</v>
      </c>
      <c r="W23" s="36">
        <v>11</v>
      </c>
      <c r="X23" s="36">
        <v>1</v>
      </c>
      <c r="Y23" s="28">
        <f t="shared" si="11"/>
        <v>0</v>
      </c>
      <c r="Z23" s="28">
        <f t="shared" si="34"/>
        <v>0</v>
      </c>
      <c r="AA23" s="28">
        <f t="shared" si="35"/>
        <v>0</v>
      </c>
      <c r="AB23" s="28">
        <f t="shared" si="36"/>
        <v>0</v>
      </c>
      <c r="AC23" s="28">
        <f t="shared" si="37"/>
        <v>0</v>
      </c>
      <c r="AD23" s="28">
        <f t="shared" si="38"/>
        <v>0</v>
      </c>
    </row>
    <row r="24" spans="1:30" x14ac:dyDescent="0.25">
      <c r="A24" s="39">
        <f t="shared" si="4"/>
        <v>1</v>
      </c>
      <c r="B24" s="27" t="str">
        <f t="shared" si="1"/>
        <v>070012-HotSml-CECStd\070012-HotSml-CECStd.cibd</v>
      </c>
      <c r="C24" s="27" t="str">
        <f t="shared" si="2"/>
        <v>BatchOut_140512_r1953\070012-HotSml-CECStd.cibd</v>
      </c>
      <c r="D24" s="27" t="str">
        <f t="shared" si="5"/>
        <v>BatchOut_140512_r1953\XML\</v>
      </c>
      <c r="E24" s="9" t="str">
        <f t="shared" si="6"/>
        <v>070012</v>
      </c>
      <c r="F24" s="22"/>
      <c r="G24" s="29"/>
      <c r="H24" s="23"/>
      <c r="I24" s="9" t="s">
        <v>11</v>
      </c>
      <c r="J24"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8"/>
        <v>070012</v>
      </c>
      <c r="N24" s="28" t="s">
        <v>90</v>
      </c>
      <c r="O24" s="28" t="str">
        <f t="shared" si="9"/>
        <v>070012-HotSml-CECStd</v>
      </c>
      <c r="P24" s="28">
        <f t="shared" si="31"/>
        <v>0</v>
      </c>
      <c r="Q24" s="28">
        <f t="shared" si="32"/>
        <v>11</v>
      </c>
      <c r="R24" s="28">
        <f t="shared" si="10"/>
        <v>0</v>
      </c>
      <c r="S24" s="28">
        <f t="shared" si="10"/>
        <v>0</v>
      </c>
      <c r="T24" s="28">
        <f t="shared" si="33"/>
        <v>0</v>
      </c>
      <c r="U24" s="28">
        <f t="shared" si="11"/>
        <v>0</v>
      </c>
      <c r="V24" s="28">
        <f t="shared" si="11"/>
        <v>1</v>
      </c>
      <c r="W24" s="36">
        <v>11</v>
      </c>
      <c r="X24" s="36">
        <v>1</v>
      </c>
      <c r="Y24" s="28">
        <f t="shared" si="11"/>
        <v>0</v>
      </c>
      <c r="Z24" s="28">
        <f t="shared" si="34"/>
        <v>0</v>
      </c>
      <c r="AA24" s="28">
        <f t="shared" si="35"/>
        <v>0</v>
      </c>
      <c r="AB24" s="28">
        <f t="shared" si="36"/>
        <v>0</v>
      </c>
      <c r="AC24" s="28">
        <f t="shared" si="37"/>
        <v>0</v>
      </c>
      <c r="AD24" s="28">
        <f t="shared" si="38"/>
        <v>0</v>
      </c>
    </row>
    <row r="25" spans="1:30" x14ac:dyDescent="0.25">
      <c r="A25" s="39">
        <f t="shared" si="4"/>
        <v>1</v>
      </c>
      <c r="B25" s="27" t="str">
        <f t="shared" si="1"/>
        <v>080012-Whse-CECStd\080012-Whse-CECStd.cibd</v>
      </c>
      <c r="C25" s="27" t="str">
        <f t="shared" si="2"/>
        <v>BatchOut_140512_r1953\080012-Whse-CECStd.cibd</v>
      </c>
      <c r="D25" s="27" t="str">
        <f t="shared" si="5"/>
        <v>BatchOut_140512_r1953\XML\</v>
      </c>
      <c r="E25" s="9" t="str">
        <f t="shared" ref="E25:E27" si="39">M25</f>
        <v>080012</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8"/>
        <v>080012</v>
      </c>
      <c r="N25" s="28" t="s">
        <v>91</v>
      </c>
      <c r="O25" s="28" t="str">
        <f t="shared" si="9"/>
        <v>080012-Whse-CECStd</v>
      </c>
      <c r="P25" s="28">
        <f t="shared" si="31"/>
        <v>0</v>
      </c>
      <c r="Q25" s="28">
        <f t="shared" si="32"/>
        <v>11</v>
      </c>
      <c r="R25" s="28">
        <f t="shared" si="10"/>
        <v>0</v>
      </c>
      <c r="S25" s="28">
        <f t="shared" si="10"/>
        <v>0</v>
      </c>
      <c r="T25" s="28">
        <f t="shared" si="33"/>
        <v>0</v>
      </c>
      <c r="U25" s="28">
        <f t="shared" si="11"/>
        <v>0</v>
      </c>
      <c r="V25" s="28">
        <f t="shared" si="11"/>
        <v>1</v>
      </c>
      <c r="W25" s="36">
        <v>11</v>
      </c>
      <c r="X25" s="36">
        <v>1</v>
      </c>
      <c r="Y25" s="28">
        <f t="shared" si="11"/>
        <v>0</v>
      </c>
      <c r="Z25" s="28">
        <f t="shared" si="34"/>
        <v>0</v>
      </c>
      <c r="AA25" s="28">
        <f t="shared" si="35"/>
        <v>0</v>
      </c>
      <c r="AB25" s="28">
        <f t="shared" si="36"/>
        <v>0</v>
      </c>
      <c r="AC25" s="28">
        <f t="shared" si="37"/>
        <v>0</v>
      </c>
      <c r="AD25" s="28">
        <f t="shared" si="38"/>
        <v>0</v>
      </c>
    </row>
    <row r="26" spans="1:30" x14ac:dyDescent="0.25">
      <c r="A26" s="39">
        <f t="shared" si="4"/>
        <v>1</v>
      </c>
      <c r="B26" s="27" t="str">
        <f t="shared" si="1"/>
        <v>090012-RetlLrg-CECStd\090012-RetlLrg-CECStd.cibd</v>
      </c>
      <c r="C26" s="27" t="str">
        <f t="shared" si="2"/>
        <v>BatchOut_140512_r1953\090012-RetlLrg-CECStd.cibd</v>
      </c>
      <c r="D26" s="27" t="str">
        <f t="shared" si="5"/>
        <v>BatchOut_140512_r1953\XML\</v>
      </c>
      <c r="E26" s="9" t="str">
        <f t="shared" si="39"/>
        <v>090012</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8"/>
        <v>090012</v>
      </c>
      <c r="N26" s="28" t="s">
        <v>92</v>
      </c>
      <c r="O26" s="28" t="str">
        <f t="shared" si="9"/>
        <v>090012-RetlLrg-CECStd</v>
      </c>
      <c r="P26" s="28">
        <f t="shared" si="31"/>
        <v>0</v>
      </c>
      <c r="Q26" s="28">
        <f t="shared" si="32"/>
        <v>11</v>
      </c>
      <c r="R26" s="28">
        <f t="shared" si="10"/>
        <v>0</v>
      </c>
      <c r="S26" s="28">
        <f t="shared" si="10"/>
        <v>0</v>
      </c>
      <c r="T26" s="28">
        <f t="shared" si="33"/>
        <v>0</v>
      </c>
      <c r="U26" s="28">
        <f t="shared" si="11"/>
        <v>0</v>
      </c>
      <c r="V26" s="28">
        <f t="shared" si="11"/>
        <v>1</v>
      </c>
      <c r="W26" s="36">
        <v>11</v>
      </c>
      <c r="X26" s="36">
        <v>1</v>
      </c>
      <c r="Y26" s="28">
        <f t="shared" si="11"/>
        <v>0</v>
      </c>
      <c r="Z26" s="28">
        <f t="shared" si="34"/>
        <v>0</v>
      </c>
      <c r="AA26" s="28">
        <f t="shared" si="35"/>
        <v>0</v>
      </c>
      <c r="AB26" s="28">
        <f t="shared" si="36"/>
        <v>0</v>
      </c>
      <c r="AC26" s="28">
        <f t="shared" si="37"/>
        <v>0</v>
      </c>
      <c r="AD26" s="28">
        <f t="shared" si="38"/>
        <v>0</v>
      </c>
    </row>
    <row r="27" spans="1:30" x14ac:dyDescent="0.25">
      <c r="A27" s="39">
        <f t="shared" si="4"/>
        <v>1</v>
      </c>
      <c r="B27" s="27" t="str">
        <f t="shared" si="1"/>
        <v>010112-SchSml-PSZ\010112-SchSml-PSZ.cibd</v>
      </c>
      <c r="C27" s="27" t="str">
        <f t="shared" si="2"/>
        <v>BatchOut_140512_r1953\010112-SchSml-PSZ.cibd</v>
      </c>
      <c r="D27" s="27" t="str">
        <f t="shared" si="5"/>
        <v>BatchOut_140512_r1953\XML\</v>
      </c>
      <c r="E27" s="9" t="str">
        <f t="shared" si="39"/>
        <v>010112</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8"/>
        <v>010112</v>
      </c>
      <c r="N27" s="28" t="s">
        <v>93</v>
      </c>
      <c r="O27" s="28" t="str">
        <f t="shared" si="9"/>
        <v>010112-SchSml-PSZ</v>
      </c>
      <c r="P27" s="28">
        <f t="shared" si="31"/>
        <v>0</v>
      </c>
      <c r="Q27" s="28">
        <f t="shared" si="32"/>
        <v>11</v>
      </c>
      <c r="R27" s="28">
        <f t="shared" si="10"/>
        <v>0</v>
      </c>
      <c r="S27" s="28">
        <f t="shared" si="10"/>
        <v>0</v>
      </c>
      <c r="T27" s="28">
        <f t="shared" si="33"/>
        <v>0</v>
      </c>
      <c r="U27" s="28">
        <f t="shared" si="11"/>
        <v>0</v>
      </c>
      <c r="V27" s="28">
        <f t="shared" si="11"/>
        <v>1</v>
      </c>
      <c r="W27" s="36">
        <v>11</v>
      </c>
      <c r="X27" s="36">
        <v>1</v>
      </c>
      <c r="Y27" s="28">
        <f t="shared" si="11"/>
        <v>0</v>
      </c>
      <c r="Z27" s="28">
        <f t="shared" si="34"/>
        <v>0</v>
      </c>
      <c r="AA27" s="28">
        <f t="shared" si="35"/>
        <v>0</v>
      </c>
      <c r="AB27" s="28">
        <f t="shared" si="36"/>
        <v>0</v>
      </c>
      <c r="AC27" s="28">
        <f t="shared" si="37"/>
        <v>0</v>
      </c>
      <c r="AD27" s="28">
        <f t="shared" si="38"/>
        <v>0</v>
      </c>
    </row>
    <row r="28" spans="1:30" x14ac:dyDescent="0.25">
      <c r="A28" s="39">
        <f t="shared" si="4"/>
        <v>1</v>
      </c>
      <c r="B28" s="27" t="str">
        <f t="shared" si="1"/>
        <v>010212-SchSml-PVAVAirZnSys\010212-SchSml-PVAVAirZnSys.cibd</v>
      </c>
      <c r="C28" s="27" t="str">
        <f t="shared" ref="C28" si="40" xml:space="preserve"> M$11 &amp; O28 &amp; ".cibd"</f>
        <v>BatchOut_140512_r1953\010212-SchSml-PVAVAirZnSys.cibd</v>
      </c>
      <c r="D28" s="27" t="str">
        <f t="shared" si="5"/>
        <v>BatchOut_140512_r1953\XML\</v>
      </c>
      <c r="E28" s="9" t="str">
        <f t="shared" ref="E28" si="41">M28</f>
        <v>010212</v>
      </c>
      <c r="F28" s="22"/>
      <c r="G28" s="29"/>
      <c r="H28" s="23"/>
      <c r="I28" s="9" t="s">
        <v>11</v>
      </c>
      <c r="J2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8"/>
        <v>010212</v>
      </c>
      <c r="N28" s="28" t="s">
        <v>94</v>
      </c>
      <c r="O28" s="28" t="str">
        <f t="shared" ref="O28" si="42">N28</f>
        <v>010212-SchSml-PVAVAirZnSys</v>
      </c>
      <c r="P28" s="28">
        <f t="shared" si="31"/>
        <v>0</v>
      </c>
      <c r="Q28" s="28">
        <f t="shared" si="32"/>
        <v>11</v>
      </c>
      <c r="R28" s="28">
        <f t="shared" si="10"/>
        <v>0</v>
      </c>
      <c r="S28" s="28">
        <f t="shared" si="10"/>
        <v>0</v>
      </c>
      <c r="T28" s="28">
        <f t="shared" si="33"/>
        <v>0</v>
      </c>
      <c r="U28" s="28">
        <f t="shared" si="11"/>
        <v>0</v>
      </c>
      <c r="V28" s="28">
        <f t="shared" si="11"/>
        <v>1</v>
      </c>
      <c r="W28" s="36">
        <v>11</v>
      </c>
      <c r="X28" s="36">
        <v>1</v>
      </c>
      <c r="Y28" s="28">
        <f t="shared" si="11"/>
        <v>0</v>
      </c>
      <c r="Z28" s="28">
        <f t="shared" si="34"/>
        <v>0</v>
      </c>
      <c r="AA28" s="28">
        <f t="shared" si="35"/>
        <v>0</v>
      </c>
      <c r="AB28" s="28">
        <f t="shared" si="36"/>
        <v>0</v>
      </c>
      <c r="AC28" s="28">
        <f t="shared" si="37"/>
        <v>0</v>
      </c>
      <c r="AD28" s="28">
        <f t="shared" si="38"/>
        <v>0</v>
      </c>
    </row>
    <row r="29" spans="1:30" x14ac:dyDescent="0.25">
      <c r="A29" s="39">
        <f t="shared" ref="A29" si="43">L29</f>
        <v>1</v>
      </c>
      <c r="B29" s="27" t="str">
        <f t="shared" ref="B29" si="44" xml:space="preserve"> M$10&amp;N29&amp;"\"&amp;N29&amp;".cibd"</f>
        <v>010312-SchSml-VAVFluidZnSys\010312-SchSml-VAVFluidZnSys.cibd</v>
      </c>
      <c r="C29" s="27" t="str">
        <f t="shared" ref="C29" si="45" xml:space="preserve"> M$11 &amp; O29 &amp; ".cibd"</f>
        <v>BatchOut_140512_r1953\010312-SchSml-VAVFluidZnSys.cibd</v>
      </c>
      <c r="D29" s="27" t="str">
        <f t="shared" si="5"/>
        <v>BatchOut_140512_r1953\XML\</v>
      </c>
      <c r="E29" s="9" t="str">
        <f t="shared" ref="E29" si="46">M29</f>
        <v>010312</v>
      </c>
      <c r="F29" s="22"/>
      <c r="G29" s="29"/>
      <c r="H29" s="23"/>
      <c r="I29" s="9" t="s">
        <v>11</v>
      </c>
      <c r="J29" s="9" t="str">
        <f t="shared" ref="J29" si="47">$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si="8"/>
        <v>010312</v>
      </c>
      <c r="N29" s="28" t="s">
        <v>95</v>
      </c>
      <c r="O29" s="28" t="str">
        <f t="shared" ref="O29:O30" si="48">N29</f>
        <v>010312-SchSml-VAVFluidZnSys</v>
      </c>
      <c r="P29" s="28">
        <f t="shared" si="31"/>
        <v>0</v>
      </c>
      <c r="Q29" s="28">
        <f t="shared" si="32"/>
        <v>11</v>
      </c>
      <c r="R29" s="28">
        <f t="shared" si="32"/>
        <v>0</v>
      </c>
      <c r="S29" s="28">
        <f t="shared" si="32"/>
        <v>0</v>
      </c>
      <c r="T29" s="28">
        <f t="shared" si="33"/>
        <v>0</v>
      </c>
      <c r="U29" s="28">
        <f t="shared" si="33"/>
        <v>0</v>
      </c>
      <c r="V29" s="28">
        <f t="shared" si="33"/>
        <v>1</v>
      </c>
      <c r="W29" s="36">
        <v>11</v>
      </c>
      <c r="X29" s="36">
        <v>1</v>
      </c>
      <c r="Y29" s="28">
        <f t="shared" ref="Y29" si="49">Y28</f>
        <v>0</v>
      </c>
      <c r="Z29" s="28">
        <f t="shared" si="34"/>
        <v>0</v>
      </c>
      <c r="AA29" s="28">
        <f t="shared" si="35"/>
        <v>0</v>
      </c>
      <c r="AB29" s="28">
        <f t="shared" si="36"/>
        <v>0</v>
      </c>
      <c r="AC29" s="28">
        <f t="shared" si="37"/>
        <v>0</v>
      </c>
      <c r="AD29" s="28">
        <f t="shared" si="38"/>
        <v>0</v>
      </c>
    </row>
    <row r="30" spans="1:30" x14ac:dyDescent="0.25">
      <c r="A30" s="39">
        <f t="shared" si="4"/>
        <v>1</v>
      </c>
      <c r="B30" s="27" t="str">
        <f t="shared" si="1"/>
        <v>040112-OffLrg-VAVPriSec\040112-OffLrg-VAVPriSec.cibd</v>
      </c>
      <c r="C30" s="27" t="str">
        <f t="shared" si="2"/>
        <v>BatchOut_140512_r1953\040112-OffLrg-VAVPriSec.cibd</v>
      </c>
      <c r="D30" s="27" t="str">
        <f t="shared" si="5"/>
        <v>BatchOut_140512_r1953\XML\</v>
      </c>
      <c r="E30" s="9" t="str">
        <f>M30</f>
        <v>040112</v>
      </c>
      <c r="F30" s="22"/>
      <c r="G30" s="29"/>
      <c r="H30" s="23"/>
      <c r="I30" s="9" t="s">
        <v>11</v>
      </c>
      <c r="J3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8"/>
        <v>040112</v>
      </c>
      <c r="N30" s="28" t="s">
        <v>96</v>
      </c>
      <c r="O30" s="28" t="str">
        <f t="shared" si="48"/>
        <v>040112-OffLrg-VAVPriSec</v>
      </c>
      <c r="P30" s="28">
        <f t="shared" si="31"/>
        <v>0</v>
      </c>
      <c r="Q30" s="28">
        <f t="shared" si="32"/>
        <v>11</v>
      </c>
      <c r="R30" s="28">
        <f t="shared" si="32"/>
        <v>0</v>
      </c>
      <c r="S30" s="28">
        <f t="shared" si="32"/>
        <v>0</v>
      </c>
      <c r="T30" s="28">
        <f t="shared" si="33"/>
        <v>0</v>
      </c>
      <c r="U30" s="28">
        <f t="shared" si="33"/>
        <v>0</v>
      </c>
      <c r="V30" s="28">
        <f t="shared" si="33"/>
        <v>1</v>
      </c>
      <c r="W30" s="36">
        <v>11</v>
      </c>
      <c r="X30" s="36">
        <v>1</v>
      </c>
      <c r="Y30" s="28">
        <f t="shared" ref="Y30" si="50">Y29</f>
        <v>0</v>
      </c>
      <c r="Z30" s="28">
        <f t="shared" si="34"/>
        <v>0</v>
      </c>
      <c r="AA30" s="28">
        <f t="shared" si="35"/>
        <v>0</v>
      </c>
      <c r="AB30" s="28">
        <f t="shared" si="36"/>
        <v>0</v>
      </c>
      <c r="AC30" s="28">
        <f t="shared" si="37"/>
        <v>0</v>
      </c>
      <c r="AD30" s="28">
        <f t="shared" si="38"/>
        <v>0</v>
      </c>
    </row>
    <row r="31" spans="1:30" x14ac:dyDescent="0.25">
      <c r="A31" s="39">
        <f t="shared" si="4"/>
        <v>0</v>
      </c>
      <c r="B31" s="27"/>
      <c r="C31" s="27"/>
      <c r="D31" s="27"/>
      <c r="E31" s="9"/>
      <c r="F31" s="22"/>
      <c r="G31" s="29"/>
      <c r="H31" s="23"/>
      <c r="I31" s="9"/>
      <c r="J31" s="9"/>
      <c r="K31" s="15" t="s">
        <v>1</v>
      </c>
      <c r="L31" s="36">
        <v>0</v>
      </c>
      <c r="M31" s="32"/>
      <c r="N31" s="28"/>
      <c r="O31" s="28"/>
      <c r="P31" s="28"/>
      <c r="Q31" s="28"/>
      <c r="R31" s="28"/>
      <c r="S31" s="28"/>
      <c r="T31" s="28"/>
      <c r="U31" s="28"/>
      <c r="V31" s="28"/>
      <c r="W31" s="36"/>
      <c r="X31" s="36"/>
      <c r="Y31" s="28"/>
      <c r="Z31" s="28"/>
      <c r="AA31" s="28"/>
      <c r="AB31" s="28"/>
      <c r="AC31" s="28"/>
      <c r="AD31" s="28"/>
    </row>
    <row r="32" spans="1:30" x14ac:dyDescent="0.25">
      <c r="A32" s="10">
        <v>-1</v>
      </c>
      <c r="B32" s="6"/>
      <c r="C32" s="6"/>
      <c r="D32" s="6"/>
      <c r="E32" s="6"/>
      <c r="F32" s="6"/>
      <c r="G32" s="6"/>
      <c r="H32" s="6"/>
      <c r="I32" s="6"/>
      <c r="J32" s="6"/>
    </row>
  </sheetData>
  <mergeCells count="2">
    <mergeCell ref="Y14:AA14"/>
    <mergeCell ref="AB14:AD14"/>
  </mergeCell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F32"/>
  <sheetViews>
    <sheetView topLeftCell="M1" zoomScale="70" zoomScaleNormal="70" workbookViewId="0">
      <selection activeCell="M7" sqref="M7:M8"/>
    </sheetView>
  </sheetViews>
  <sheetFormatPr defaultColWidth="9.140625" defaultRowHeight="15" outlineLevelCol="1" x14ac:dyDescent="0.25"/>
  <cols>
    <col min="1" max="1" width="9.140625" style="1" customWidth="1"/>
    <col min="2" max="2" width="140.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55.5703125" style="1" hidden="1" customWidth="1" outlineLevel="1"/>
    <col min="11" max="11" width="5" style="47" customWidth="1" collapsed="1"/>
    <col min="12" max="12" width="13" style="47" customWidth="1"/>
    <col min="13" max="13" width="30.7109375" style="47" customWidth="1"/>
    <col min="14" max="14" width="35.7109375" style="1" customWidth="1"/>
    <col min="15" max="15" width="37.28515625" style="1" customWidth="1"/>
    <col min="16" max="21" width="20.28515625" style="1" customWidth="1"/>
    <col min="22" max="22" width="19.42578125" style="1" customWidth="1"/>
    <col min="23" max="23" width="15.85546875" style="1" customWidth="1"/>
    <col min="24" max="24" width="15" style="1" bestFit="1" customWidth="1"/>
    <col min="25" max="30" width="6" style="1" customWidth="1"/>
    <col min="31" max="16384" width="9.140625" style="1"/>
  </cols>
  <sheetData>
    <row r="1" spans="1:32" x14ac:dyDescent="0.25">
      <c r="A1" s="5" t="s">
        <v>0</v>
      </c>
    </row>
    <row r="2" spans="1:32" x14ac:dyDescent="0.25">
      <c r="A2" s="1" t="s">
        <v>1</v>
      </c>
    </row>
    <row r="3" spans="1:32" x14ac:dyDescent="0.25">
      <c r="A3" s="1" t="s">
        <v>1</v>
      </c>
      <c r="B3" s="5" t="s">
        <v>2</v>
      </c>
      <c r="C3" s="1" t="s">
        <v>3</v>
      </c>
    </row>
    <row r="4" spans="1:32" x14ac:dyDescent="0.25">
      <c r="A4" s="1" t="s">
        <v>1</v>
      </c>
    </row>
    <row r="5" spans="1:32" x14ac:dyDescent="0.25">
      <c r="A5" s="1" t="s">
        <v>1</v>
      </c>
      <c r="M5" s="36" t="s">
        <v>44</v>
      </c>
    </row>
    <row r="6" spans="1:32" x14ac:dyDescent="0.25">
      <c r="A6" s="2" t="s">
        <v>1</v>
      </c>
      <c r="B6" s="2"/>
      <c r="C6" s="30"/>
      <c r="D6" s="30"/>
      <c r="E6" s="16"/>
      <c r="F6" s="16"/>
      <c r="G6" s="16"/>
      <c r="H6" s="16"/>
    </row>
    <row r="7" spans="1:32" x14ac:dyDescent="0.25">
      <c r="A7" s="1" t="s">
        <v>4</v>
      </c>
      <c r="B7" s="47" t="s">
        <v>18</v>
      </c>
      <c r="C7" s="30"/>
      <c r="D7" s="30"/>
      <c r="L7" s="37" t="s">
        <v>45</v>
      </c>
      <c r="M7" s="32">
        <v>131003</v>
      </c>
    </row>
    <row r="8" spans="1:32" x14ac:dyDescent="0.25">
      <c r="A8" s="1" t="s">
        <v>5</v>
      </c>
      <c r="B8" s="47" t="s">
        <v>19</v>
      </c>
      <c r="C8" s="30"/>
      <c r="D8" s="30"/>
      <c r="L8" s="14" t="s">
        <v>46</v>
      </c>
      <c r="M8" s="32" t="s">
        <v>70</v>
      </c>
    </row>
    <row r="9" spans="1:32" x14ac:dyDescent="0.25">
      <c r="A9" s="3">
        <v>2</v>
      </c>
      <c r="B9" s="4" t="str">
        <f>M9</f>
        <v>BatchResults_131003_r1009.csv</v>
      </c>
      <c r="C9" s="30" t="s">
        <v>1</v>
      </c>
      <c r="D9" s="30"/>
      <c r="E9" s="30"/>
      <c r="F9" s="30"/>
      <c r="G9" s="30"/>
      <c r="H9" s="30"/>
      <c r="I9" s="26"/>
      <c r="L9" s="35" t="s">
        <v>39</v>
      </c>
      <c r="M9" s="28" t="str">
        <f>"BatchResults_"&amp;M7&amp;"_"&amp;M8&amp;".csv"</f>
        <v>BatchResults_131003_r1009.csv</v>
      </c>
      <c r="N9" s="1" t="s">
        <v>48</v>
      </c>
    </row>
    <row r="10" spans="1:32" x14ac:dyDescent="0.25">
      <c r="A10" s="1" t="s">
        <v>1</v>
      </c>
      <c r="L10" s="14" t="s">
        <v>16</v>
      </c>
      <c r="M10" s="28" t="s">
        <v>53</v>
      </c>
      <c r="N10" s="1" t="s">
        <v>47</v>
      </c>
    </row>
    <row r="11" spans="1:32" x14ac:dyDescent="0.25">
      <c r="A11" s="1" t="s">
        <v>1</v>
      </c>
      <c r="L11" s="14" t="s">
        <v>17</v>
      </c>
      <c r="M11" s="28" t="str">
        <f>M10&amp;"BatchOut"&amp;"_"&amp;M7&amp;"_"&amp;M8&amp;"\"</f>
        <v>RulesetImplementationTests\BatchOut_131003_r1009\</v>
      </c>
      <c r="N11" s="1" t="s">
        <v>47</v>
      </c>
    </row>
    <row r="12" spans="1:32" x14ac:dyDescent="0.25">
      <c r="A12" s="1" t="s">
        <v>1</v>
      </c>
      <c r="L12" s="14" t="s">
        <v>42</v>
      </c>
      <c r="M12" s="28" t="str">
        <f>M11&amp;"XML\"</f>
        <v>RulesetImplementationTests\BatchOut_131003_r1009\XML\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2"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2" x14ac:dyDescent="0.25">
      <c r="A14" s="11" t="s">
        <v>14</v>
      </c>
      <c r="B14" s="7" t="s">
        <v>6</v>
      </c>
      <c r="C14" s="7" t="s">
        <v>7</v>
      </c>
      <c r="D14" s="7" t="s">
        <v>40</v>
      </c>
      <c r="E14" s="7"/>
      <c r="F14" s="17" t="s">
        <v>21</v>
      </c>
      <c r="G14" s="7"/>
      <c r="H14" s="18"/>
      <c r="I14" s="7" t="s">
        <v>9</v>
      </c>
      <c r="J14" s="7" t="s">
        <v>12</v>
      </c>
      <c r="K14" s="14"/>
      <c r="L14" s="14"/>
      <c r="N14" s="47" t="s">
        <v>27</v>
      </c>
      <c r="O14" s="47" t="s">
        <v>26</v>
      </c>
      <c r="Y14" s="99" t="s">
        <v>33</v>
      </c>
      <c r="Z14" s="99"/>
      <c r="AA14" s="99"/>
      <c r="AB14" s="99" t="s">
        <v>34</v>
      </c>
      <c r="AC14" s="99"/>
      <c r="AD14" s="99"/>
    </row>
    <row r="15" spans="1:32"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2" x14ac:dyDescent="0.25">
      <c r="A16" s="39">
        <f t="shared" ref="A16:A31" si="1">L16</f>
        <v>1</v>
      </c>
      <c r="B16" s="27" t="str">
        <f>M$10&amp;LEFT(N16,SEARCH("_",N16)-1)&amp;"-CECRef\"&amp;N16&amp;"\"&amp;N16&amp;".cibd"</f>
        <v>RulesetImplementationTests\00200-OfficeSmall-CECRef\00200-OfficeSmall_CZ6_Run01\00200-OfficeSmall_CZ6_Run01.cibd</v>
      </c>
      <c r="C16" s="27" t="str">
        <f t="shared" ref="C16:C31" si="2" xml:space="preserve"> M$11 &amp; O16 &amp; ".cibd"</f>
        <v>RulesetImplementationTests\BatchOut_131003_r1009\00200-OfficeSmall_CZ6_Run01.cibd</v>
      </c>
      <c r="D16" s="27" t="str">
        <f t="shared" ref="D16:D31" si="3">$M$12</f>
        <v>RulesetImplementationTests\BatchOut_131003_r1009\XML\</v>
      </c>
      <c r="E16" s="9" t="str">
        <f t="shared" ref="E16:E31" si="4">M16</f>
        <v>00200-CZ6_Run01</v>
      </c>
      <c r="F16" s="22"/>
      <c r="G16" s="29"/>
      <c r="H16" s="23" t="str">
        <f>IF(F16&gt;1,1,"")</f>
        <v/>
      </c>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6" s="15" t="s">
        <v>1</v>
      </c>
      <c r="L16" s="36">
        <v>1</v>
      </c>
      <c r="M16" s="32" t="str">
        <f t="shared" ref="M16:M31" si="5">LEFT(N16,5)&amp;"-"&amp;MID(N16,SEARCH("_",N16)+1,100)</f>
        <v>00200-CZ6_Run01</v>
      </c>
      <c r="N16" s="28" t="s">
        <v>54</v>
      </c>
      <c r="O16" s="28" t="str">
        <f t="shared" ref="O16:O31" si="6">N16</f>
        <v>00200-OfficeSmall_CZ6_Run01</v>
      </c>
      <c r="P16" s="28">
        <v>1</v>
      </c>
      <c r="Q16" s="28">
        <v>11</v>
      </c>
      <c r="R16" s="28">
        <v>1</v>
      </c>
      <c r="S16" s="28">
        <v>1</v>
      </c>
      <c r="T16" s="28">
        <v>0</v>
      </c>
      <c r="U16" s="28">
        <v>0</v>
      </c>
      <c r="V16" s="28">
        <v>1</v>
      </c>
      <c r="W16" s="36">
        <f t="shared" ref="W16:W31" si="7">Q16</f>
        <v>11</v>
      </c>
      <c r="X16" s="36">
        <v>1</v>
      </c>
      <c r="Y16" s="28">
        <v>0</v>
      </c>
      <c r="Z16" s="28">
        <v>1</v>
      </c>
      <c r="AA16" s="28">
        <v>1</v>
      </c>
      <c r="AB16" s="28">
        <v>1</v>
      </c>
      <c r="AC16" s="28">
        <v>1</v>
      </c>
      <c r="AD16" s="28">
        <v>1</v>
      </c>
      <c r="AF16" s="1">
        <f t="shared" ref="AF16:AF31" si="8">VALUE(RIGHT(N16,2))</f>
        <v>1</v>
      </c>
    </row>
    <row r="17" spans="1:32" x14ac:dyDescent="0.25">
      <c r="A17" s="39">
        <f t="shared" si="1"/>
        <v>1</v>
      </c>
      <c r="B17" s="27" t="str">
        <f t="shared" ref="B17:B31" si="9">M$10&amp;LEFT(N17,SEARCH("_",N17)-1)&amp;"-CECRef\"&amp;N17&amp;"\"&amp;N17&amp;".cibd"</f>
        <v>RulesetImplementationTests\00200-OfficeSmall-CECRef\00200-OfficeSmall_CZ15_Run02\00200-OfficeSmall_CZ15_Run02.cibd</v>
      </c>
      <c r="C17" s="27" t="str">
        <f t="shared" si="2"/>
        <v>RulesetImplementationTests\BatchOut_131003_r1009\00200-OfficeSmall_CZ15_Run02.cibd</v>
      </c>
      <c r="D17" s="27" t="str">
        <f t="shared" si="3"/>
        <v>RulesetImplementationTests\BatchOut_131003_r1009\XML\</v>
      </c>
      <c r="E17" s="9" t="str">
        <f t="shared" si="4"/>
        <v>00200-CZ15_Run02</v>
      </c>
      <c r="F17" s="22"/>
      <c r="G17" s="29"/>
      <c r="H17" s="23" t="str">
        <f>IF(F17&gt;1,1,"")</f>
        <v/>
      </c>
      <c r="I17" s="9" t="s">
        <v>11</v>
      </c>
      <c r="J17" s="9" t="str">
        <f t="shared" ref="J17:J31" si="10">$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7" s="15" t="s">
        <v>1</v>
      </c>
      <c r="L17" s="36">
        <v>1</v>
      </c>
      <c r="M17" s="32" t="str">
        <f t="shared" si="5"/>
        <v>00200-CZ15_Run02</v>
      </c>
      <c r="N17" s="28" t="s">
        <v>55</v>
      </c>
      <c r="O17" s="28" t="str">
        <f t="shared" si="6"/>
        <v>00200-OfficeSmall_CZ15_Run02</v>
      </c>
      <c r="P17" s="28">
        <f>P16</f>
        <v>1</v>
      </c>
      <c r="Q17" s="28">
        <v>11</v>
      </c>
      <c r="R17" s="28">
        <v>1</v>
      </c>
      <c r="S17" s="28">
        <v>1</v>
      </c>
      <c r="T17" s="28">
        <v>0</v>
      </c>
      <c r="U17" s="28">
        <v>0</v>
      </c>
      <c r="V17" s="28">
        <v>1</v>
      </c>
      <c r="W17" s="36">
        <f t="shared" si="7"/>
        <v>11</v>
      </c>
      <c r="X17" s="36">
        <v>1</v>
      </c>
      <c r="Y17" s="28">
        <f>Y16</f>
        <v>0</v>
      </c>
      <c r="Z17" s="28">
        <f t="shared" ref="Z17:Z31" si="11">Z16</f>
        <v>1</v>
      </c>
      <c r="AA17" s="28">
        <f t="shared" ref="AA17:AA31" si="12">AA16</f>
        <v>1</v>
      </c>
      <c r="AB17" s="28">
        <f t="shared" ref="AB17:AB31" si="13">AB16</f>
        <v>1</v>
      </c>
      <c r="AC17" s="28">
        <f t="shared" ref="AC17:AC31" si="14">AC16</f>
        <v>1</v>
      </c>
      <c r="AD17" s="28">
        <f t="shared" ref="AD17:AD31" si="15">AD16</f>
        <v>1</v>
      </c>
      <c r="AF17" s="1">
        <f t="shared" si="8"/>
        <v>2</v>
      </c>
    </row>
    <row r="18" spans="1:32" x14ac:dyDescent="0.25">
      <c r="A18" s="39">
        <f t="shared" si="1"/>
        <v>1</v>
      </c>
      <c r="B18" s="27" t="str">
        <f t="shared" si="9"/>
        <v>RulesetImplementationTests\00700-HotelSmall-CECRef\00700-HotelSmall_CZ15_Run03\00700-HotelSmall_CZ15_Run03.cibd</v>
      </c>
      <c r="C18" s="27" t="str">
        <f t="shared" si="2"/>
        <v>RulesetImplementationTests\BatchOut_131003_r1009\00700-HotelSmall_CZ15_Run03.cibd</v>
      </c>
      <c r="D18" s="27" t="str">
        <f t="shared" si="3"/>
        <v>RulesetImplementationTests\BatchOut_131003_r1009\XML\</v>
      </c>
      <c r="E18" s="9" t="str">
        <f t="shared" si="4"/>
        <v>00700-CZ15_Run03</v>
      </c>
      <c r="F18" s="22"/>
      <c r="G18" s="29"/>
      <c r="H18" s="23" t="str">
        <f>IF(F18&gt;1,1,"")</f>
        <v/>
      </c>
      <c r="I18" s="9" t="s">
        <v>11</v>
      </c>
      <c r="J1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8" s="15" t="s">
        <v>1</v>
      </c>
      <c r="L18" s="36">
        <v>1</v>
      </c>
      <c r="M18" s="32" t="str">
        <f t="shared" si="5"/>
        <v>00700-CZ15_Run03</v>
      </c>
      <c r="N18" s="28" t="s">
        <v>67</v>
      </c>
      <c r="O18" s="28" t="str">
        <f t="shared" si="6"/>
        <v>00700-HotelSmall_CZ15_Run03</v>
      </c>
      <c r="P18" s="28">
        <f t="shared" ref="P18:P31" si="16">P17</f>
        <v>1</v>
      </c>
      <c r="Q18" s="28">
        <v>11</v>
      </c>
      <c r="R18" s="28">
        <v>1</v>
      </c>
      <c r="S18" s="28">
        <v>1</v>
      </c>
      <c r="T18" s="28">
        <v>0</v>
      </c>
      <c r="U18" s="28">
        <v>0</v>
      </c>
      <c r="V18" s="28">
        <v>1</v>
      </c>
      <c r="W18" s="36">
        <f t="shared" si="7"/>
        <v>11</v>
      </c>
      <c r="X18" s="36">
        <v>1</v>
      </c>
      <c r="Y18" s="28">
        <f t="shared" ref="Y18:Y31" si="17">Y17</f>
        <v>0</v>
      </c>
      <c r="Z18" s="28">
        <f t="shared" si="11"/>
        <v>1</v>
      </c>
      <c r="AA18" s="28">
        <f t="shared" si="12"/>
        <v>1</v>
      </c>
      <c r="AB18" s="28">
        <f t="shared" si="13"/>
        <v>1</v>
      </c>
      <c r="AC18" s="28">
        <f t="shared" si="14"/>
        <v>1</v>
      </c>
      <c r="AD18" s="28">
        <f t="shared" si="15"/>
        <v>1</v>
      </c>
      <c r="AF18" s="1">
        <f t="shared" si="8"/>
        <v>3</v>
      </c>
    </row>
    <row r="19" spans="1:32" x14ac:dyDescent="0.25">
      <c r="A19" s="39">
        <f t="shared" si="1"/>
        <v>1</v>
      </c>
      <c r="B19" s="27" t="str">
        <f t="shared" si="9"/>
        <v>RulesetImplementationTests\00300-OfficeMedium-CECRef\00300-OfficeMedium_CZ6_Run04\00300-OfficeMedium_CZ6_Run04.cibd</v>
      </c>
      <c r="C19" s="27" t="str">
        <f t="shared" si="2"/>
        <v>RulesetImplementationTests\BatchOut_131003_r1009\00300-OfficeMedium_CZ6_Run04.cibd</v>
      </c>
      <c r="D19" s="27" t="str">
        <f t="shared" si="3"/>
        <v>RulesetImplementationTests\BatchOut_131003_r1009\XML\</v>
      </c>
      <c r="E19" s="9" t="str">
        <f t="shared" si="4"/>
        <v>00300-CZ6_Run04</v>
      </c>
      <c r="F19" s="22"/>
      <c r="G19" s="29"/>
      <c r="H19" s="23"/>
      <c r="I19" s="9" t="s">
        <v>11</v>
      </c>
      <c r="J1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9" s="15" t="s">
        <v>1</v>
      </c>
      <c r="L19" s="36">
        <v>1</v>
      </c>
      <c r="M19" s="32" t="str">
        <f t="shared" si="5"/>
        <v>00300-CZ6_Run04</v>
      </c>
      <c r="N19" s="28" t="s">
        <v>52</v>
      </c>
      <c r="O19" s="28" t="str">
        <f t="shared" si="6"/>
        <v>00300-OfficeMedium_CZ6_Run04</v>
      </c>
      <c r="P19" s="28">
        <f t="shared" si="16"/>
        <v>1</v>
      </c>
      <c r="Q19" s="28">
        <v>11</v>
      </c>
      <c r="R19" s="28">
        <v>1</v>
      </c>
      <c r="S19" s="28">
        <v>1</v>
      </c>
      <c r="T19" s="28">
        <v>0</v>
      </c>
      <c r="U19" s="28">
        <v>0</v>
      </c>
      <c r="V19" s="28">
        <v>1</v>
      </c>
      <c r="W19" s="36">
        <f t="shared" si="7"/>
        <v>11</v>
      </c>
      <c r="X19" s="36">
        <v>1</v>
      </c>
      <c r="Y19" s="28">
        <f t="shared" si="17"/>
        <v>0</v>
      </c>
      <c r="Z19" s="28">
        <f t="shared" si="11"/>
        <v>1</v>
      </c>
      <c r="AA19" s="28">
        <f t="shared" si="12"/>
        <v>1</v>
      </c>
      <c r="AB19" s="28">
        <f t="shared" si="13"/>
        <v>1</v>
      </c>
      <c r="AC19" s="28">
        <f t="shared" si="14"/>
        <v>1</v>
      </c>
      <c r="AD19" s="28">
        <f t="shared" si="15"/>
        <v>1</v>
      </c>
      <c r="AF19" s="1">
        <f t="shared" si="8"/>
        <v>4</v>
      </c>
    </row>
    <row r="20" spans="1:32" x14ac:dyDescent="0.25">
      <c r="A20" s="39">
        <f t="shared" si="1"/>
        <v>1</v>
      </c>
      <c r="B20" s="27" t="str">
        <f t="shared" si="9"/>
        <v>RulesetImplementationTests\00400-OfficeLarge-CECRef\00400-OfficeLarge_CZ6_Run05\00400-OfficeLarge_CZ6_Run05.cibd</v>
      </c>
      <c r="C20" s="27" t="str">
        <f t="shared" si="2"/>
        <v>RulesetImplementationTests\BatchOut_131003_r1009\00400-OfficeLarge_CZ6_Run05.cibd</v>
      </c>
      <c r="D20" s="27" t="str">
        <f t="shared" si="3"/>
        <v>RulesetImplementationTests\BatchOut_131003_r1009\XML\</v>
      </c>
      <c r="E20" s="9" t="str">
        <f t="shared" si="4"/>
        <v>00400-CZ6_Run05</v>
      </c>
      <c r="F20" s="22"/>
      <c r="G20" s="29"/>
      <c r="H20" s="23"/>
      <c r="I20" s="9" t="s">
        <v>11</v>
      </c>
      <c r="J2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0" s="15" t="s">
        <v>1</v>
      </c>
      <c r="L20" s="36">
        <v>1</v>
      </c>
      <c r="M20" s="32" t="str">
        <f t="shared" si="5"/>
        <v>00400-CZ6_Run05</v>
      </c>
      <c r="N20" s="28" t="s">
        <v>63</v>
      </c>
      <c r="O20" s="28" t="str">
        <f t="shared" si="6"/>
        <v>00400-OfficeLarge_CZ6_Run05</v>
      </c>
      <c r="P20" s="28">
        <f t="shared" si="16"/>
        <v>1</v>
      </c>
      <c r="Q20" s="28">
        <v>11</v>
      </c>
      <c r="R20" s="28">
        <v>1</v>
      </c>
      <c r="S20" s="28">
        <v>1</v>
      </c>
      <c r="T20" s="28">
        <v>0</v>
      </c>
      <c r="U20" s="28">
        <v>0</v>
      </c>
      <c r="V20" s="28">
        <v>1</v>
      </c>
      <c r="W20" s="36">
        <f t="shared" si="7"/>
        <v>11</v>
      </c>
      <c r="X20" s="36">
        <v>1</v>
      </c>
      <c r="Y20" s="28">
        <f t="shared" si="17"/>
        <v>0</v>
      </c>
      <c r="Z20" s="28">
        <f t="shared" si="11"/>
        <v>1</v>
      </c>
      <c r="AA20" s="28">
        <f t="shared" si="12"/>
        <v>1</v>
      </c>
      <c r="AB20" s="28">
        <f t="shared" si="13"/>
        <v>1</v>
      </c>
      <c r="AC20" s="28">
        <f t="shared" si="14"/>
        <v>1</v>
      </c>
      <c r="AD20" s="28">
        <f t="shared" si="15"/>
        <v>1</v>
      </c>
      <c r="AF20" s="1">
        <f t="shared" si="8"/>
        <v>5</v>
      </c>
    </row>
    <row r="21" spans="1:32" x14ac:dyDescent="0.25">
      <c r="A21" s="39">
        <f t="shared" si="1"/>
        <v>1</v>
      </c>
      <c r="B21" s="27" t="str">
        <f t="shared" si="9"/>
        <v>RulesetImplementationTests\00400-OfficeLarge-CECRef\00400-OfficeLarge_CZ6_Run06\00400-OfficeLarge_CZ6_Run06.cibd</v>
      </c>
      <c r="C21" s="27" t="str">
        <f t="shared" si="2"/>
        <v>RulesetImplementationTests\BatchOut_131003_r1009\00400-OfficeLarge_CZ6_Run06.cibd</v>
      </c>
      <c r="D21" s="27" t="str">
        <f t="shared" si="3"/>
        <v>RulesetImplementationTests\BatchOut_131003_r1009\XML\</v>
      </c>
      <c r="E21" s="9" t="str">
        <f t="shared" si="4"/>
        <v>00400-CZ6_Run06</v>
      </c>
      <c r="F21" s="22"/>
      <c r="G21" s="29"/>
      <c r="H21" s="23" t="str">
        <f>IF(F21&gt;1,1,"")</f>
        <v/>
      </c>
      <c r="I21" s="9" t="s">
        <v>11</v>
      </c>
      <c r="J2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1" s="15" t="s">
        <v>1</v>
      </c>
      <c r="L21" s="36">
        <v>1</v>
      </c>
      <c r="M21" s="32" t="str">
        <f t="shared" si="5"/>
        <v>00400-CZ6_Run06</v>
      </c>
      <c r="N21" s="28" t="s">
        <v>64</v>
      </c>
      <c r="O21" s="28" t="str">
        <f t="shared" si="6"/>
        <v>00400-OfficeLarge_CZ6_Run06</v>
      </c>
      <c r="P21" s="28">
        <f t="shared" si="16"/>
        <v>1</v>
      </c>
      <c r="Q21" s="28">
        <v>11</v>
      </c>
      <c r="R21" s="28">
        <v>1</v>
      </c>
      <c r="S21" s="28">
        <v>1</v>
      </c>
      <c r="T21" s="28">
        <v>0</v>
      </c>
      <c r="U21" s="28">
        <v>0</v>
      </c>
      <c r="V21" s="28">
        <v>1</v>
      </c>
      <c r="W21" s="36">
        <f t="shared" si="7"/>
        <v>11</v>
      </c>
      <c r="X21" s="36">
        <v>1</v>
      </c>
      <c r="Y21" s="28">
        <f t="shared" si="17"/>
        <v>0</v>
      </c>
      <c r="Z21" s="28">
        <f t="shared" si="11"/>
        <v>1</v>
      </c>
      <c r="AA21" s="28">
        <f t="shared" si="12"/>
        <v>1</v>
      </c>
      <c r="AB21" s="28">
        <f t="shared" si="13"/>
        <v>1</v>
      </c>
      <c r="AC21" s="28">
        <f t="shared" si="14"/>
        <v>1</v>
      </c>
      <c r="AD21" s="28">
        <f t="shared" si="15"/>
        <v>1</v>
      </c>
      <c r="AF21" s="1">
        <f t="shared" si="8"/>
        <v>6</v>
      </c>
    </row>
    <row r="22" spans="1:32" x14ac:dyDescent="0.25">
      <c r="A22" s="39">
        <f t="shared" si="1"/>
        <v>0</v>
      </c>
      <c r="B22" s="27" t="str">
        <f t="shared" si="9"/>
        <v>RulesetImplementationTests\00300-OfficeMedium-CECRef\00300-OfficeMedium_CZ6_Run10\00300-OfficeMedium_CZ6_Run10.cibd</v>
      </c>
      <c r="C22" s="27" t="str">
        <f t="shared" si="2"/>
        <v>RulesetImplementationTests\BatchOut_131003_r1009\00300-OfficeMedium_CZ6_Run10.cibd</v>
      </c>
      <c r="D22" s="27" t="str">
        <f t="shared" si="3"/>
        <v>RulesetImplementationTests\BatchOut_131003_r1009\XML\</v>
      </c>
      <c r="E22" s="9" t="str">
        <f t="shared" si="4"/>
        <v>00300-CZ6_Run10</v>
      </c>
      <c r="F22" s="22"/>
      <c r="G22" s="29"/>
      <c r="H22" s="23"/>
      <c r="I22" s="9" t="s">
        <v>11</v>
      </c>
      <c r="J22"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2" s="15" t="s">
        <v>1</v>
      </c>
      <c r="L22" s="36">
        <v>0</v>
      </c>
      <c r="M22" s="32" t="str">
        <f t="shared" si="5"/>
        <v>00300-CZ6_Run10</v>
      </c>
      <c r="N22" s="28" t="s">
        <v>58</v>
      </c>
      <c r="O22" s="28" t="str">
        <f t="shared" si="6"/>
        <v>00300-OfficeMedium_CZ6_Run10</v>
      </c>
      <c r="P22" s="28">
        <f t="shared" si="16"/>
        <v>1</v>
      </c>
      <c r="Q22" s="28">
        <v>11</v>
      </c>
      <c r="R22" s="28">
        <v>1</v>
      </c>
      <c r="S22" s="28">
        <v>1</v>
      </c>
      <c r="T22" s="28">
        <v>0</v>
      </c>
      <c r="U22" s="28">
        <v>0</v>
      </c>
      <c r="V22" s="28">
        <v>1</v>
      </c>
      <c r="W22" s="36">
        <f t="shared" si="7"/>
        <v>11</v>
      </c>
      <c r="X22" s="36">
        <v>1</v>
      </c>
      <c r="Y22" s="28">
        <f t="shared" si="17"/>
        <v>0</v>
      </c>
      <c r="Z22" s="28">
        <f t="shared" si="11"/>
        <v>1</v>
      </c>
      <c r="AA22" s="28">
        <f t="shared" si="12"/>
        <v>1</v>
      </c>
      <c r="AB22" s="28">
        <f t="shared" si="13"/>
        <v>1</v>
      </c>
      <c r="AC22" s="28">
        <f t="shared" si="14"/>
        <v>1</v>
      </c>
      <c r="AD22" s="28">
        <f t="shared" si="15"/>
        <v>1</v>
      </c>
      <c r="AF22" s="1">
        <f t="shared" si="8"/>
        <v>10</v>
      </c>
    </row>
    <row r="23" spans="1:32" x14ac:dyDescent="0.25">
      <c r="A23" s="39">
        <f t="shared" si="1"/>
        <v>1</v>
      </c>
      <c r="B23" s="27" t="str">
        <f t="shared" si="9"/>
        <v>RulesetImplementationTests\00400-OfficeLarge-CECRef\00400-OfficeLarge_CZ6_Run11\00400-OfficeLarge_CZ6_Run11.cibd</v>
      </c>
      <c r="C23" s="27" t="str">
        <f t="shared" si="2"/>
        <v>RulesetImplementationTests\BatchOut_131003_r1009\00400-OfficeLarge_CZ6_Run11.cibd</v>
      </c>
      <c r="D23" s="27" t="str">
        <f t="shared" si="3"/>
        <v>RulesetImplementationTests\BatchOut_131003_r1009\XML\</v>
      </c>
      <c r="E23" s="9" t="str">
        <f t="shared" si="4"/>
        <v>00400-CZ6_Run11</v>
      </c>
      <c r="F23" s="22"/>
      <c r="G23" s="29"/>
      <c r="H23" s="23" t="str">
        <f>IF(F23&gt;1,1,"")</f>
        <v/>
      </c>
      <c r="I23" s="9" t="s">
        <v>11</v>
      </c>
      <c r="J23"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3" s="15" t="s">
        <v>1</v>
      </c>
      <c r="L23" s="36">
        <v>1</v>
      </c>
      <c r="M23" s="32" t="str">
        <f t="shared" si="5"/>
        <v>00400-CZ6_Run11</v>
      </c>
      <c r="N23" s="28" t="s">
        <v>65</v>
      </c>
      <c r="O23" s="28" t="str">
        <f t="shared" si="6"/>
        <v>00400-OfficeLarge_CZ6_Run11</v>
      </c>
      <c r="P23" s="28">
        <f t="shared" si="16"/>
        <v>1</v>
      </c>
      <c r="Q23" s="28">
        <v>11</v>
      </c>
      <c r="R23" s="28">
        <v>1</v>
      </c>
      <c r="S23" s="28">
        <v>1</v>
      </c>
      <c r="T23" s="28">
        <v>0</v>
      </c>
      <c r="U23" s="28">
        <v>0</v>
      </c>
      <c r="V23" s="28">
        <v>1</v>
      </c>
      <c r="W23" s="36">
        <f t="shared" si="7"/>
        <v>11</v>
      </c>
      <c r="X23" s="36">
        <v>1</v>
      </c>
      <c r="Y23" s="28">
        <f t="shared" si="17"/>
        <v>0</v>
      </c>
      <c r="Z23" s="28">
        <f t="shared" si="11"/>
        <v>1</v>
      </c>
      <c r="AA23" s="28">
        <f t="shared" si="12"/>
        <v>1</v>
      </c>
      <c r="AB23" s="28">
        <f t="shared" si="13"/>
        <v>1</v>
      </c>
      <c r="AC23" s="28">
        <f t="shared" si="14"/>
        <v>1</v>
      </c>
      <c r="AD23" s="28">
        <f t="shared" si="15"/>
        <v>1</v>
      </c>
      <c r="AF23" s="1">
        <f t="shared" si="8"/>
        <v>11</v>
      </c>
    </row>
    <row r="24" spans="1:32" x14ac:dyDescent="0.25">
      <c r="A24" s="39">
        <f t="shared" si="1"/>
        <v>1</v>
      </c>
      <c r="B24" s="27" t="str">
        <f t="shared" si="9"/>
        <v>RulesetImplementationTests\00300-OfficeMedium-CECRef\00300-OfficeMedium_CZ6_Run12\00300-OfficeMedium_CZ6_Run12.cibd</v>
      </c>
      <c r="C24" s="27" t="str">
        <f t="shared" si="2"/>
        <v>RulesetImplementationTests\BatchOut_131003_r1009\00300-OfficeMedium_CZ6_Run12.cibd</v>
      </c>
      <c r="D24" s="27" t="str">
        <f t="shared" si="3"/>
        <v>RulesetImplementationTests\BatchOut_131003_r1009\XML\</v>
      </c>
      <c r="E24" s="9" t="str">
        <f t="shared" si="4"/>
        <v>00300-CZ6_Run12</v>
      </c>
      <c r="F24" s="22"/>
      <c r="G24" s="29"/>
      <c r="H24" s="23"/>
      <c r="I24" s="9" t="s">
        <v>11</v>
      </c>
      <c r="J24"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4" s="15" t="s">
        <v>1</v>
      </c>
      <c r="L24" s="36">
        <v>1</v>
      </c>
      <c r="M24" s="32" t="str">
        <f t="shared" si="5"/>
        <v>00300-CZ6_Run12</v>
      </c>
      <c r="N24" s="28" t="s">
        <v>59</v>
      </c>
      <c r="O24" s="28" t="str">
        <f t="shared" si="6"/>
        <v>00300-OfficeMedium_CZ6_Run12</v>
      </c>
      <c r="P24" s="28">
        <f t="shared" si="16"/>
        <v>1</v>
      </c>
      <c r="Q24" s="28">
        <v>11</v>
      </c>
      <c r="R24" s="28">
        <v>1</v>
      </c>
      <c r="S24" s="28">
        <v>1</v>
      </c>
      <c r="T24" s="28">
        <v>0</v>
      </c>
      <c r="U24" s="28">
        <v>0</v>
      </c>
      <c r="V24" s="28">
        <v>1</v>
      </c>
      <c r="W24" s="36">
        <f t="shared" si="7"/>
        <v>11</v>
      </c>
      <c r="X24" s="36">
        <v>1</v>
      </c>
      <c r="Y24" s="28">
        <f t="shared" si="17"/>
        <v>0</v>
      </c>
      <c r="Z24" s="28">
        <f t="shared" si="11"/>
        <v>1</v>
      </c>
      <c r="AA24" s="28">
        <f t="shared" si="12"/>
        <v>1</v>
      </c>
      <c r="AB24" s="28">
        <f t="shared" si="13"/>
        <v>1</v>
      </c>
      <c r="AC24" s="28">
        <f t="shared" si="14"/>
        <v>1</v>
      </c>
      <c r="AD24" s="28">
        <f t="shared" si="15"/>
        <v>1</v>
      </c>
      <c r="AF24" s="1">
        <f t="shared" si="8"/>
        <v>12</v>
      </c>
    </row>
    <row r="25" spans="1:32" x14ac:dyDescent="0.25">
      <c r="A25" s="39">
        <f t="shared" si="1"/>
        <v>1</v>
      </c>
      <c r="B25" s="27" t="str">
        <f t="shared" si="9"/>
        <v>RulesetImplementationTests\00300-OfficeMedium-CECRef\00300-OfficeMedium_CZ6_Run13\00300-OfficeMedium_CZ6_Run13.cibd</v>
      </c>
      <c r="C25" s="27" t="str">
        <f t="shared" si="2"/>
        <v>RulesetImplementationTests\BatchOut_131003_r1009\00300-OfficeMedium_CZ6_Run13.cibd</v>
      </c>
      <c r="D25" s="27" t="str">
        <f t="shared" si="3"/>
        <v>RulesetImplementationTests\BatchOut_131003_r1009\XML\</v>
      </c>
      <c r="E25" s="9" t="str">
        <f t="shared" si="4"/>
        <v>00300-CZ6_Run13</v>
      </c>
      <c r="F25" s="22"/>
      <c r="G25" s="29"/>
      <c r="H25" s="23"/>
      <c r="I25" s="9" t="s">
        <v>11</v>
      </c>
      <c r="J25"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5" s="15" t="s">
        <v>1</v>
      </c>
      <c r="L25" s="36">
        <v>1</v>
      </c>
      <c r="M25" s="32" t="str">
        <f t="shared" si="5"/>
        <v>00300-CZ6_Run13</v>
      </c>
      <c r="N25" s="28" t="s">
        <v>60</v>
      </c>
      <c r="O25" s="28" t="str">
        <f t="shared" si="6"/>
        <v>00300-OfficeMedium_CZ6_Run13</v>
      </c>
      <c r="P25" s="28">
        <f t="shared" si="16"/>
        <v>1</v>
      </c>
      <c r="Q25" s="28">
        <v>11</v>
      </c>
      <c r="R25" s="28">
        <v>1</v>
      </c>
      <c r="S25" s="28">
        <v>1</v>
      </c>
      <c r="T25" s="28">
        <v>0</v>
      </c>
      <c r="U25" s="28">
        <v>0</v>
      </c>
      <c r="V25" s="28">
        <v>1</v>
      </c>
      <c r="W25" s="36">
        <f t="shared" si="7"/>
        <v>11</v>
      </c>
      <c r="X25" s="36">
        <v>1</v>
      </c>
      <c r="Y25" s="28">
        <f t="shared" si="17"/>
        <v>0</v>
      </c>
      <c r="Z25" s="28">
        <f t="shared" si="11"/>
        <v>1</v>
      </c>
      <c r="AA25" s="28">
        <f t="shared" si="12"/>
        <v>1</v>
      </c>
      <c r="AB25" s="28">
        <f t="shared" si="13"/>
        <v>1</v>
      </c>
      <c r="AC25" s="28">
        <f t="shared" si="14"/>
        <v>1</v>
      </c>
      <c r="AD25" s="28">
        <f t="shared" si="15"/>
        <v>1</v>
      </c>
      <c r="AF25" s="1">
        <f t="shared" si="8"/>
        <v>13</v>
      </c>
    </row>
    <row r="26" spans="1:32" x14ac:dyDescent="0.25">
      <c r="A26" s="39">
        <f t="shared" si="1"/>
        <v>1</v>
      </c>
      <c r="B26" s="27" t="str">
        <f t="shared" si="9"/>
        <v>RulesetImplementationTests\00200-OfficeSmall-CECRef\00200-OfficeSmall_CZ6_Run14\00200-OfficeSmall_CZ6_Run14.cibd</v>
      </c>
      <c r="C26" s="27" t="str">
        <f t="shared" si="2"/>
        <v>RulesetImplementationTests\BatchOut_131003_r1009\00200-OfficeSmall_CZ6_Run14.cibd</v>
      </c>
      <c r="D26" s="27" t="str">
        <f t="shared" si="3"/>
        <v>RulesetImplementationTests\BatchOut_131003_r1009\XML\</v>
      </c>
      <c r="E26" s="9" t="str">
        <f t="shared" si="4"/>
        <v>00200-CZ6_Run14</v>
      </c>
      <c r="F26" s="22"/>
      <c r="G26" s="29"/>
      <c r="H26" s="23" t="str">
        <f>IF(F26&gt;1,1,"")</f>
        <v/>
      </c>
      <c r="I26" s="9" t="s">
        <v>11</v>
      </c>
      <c r="J26"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6" s="15" t="s">
        <v>1</v>
      </c>
      <c r="L26" s="36">
        <v>1</v>
      </c>
      <c r="M26" s="32" t="str">
        <f t="shared" si="5"/>
        <v>00200-CZ6_Run14</v>
      </c>
      <c r="N26" s="28" t="s">
        <v>56</v>
      </c>
      <c r="O26" s="28" t="str">
        <f t="shared" si="6"/>
        <v>00200-OfficeSmall_CZ6_Run14</v>
      </c>
      <c r="P26" s="28">
        <f t="shared" si="16"/>
        <v>1</v>
      </c>
      <c r="Q26" s="28">
        <v>11</v>
      </c>
      <c r="R26" s="28">
        <v>1</v>
      </c>
      <c r="S26" s="28">
        <v>1</v>
      </c>
      <c r="T26" s="28">
        <v>0</v>
      </c>
      <c r="U26" s="28">
        <v>0</v>
      </c>
      <c r="V26" s="28">
        <v>1</v>
      </c>
      <c r="W26" s="36">
        <f t="shared" si="7"/>
        <v>11</v>
      </c>
      <c r="X26" s="36">
        <v>1</v>
      </c>
      <c r="Y26" s="28">
        <f t="shared" si="17"/>
        <v>0</v>
      </c>
      <c r="Z26" s="28">
        <f t="shared" si="11"/>
        <v>1</v>
      </c>
      <c r="AA26" s="28">
        <f t="shared" si="12"/>
        <v>1</v>
      </c>
      <c r="AB26" s="28">
        <f t="shared" si="13"/>
        <v>1</v>
      </c>
      <c r="AC26" s="28">
        <f t="shared" si="14"/>
        <v>1</v>
      </c>
      <c r="AD26" s="28">
        <f t="shared" si="15"/>
        <v>1</v>
      </c>
      <c r="AF26" s="1">
        <f t="shared" si="8"/>
        <v>14</v>
      </c>
    </row>
    <row r="27" spans="1:32" x14ac:dyDescent="0.25">
      <c r="A27" s="39">
        <f t="shared" si="1"/>
        <v>0</v>
      </c>
      <c r="B27" s="27" t="str">
        <f t="shared" si="9"/>
        <v>RulesetImplementationTests\00400-OfficeLarge-CECRef\00400-OfficeLarge_CZ6_Run17\00400-OfficeLarge_CZ6_Run17.cibd</v>
      </c>
      <c r="C27" s="27" t="str">
        <f t="shared" si="2"/>
        <v>RulesetImplementationTests\BatchOut_131003_r1009\00400-OfficeLarge_CZ6_Run17.cibd</v>
      </c>
      <c r="D27" s="27" t="str">
        <f t="shared" si="3"/>
        <v>RulesetImplementationTests\BatchOut_131003_r1009\XML\</v>
      </c>
      <c r="E27" s="9" t="str">
        <f t="shared" si="4"/>
        <v>00400-CZ6_Run17</v>
      </c>
      <c r="F27" s="22"/>
      <c r="G27" s="29"/>
      <c r="H27" s="23" t="str">
        <f>IF(F27&gt;1,1,"")</f>
        <v/>
      </c>
      <c r="I27" s="9" t="s">
        <v>11</v>
      </c>
      <c r="J27"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7" s="15" t="s">
        <v>1</v>
      </c>
      <c r="L27" s="36">
        <v>0</v>
      </c>
      <c r="M27" s="32" t="str">
        <f t="shared" si="5"/>
        <v>00400-CZ6_Run17</v>
      </c>
      <c r="N27" s="28" t="s">
        <v>66</v>
      </c>
      <c r="O27" s="28" t="str">
        <f t="shared" si="6"/>
        <v>00400-OfficeLarge_CZ6_Run17</v>
      </c>
      <c r="P27" s="28">
        <f t="shared" si="16"/>
        <v>1</v>
      </c>
      <c r="Q27" s="28">
        <v>11</v>
      </c>
      <c r="R27" s="28">
        <v>1</v>
      </c>
      <c r="S27" s="28">
        <v>1</v>
      </c>
      <c r="T27" s="28">
        <v>0</v>
      </c>
      <c r="U27" s="28">
        <v>0</v>
      </c>
      <c r="V27" s="28">
        <v>1</v>
      </c>
      <c r="W27" s="36">
        <f t="shared" si="7"/>
        <v>11</v>
      </c>
      <c r="X27" s="36">
        <v>1</v>
      </c>
      <c r="Y27" s="28">
        <f t="shared" si="17"/>
        <v>0</v>
      </c>
      <c r="Z27" s="28">
        <f t="shared" si="11"/>
        <v>1</v>
      </c>
      <c r="AA27" s="28">
        <f t="shared" si="12"/>
        <v>1</v>
      </c>
      <c r="AB27" s="28">
        <f t="shared" si="13"/>
        <v>1</v>
      </c>
      <c r="AC27" s="28">
        <f t="shared" si="14"/>
        <v>1</v>
      </c>
      <c r="AD27" s="28">
        <f t="shared" si="15"/>
        <v>1</v>
      </c>
      <c r="AF27" s="1">
        <f t="shared" si="8"/>
        <v>17</v>
      </c>
    </row>
    <row r="28" spans="1:32" x14ac:dyDescent="0.25">
      <c r="A28" s="39">
        <f t="shared" si="1"/>
        <v>0</v>
      </c>
      <c r="B28" s="27" t="str">
        <f t="shared" si="9"/>
        <v>RulesetImplementationTests\00200-OfficeSmall-CECRef\00200-OfficeSmall_CZ6_Run18\00200-OfficeSmall_CZ6_Run18.cibd</v>
      </c>
      <c r="C28" s="27" t="str">
        <f t="shared" si="2"/>
        <v>RulesetImplementationTests\BatchOut_131003_r1009\00200-OfficeSmall_CZ6_Run18.cibd</v>
      </c>
      <c r="D28" s="27" t="str">
        <f t="shared" si="3"/>
        <v>RulesetImplementationTests\BatchOut_131003_r1009\XML\</v>
      </c>
      <c r="E28" s="9" t="str">
        <f t="shared" si="4"/>
        <v>00200-CZ6_Run18</v>
      </c>
      <c r="F28" s="22"/>
      <c r="G28" s="29"/>
      <c r="H28" s="23" t="str">
        <f>IF(F28&gt;1,1,"")</f>
        <v/>
      </c>
      <c r="I28" s="9" t="s">
        <v>11</v>
      </c>
      <c r="J2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8" s="15" t="s">
        <v>1</v>
      </c>
      <c r="L28" s="36">
        <v>0</v>
      </c>
      <c r="M28" s="32" t="str">
        <f t="shared" si="5"/>
        <v>00200-CZ6_Run18</v>
      </c>
      <c r="N28" s="28" t="s">
        <v>57</v>
      </c>
      <c r="O28" s="28" t="str">
        <f t="shared" si="6"/>
        <v>00200-OfficeSmall_CZ6_Run18</v>
      </c>
      <c r="P28" s="28">
        <f t="shared" si="16"/>
        <v>1</v>
      </c>
      <c r="Q28" s="28">
        <v>11</v>
      </c>
      <c r="R28" s="28">
        <v>1</v>
      </c>
      <c r="S28" s="28">
        <v>1</v>
      </c>
      <c r="T28" s="28">
        <v>0</v>
      </c>
      <c r="U28" s="28">
        <v>0</v>
      </c>
      <c r="V28" s="28">
        <v>1</v>
      </c>
      <c r="W28" s="36">
        <f t="shared" si="7"/>
        <v>11</v>
      </c>
      <c r="X28" s="36">
        <v>1</v>
      </c>
      <c r="Y28" s="28">
        <f t="shared" si="17"/>
        <v>0</v>
      </c>
      <c r="Z28" s="28">
        <f t="shared" si="11"/>
        <v>1</v>
      </c>
      <c r="AA28" s="28">
        <f t="shared" si="12"/>
        <v>1</v>
      </c>
      <c r="AB28" s="28">
        <f t="shared" si="13"/>
        <v>1</v>
      </c>
      <c r="AC28" s="28">
        <f t="shared" si="14"/>
        <v>1</v>
      </c>
      <c r="AD28" s="28">
        <f t="shared" si="15"/>
        <v>1</v>
      </c>
      <c r="AF28" s="1">
        <f t="shared" si="8"/>
        <v>18</v>
      </c>
    </row>
    <row r="29" spans="1:32" x14ac:dyDescent="0.25">
      <c r="A29" s="39">
        <f t="shared" si="1"/>
        <v>0</v>
      </c>
      <c r="B29" s="27" t="str">
        <f t="shared" si="9"/>
        <v>RulesetImplementationTests\00300-OfficeMedium-CECRef\00300-OfficeMedium_CZ6_Run19\00300-OfficeMedium_CZ6_Run19.cibd</v>
      </c>
      <c r="C29" s="27" t="str">
        <f t="shared" si="2"/>
        <v>RulesetImplementationTests\BatchOut_131003_r1009\00300-OfficeMedium_CZ6_Run19.cibd</v>
      </c>
      <c r="D29" s="27" t="str">
        <f t="shared" si="3"/>
        <v>RulesetImplementationTests\BatchOut_131003_r1009\XML\</v>
      </c>
      <c r="E29" s="9" t="str">
        <f t="shared" si="4"/>
        <v>00300-CZ6_Run19</v>
      </c>
      <c r="F29" s="22"/>
      <c r="G29" s="29"/>
      <c r="H29" s="23"/>
      <c r="I29" s="9" t="s">
        <v>11</v>
      </c>
      <c r="J2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9" s="15" t="s">
        <v>1</v>
      </c>
      <c r="L29" s="36">
        <v>0</v>
      </c>
      <c r="M29" s="32" t="str">
        <f t="shared" si="5"/>
        <v>00300-CZ6_Run19</v>
      </c>
      <c r="N29" s="28" t="s">
        <v>61</v>
      </c>
      <c r="O29" s="28" t="str">
        <f t="shared" si="6"/>
        <v>00300-OfficeMedium_CZ6_Run19</v>
      </c>
      <c r="P29" s="28">
        <f t="shared" si="16"/>
        <v>1</v>
      </c>
      <c r="Q29" s="28">
        <v>11</v>
      </c>
      <c r="R29" s="28">
        <v>1</v>
      </c>
      <c r="S29" s="28">
        <v>1</v>
      </c>
      <c r="T29" s="28">
        <v>0</v>
      </c>
      <c r="U29" s="28">
        <v>0</v>
      </c>
      <c r="V29" s="28">
        <v>1</v>
      </c>
      <c r="W29" s="36">
        <f t="shared" si="7"/>
        <v>11</v>
      </c>
      <c r="X29" s="36">
        <v>1</v>
      </c>
      <c r="Y29" s="28">
        <f t="shared" si="17"/>
        <v>0</v>
      </c>
      <c r="Z29" s="28">
        <f t="shared" si="11"/>
        <v>1</v>
      </c>
      <c r="AA29" s="28">
        <f t="shared" si="12"/>
        <v>1</v>
      </c>
      <c r="AB29" s="28">
        <f t="shared" si="13"/>
        <v>1</v>
      </c>
      <c r="AC29" s="28">
        <f t="shared" si="14"/>
        <v>1</v>
      </c>
      <c r="AD29" s="28">
        <f t="shared" si="15"/>
        <v>1</v>
      </c>
      <c r="AF29" s="1">
        <f t="shared" si="8"/>
        <v>19</v>
      </c>
    </row>
    <row r="30" spans="1:32" x14ac:dyDescent="0.25">
      <c r="A30" s="39">
        <f t="shared" si="1"/>
        <v>0</v>
      </c>
      <c r="B30" s="27" t="str">
        <f t="shared" si="9"/>
        <v>RulesetImplementationTests\00700-HotelSmall-CECRef\00700-HotelSmall_CZ12_Run22\00700-HotelSmall_CZ12_Run22.cibd</v>
      </c>
      <c r="C30" s="27" t="str">
        <f t="shared" si="2"/>
        <v>RulesetImplementationTests\BatchOut_131003_r1009\00700-HotelSmall_CZ12_Run22.cibd</v>
      </c>
      <c r="D30" s="27" t="str">
        <f t="shared" si="3"/>
        <v>RulesetImplementationTests\BatchOut_131003_r1009\XML\</v>
      </c>
      <c r="E30" s="9" t="str">
        <f t="shared" si="4"/>
        <v>00700-CZ12_Run22</v>
      </c>
      <c r="F30" s="22"/>
      <c r="G30" s="29"/>
      <c r="H30" s="23"/>
      <c r="I30" s="9" t="s">
        <v>11</v>
      </c>
      <c r="J3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0" s="15" t="s">
        <v>1</v>
      </c>
      <c r="L30" s="36">
        <v>0</v>
      </c>
      <c r="M30" s="32" t="str">
        <f t="shared" si="5"/>
        <v>00700-CZ12_Run22</v>
      </c>
      <c r="N30" s="28" t="s">
        <v>68</v>
      </c>
      <c r="O30" s="28" t="str">
        <f t="shared" si="6"/>
        <v>00700-HotelSmall_CZ12_Run22</v>
      </c>
      <c r="P30" s="28">
        <f t="shared" si="16"/>
        <v>1</v>
      </c>
      <c r="Q30" s="28">
        <v>11</v>
      </c>
      <c r="R30" s="28">
        <v>1</v>
      </c>
      <c r="S30" s="28">
        <v>1</v>
      </c>
      <c r="T30" s="28">
        <v>0</v>
      </c>
      <c r="U30" s="28">
        <v>0</v>
      </c>
      <c r="V30" s="28">
        <v>1</v>
      </c>
      <c r="W30" s="36">
        <f t="shared" si="7"/>
        <v>11</v>
      </c>
      <c r="X30" s="36">
        <v>1</v>
      </c>
      <c r="Y30" s="28">
        <f t="shared" si="17"/>
        <v>0</v>
      </c>
      <c r="Z30" s="28">
        <f t="shared" si="11"/>
        <v>1</v>
      </c>
      <c r="AA30" s="28">
        <f t="shared" si="12"/>
        <v>1</v>
      </c>
      <c r="AB30" s="28">
        <f t="shared" si="13"/>
        <v>1</v>
      </c>
      <c r="AC30" s="28">
        <f t="shared" si="14"/>
        <v>1</v>
      </c>
      <c r="AD30" s="28">
        <f t="shared" si="15"/>
        <v>1</v>
      </c>
      <c r="AF30" s="1">
        <f t="shared" si="8"/>
        <v>22</v>
      </c>
    </row>
    <row r="31" spans="1:32" x14ac:dyDescent="0.25">
      <c r="A31" s="39">
        <f t="shared" si="1"/>
        <v>0</v>
      </c>
      <c r="B31" s="27" t="str">
        <f t="shared" si="9"/>
        <v>RulesetImplementationTests\00300-OfficeMedium-CECRef\00300-OfficeMedium_CZ6_Run23\00300-OfficeMedium_CZ6_Run23.cibd</v>
      </c>
      <c r="C31" s="27" t="str">
        <f t="shared" si="2"/>
        <v>RulesetImplementationTests\BatchOut_131003_r1009\00300-OfficeMedium_CZ6_Run23.cibd</v>
      </c>
      <c r="D31" s="27" t="str">
        <f t="shared" si="3"/>
        <v>RulesetImplementationTests\BatchOut_131003_r1009\XML\</v>
      </c>
      <c r="E31" s="9" t="str">
        <f t="shared" si="4"/>
        <v>00300-CZ6_Run23</v>
      </c>
      <c r="F31" s="22"/>
      <c r="G31" s="29"/>
      <c r="H31" s="23"/>
      <c r="I31" s="9" t="s">
        <v>11</v>
      </c>
      <c r="J3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1" s="15" t="s">
        <v>1</v>
      </c>
      <c r="L31" s="36">
        <v>0</v>
      </c>
      <c r="M31" s="32" t="str">
        <f t="shared" si="5"/>
        <v>00300-CZ6_Run23</v>
      </c>
      <c r="N31" s="28" t="s">
        <v>62</v>
      </c>
      <c r="O31" s="28" t="str">
        <f t="shared" si="6"/>
        <v>00300-OfficeMedium_CZ6_Run23</v>
      </c>
      <c r="P31" s="28">
        <f t="shared" si="16"/>
        <v>1</v>
      </c>
      <c r="Q31" s="28">
        <v>11</v>
      </c>
      <c r="R31" s="28">
        <v>1</v>
      </c>
      <c r="S31" s="28">
        <v>1</v>
      </c>
      <c r="T31" s="28">
        <v>0</v>
      </c>
      <c r="U31" s="28">
        <v>0</v>
      </c>
      <c r="V31" s="28">
        <v>1</v>
      </c>
      <c r="W31" s="36">
        <f t="shared" si="7"/>
        <v>11</v>
      </c>
      <c r="X31" s="36">
        <v>1</v>
      </c>
      <c r="Y31" s="28">
        <f t="shared" si="17"/>
        <v>0</v>
      </c>
      <c r="Z31" s="28">
        <f t="shared" si="11"/>
        <v>1</v>
      </c>
      <c r="AA31" s="28">
        <f t="shared" si="12"/>
        <v>1</v>
      </c>
      <c r="AB31" s="28">
        <f t="shared" si="13"/>
        <v>1</v>
      </c>
      <c r="AC31" s="28">
        <f t="shared" si="14"/>
        <v>1</v>
      </c>
      <c r="AD31" s="28">
        <f t="shared" si="15"/>
        <v>1</v>
      </c>
      <c r="AF31" s="1">
        <f t="shared" si="8"/>
        <v>23</v>
      </c>
    </row>
    <row r="32" spans="1:32" x14ac:dyDescent="0.25">
      <c r="A32" s="10">
        <v>-1</v>
      </c>
      <c r="B32" s="6"/>
      <c r="C32" s="6"/>
      <c r="D32" s="6"/>
      <c r="E32" s="6"/>
      <c r="F32" s="6"/>
      <c r="G32" s="6"/>
      <c r="H32" s="6"/>
      <c r="I32" s="6"/>
      <c r="J32" s="6"/>
    </row>
  </sheetData>
  <sortState ref="A16:AF31">
    <sortCondition ref="AF16:AF31"/>
  </sortState>
  <mergeCells count="2">
    <mergeCell ref="Y14:AA14"/>
    <mergeCell ref="AB14:AD14"/>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28"/>
  <sheetViews>
    <sheetView topLeftCell="L1" zoomScale="70" zoomScaleNormal="70" workbookViewId="0">
      <selection activeCell="M10" sqref="M10"/>
    </sheetView>
  </sheetViews>
  <sheetFormatPr defaultColWidth="9.140625" defaultRowHeight="15" outlineLevelCol="1" x14ac:dyDescent="0.25"/>
  <cols>
    <col min="1" max="1" width="9.140625" style="1" customWidth="1"/>
    <col min="2" max="2" width="123.140625" style="1" customWidth="1" outlineLevel="1"/>
    <col min="3" max="3" width="83.140625" style="1" customWidth="1" outlineLevel="1"/>
    <col min="4" max="4" width="74" style="1" customWidth="1" outlineLevel="1"/>
    <col min="5" max="5" width="23.7109375" style="1" customWidth="1" outlineLevel="1"/>
    <col min="6" max="8" width="8.7109375" style="1" customWidth="1" outlineLevel="1"/>
    <col min="9" max="9" width="11.42578125" style="1" customWidth="1" outlineLevel="1"/>
    <col min="10" max="10" width="220.7109375" style="1" customWidth="1" outlineLevel="1"/>
    <col min="11" max="11" width="5" style="48" customWidth="1"/>
    <col min="12" max="12" width="13" style="48" customWidth="1"/>
    <col min="13" max="13" width="36" style="48"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8" t="s">
        <v>18</v>
      </c>
      <c r="C7" s="30"/>
      <c r="D7" s="30"/>
      <c r="L7" s="37" t="s">
        <v>45</v>
      </c>
      <c r="M7" s="32">
        <v>131106</v>
      </c>
    </row>
    <row r="8" spans="1:30" x14ac:dyDescent="0.25">
      <c r="A8" s="1" t="s">
        <v>5</v>
      </c>
      <c r="B8" s="48" t="s">
        <v>19</v>
      </c>
      <c r="C8" s="30"/>
      <c r="D8" s="30"/>
      <c r="L8" s="14" t="s">
        <v>46</v>
      </c>
      <c r="M8" s="32" t="s">
        <v>83</v>
      </c>
    </row>
    <row r="9" spans="1:30" x14ac:dyDescent="0.25">
      <c r="A9" s="3">
        <v>2</v>
      </c>
      <c r="B9" s="4" t="str">
        <f>M9</f>
        <v>HydroPipingResults_131106_r1089.csv</v>
      </c>
      <c r="C9" s="30" t="s">
        <v>1</v>
      </c>
      <c r="D9" s="30"/>
      <c r="E9" s="30"/>
      <c r="F9" s="30"/>
      <c r="G9" s="30"/>
      <c r="H9" s="30"/>
      <c r="I9" s="26"/>
      <c r="L9" s="35" t="s">
        <v>39</v>
      </c>
      <c r="M9" s="28" t="str">
        <f>"HydroPipingResults_"&amp;M7&amp;"_"&amp;M8&amp;".csv"</f>
        <v>HydroPipingResults_131106_r1089.csv</v>
      </c>
      <c r="N9" s="1" t="s">
        <v>48</v>
      </c>
    </row>
    <row r="10" spans="1:30" x14ac:dyDescent="0.25">
      <c r="A10" s="1" t="s">
        <v>1</v>
      </c>
      <c r="L10" s="14" t="s">
        <v>16</v>
      </c>
      <c r="M10" s="28" t="s">
        <v>79</v>
      </c>
      <c r="N10" s="1" t="s">
        <v>47</v>
      </c>
    </row>
    <row r="11" spans="1:30" x14ac:dyDescent="0.25">
      <c r="A11" s="1" t="s">
        <v>1</v>
      </c>
      <c r="L11" s="14" t="s">
        <v>17</v>
      </c>
      <c r="M11" s="28" t="str">
        <f>"HydroPipingOut"&amp;"_"&amp;M7&amp;"_"&amp;M8&amp;"\"</f>
        <v>HydroPipingOut_131106_r1089\</v>
      </c>
      <c r="N11" s="1" t="s">
        <v>47</v>
      </c>
    </row>
    <row r="12" spans="1:30" x14ac:dyDescent="0.25">
      <c r="A12" s="1" t="s">
        <v>1</v>
      </c>
      <c r="L12" s="14" t="s">
        <v>42</v>
      </c>
      <c r="M12" s="28" t="str">
        <f>M11&amp;"XML\"</f>
        <v>HydroPipingOut_131106_r1089\XML\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8" t="s">
        <v>27</v>
      </c>
      <c r="O14" s="48"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M$10&amp;"\"&amp;N16&amp;".cibd"</f>
        <v>Hydronic Piping Examples\1a1-PrimOnly_SnglChlr_ConstSpdPump01.cibd</v>
      </c>
      <c r="C16" s="27" t="str">
        <f t="shared" ref="C16:C27" si="1" xml:space="preserve"> M$11 &amp; O16 &amp; ".cibd"</f>
        <v>HydroPipingOut_131106_r1089\1a1-PrimOnly_SnglChlr_ConstSpdPump01.cibd</v>
      </c>
      <c r="D16" s="27" t="str">
        <f>$M$12</f>
        <v>HydroPipingOut_131106_r1089\XML\</v>
      </c>
      <c r="E16" s="9" t="str">
        <f>M16</f>
        <v>1a1</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LEFT(N16,3)&amp;IF(SUM(F16:H16)&gt;0,"_autosize","")</f>
        <v>1a1</v>
      </c>
      <c r="N16" s="28" t="s">
        <v>80</v>
      </c>
      <c r="O16" s="28" t="str">
        <f>N16</f>
        <v>1a1-PrimOnly_SnglChlr_ConstSpdPump01</v>
      </c>
      <c r="P16" s="28">
        <v>0</v>
      </c>
      <c r="Q16" s="28">
        <v>11</v>
      </c>
      <c r="R16" s="28">
        <v>0</v>
      </c>
      <c r="S16" s="28">
        <v>0</v>
      </c>
      <c r="T16" s="28">
        <v>0</v>
      </c>
      <c r="U16" s="28">
        <v>0</v>
      </c>
      <c r="V16" s="28">
        <v>1</v>
      </c>
      <c r="W16" s="36">
        <v>11</v>
      </c>
      <c r="X16" s="36">
        <v>1</v>
      </c>
      <c r="Y16" s="28">
        <v>0</v>
      </c>
      <c r="Z16" s="28">
        <v>0</v>
      </c>
      <c r="AA16" s="28">
        <v>0</v>
      </c>
      <c r="AB16" s="28">
        <f>IF(Y16&gt;1,1,0)</f>
        <v>0</v>
      </c>
      <c r="AC16" s="28">
        <f t="shared" ref="AC16:AD16" si="2">IF(Z16&gt;1,1,0)</f>
        <v>0</v>
      </c>
      <c r="AD16" s="28">
        <f t="shared" si="2"/>
        <v>0</v>
      </c>
    </row>
    <row r="17" spans="1:30" x14ac:dyDescent="0.25">
      <c r="A17" s="39">
        <f t="shared" ref="A17:A27" si="3">L17</f>
        <v>1</v>
      </c>
      <c r="B17" s="27" t="str">
        <f t="shared" ref="B17:B27" si="4" xml:space="preserve"> M$10&amp;"\"&amp;N17&amp;".cibd"</f>
        <v>Hydronic Piping Examples\1a2-PrimOnly_SnglChlr_ConstSpdPump02.cibd</v>
      </c>
      <c r="C17" s="27" t="str">
        <f t="shared" si="1"/>
        <v>HydroPipingOut_131106_r1089\1a2-PrimOnly_SnglChlr_ConstSpdPump02.cibd</v>
      </c>
      <c r="D17" s="27" t="str">
        <f t="shared" ref="D17:D27" si="5">$M$12</f>
        <v>HydroPipingOut_131106_r1089\XML\</v>
      </c>
      <c r="E17" s="9" t="str">
        <f t="shared" ref="E17:E27" si="6">M17</f>
        <v>1a2</v>
      </c>
      <c r="F17" s="22"/>
      <c r="G17" s="29"/>
      <c r="H17" s="23"/>
      <c r="I17" s="9" t="s">
        <v>11</v>
      </c>
      <c r="J17" s="9" t="str">
        <f t="shared" ref="J17:J27"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LEFT(N17,3)&amp;IF(SUM(F17:H17)&gt;0,"_autosize","")</f>
        <v>1a2</v>
      </c>
      <c r="N17" s="28" t="s">
        <v>81</v>
      </c>
      <c r="O17" s="28" t="str">
        <f t="shared" ref="O17:O27" si="8">N17</f>
        <v>1a2-PrimOnly_SnglChlr_ConstSpdPump02</v>
      </c>
      <c r="P17" s="28">
        <f>P16</f>
        <v>0</v>
      </c>
      <c r="Q17" s="28">
        <f>Q16</f>
        <v>11</v>
      </c>
      <c r="R17" s="28">
        <f t="shared" ref="R17:T27" si="9">R16</f>
        <v>0</v>
      </c>
      <c r="S17" s="28">
        <f t="shared" si="9"/>
        <v>0</v>
      </c>
      <c r="T17" s="28">
        <f>T16</f>
        <v>0</v>
      </c>
      <c r="U17" s="28">
        <f t="shared" ref="U17:V27" si="10">U16</f>
        <v>0</v>
      </c>
      <c r="V17" s="28">
        <f t="shared" si="10"/>
        <v>1</v>
      </c>
      <c r="W17" s="36">
        <v>11</v>
      </c>
      <c r="X17" s="36">
        <v>1</v>
      </c>
      <c r="Y17" s="28">
        <f>Y16</f>
        <v>0</v>
      </c>
      <c r="Z17" s="28">
        <f t="shared" ref="Z17:AA17" si="11">Z16</f>
        <v>0</v>
      </c>
      <c r="AA17" s="28">
        <f t="shared" si="11"/>
        <v>0</v>
      </c>
      <c r="AB17" s="28">
        <f>AB16</f>
        <v>0</v>
      </c>
      <c r="AC17" s="28">
        <f t="shared" ref="AC17:AD17" si="12">AC16</f>
        <v>0</v>
      </c>
      <c r="AD17" s="28">
        <f t="shared" si="12"/>
        <v>0</v>
      </c>
    </row>
    <row r="18" spans="1:30" x14ac:dyDescent="0.25">
      <c r="A18" s="39">
        <f t="shared" si="3"/>
        <v>1</v>
      </c>
      <c r="B18" s="27" t="str">
        <f t="shared" si="4"/>
        <v>Hydronic Piping Examples\1b-PrimOnly_SnglChlr_VarSpdPump.cibd</v>
      </c>
      <c r="C18" s="27" t="str">
        <f t="shared" si="1"/>
        <v>HydroPipingOut_131106_r1089\1b-PrimOnly_SnglChlr_VarSpdPump.cibd</v>
      </c>
      <c r="D18" s="27" t="str">
        <f t="shared" si="5"/>
        <v>HydroPipingOut_131106_r1089\XML\</v>
      </c>
      <c r="E18" s="9" t="str">
        <f t="shared" si="6"/>
        <v>1b</v>
      </c>
      <c r="F18" s="22"/>
      <c r="G18" s="29"/>
      <c r="H18" s="23"/>
      <c r="I18" s="9" t="s">
        <v>11</v>
      </c>
      <c r="J1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M27" si="13">LEFT(N18,2)&amp;IF(SUM(F18:H18)&gt;0,"_autosize","")</f>
        <v>1b</v>
      </c>
      <c r="N18" s="28" t="s">
        <v>71</v>
      </c>
      <c r="O18" s="28" t="str">
        <f t="shared" si="8"/>
        <v>1b-PrimOnly_SnglChlr_VarSpdPump</v>
      </c>
      <c r="P18" s="28">
        <f t="shared" ref="P18:Q27" si="14">P17</f>
        <v>0</v>
      </c>
      <c r="Q18" s="28">
        <f t="shared" si="14"/>
        <v>11</v>
      </c>
      <c r="R18" s="28">
        <f t="shared" si="9"/>
        <v>0</v>
      </c>
      <c r="S18" s="28">
        <f t="shared" si="9"/>
        <v>0</v>
      </c>
      <c r="T18" s="28">
        <f t="shared" si="9"/>
        <v>0</v>
      </c>
      <c r="U18" s="28">
        <f t="shared" si="10"/>
        <v>0</v>
      </c>
      <c r="V18" s="28">
        <f t="shared" si="10"/>
        <v>1</v>
      </c>
      <c r="W18" s="36">
        <v>11</v>
      </c>
      <c r="X18" s="36">
        <v>1</v>
      </c>
      <c r="Y18" s="28">
        <f t="shared" ref="Y18:AA27" si="15">Y17</f>
        <v>0</v>
      </c>
      <c r="Z18" s="28">
        <f t="shared" si="15"/>
        <v>0</v>
      </c>
      <c r="AA18" s="28">
        <f t="shared" si="15"/>
        <v>0</v>
      </c>
      <c r="AB18" s="28">
        <f t="shared" ref="AB18:AD27" si="16">AB17</f>
        <v>0</v>
      </c>
      <c r="AC18" s="28">
        <f t="shared" si="16"/>
        <v>0</v>
      </c>
      <c r="AD18" s="28">
        <f t="shared" si="16"/>
        <v>0</v>
      </c>
    </row>
    <row r="19" spans="1:30" x14ac:dyDescent="0.25">
      <c r="A19" s="39">
        <f t="shared" si="3"/>
        <v>1</v>
      </c>
      <c r="B19" s="27" t="str">
        <f t="shared" si="4"/>
        <v>Hydronic Piping Examples\2a-PrimOnly_MultChlr_ConstSpdPump.cibd</v>
      </c>
      <c r="C19" s="27" t="str">
        <f t="shared" si="1"/>
        <v>HydroPipingOut_131106_r1089\2a-PrimOnly_MultChlr_ConstSpdPump.cibd</v>
      </c>
      <c r="D19" s="27" t="str">
        <f t="shared" si="5"/>
        <v>HydroPipingOut_131106_r1089\XML\</v>
      </c>
      <c r="E19" s="9" t="str">
        <f t="shared" si="6"/>
        <v>2a</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13"/>
        <v>2a</v>
      </c>
      <c r="N19" s="28" t="s">
        <v>72</v>
      </c>
      <c r="O19" s="28" t="str">
        <f t="shared" si="8"/>
        <v>2a-PrimOnly_MultChlr_ConstSpdPump</v>
      </c>
      <c r="P19" s="28">
        <f t="shared" si="14"/>
        <v>0</v>
      </c>
      <c r="Q19" s="28">
        <f t="shared" si="14"/>
        <v>11</v>
      </c>
      <c r="R19" s="28">
        <f t="shared" si="9"/>
        <v>0</v>
      </c>
      <c r="S19" s="28">
        <f t="shared" si="9"/>
        <v>0</v>
      </c>
      <c r="T19" s="28">
        <f t="shared" si="9"/>
        <v>0</v>
      </c>
      <c r="U19" s="28">
        <f t="shared" si="10"/>
        <v>0</v>
      </c>
      <c r="V19" s="28">
        <f t="shared" si="10"/>
        <v>1</v>
      </c>
      <c r="W19" s="36">
        <v>11</v>
      </c>
      <c r="X19" s="36">
        <v>1</v>
      </c>
      <c r="Y19" s="28">
        <f t="shared" si="15"/>
        <v>0</v>
      </c>
      <c r="Z19" s="28">
        <f t="shared" si="15"/>
        <v>0</v>
      </c>
      <c r="AA19" s="28">
        <f t="shared" si="15"/>
        <v>0</v>
      </c>
      <c r="AB19" s="28">
        <f t="shared" si="16"/>
        <v>0</v>
      </c>
      <c r="AC19" s="28">
        <f t="shared" si="16"/>
        <v>0</v>
      </c>
      <c r="AD19" s="28">
        <f t="shared" si="16"/>
        <v>0</v>
      </c>
    </row>
    <row r="20" spans="1:30" x14ac:dyDescent="0.25">
      <c r="A20" s="39">
        <f t="shared" si="3"/>
        <v>1</v>
      </c>
      <c r="B20" s="27" t="str">
        <f t="shared" si="4"/>
        <v>Hydronic Piping Examples\2b-PrimOnly_MultChlr_ConstSpdPumps.cibd</v>
      </c>
      <c r="C20" s="27" t="str">
        <f t="shared" si="1"/>
        <v>HydroPipingOut_131106_r1089\2b-PrimOnly_MultChlr_ConstSpdPumps.cibd</v>
      </c>
      <c r="D20" s="27" t="str">
        <f t="shared" si="5"/>
        <v>HydroPipingOut_131106_r1089\XML\</v>
      </c>
      <c r="E20" s="9" t="str">
        <f t="shared" si="6"/>
        <v>2b</v>
      </c>
      <c r="F20" s="22"/>
      <c r="G20" s="29"/>
      <c r="H20" s="23"/>
      <c r="I20" s="9" t="s">
        <v>11</v>
      </c>
      <c r="J2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13"/>
        <v>2b</v>
      </c>
      <c r="N20" s="28" t="s">
        <v>73</v>
      </c>
      <c r="O20" s="28" t="str">
        <f t="shared" si="8"/>
        <v>2b-PrimOnly_MultChlr_ConstSpdPumps</v>
      </c>
      <c r="P20" s="28">
        <f t="shared" si="14"/>
        <v>0</v>
      </c>
      <c r="Q20" s="28">
        <f t="shared" si="14"/>
        <v>11</v>
      </c>
      <c r="R20" s="28">
        <f t="shared" si="9"/>
        <v>0</v>
      </c>
      <c r="S20" s="28">
        <f t="shared" si="9"/>
        <v>0</v>
      </c>
      <c r="T20" s="28">
        <f t="shared" si="9"/>
        <v>0</v>
      </c>
      <c r="U20" s="28">
        <f t="shared" si="10"/>
        <v>0</v>
      </c>
      <c r="V20" s="28">
        <f t="shared" si="10"/>
        <v>1</v>
      </c>
      <c r="W20" s="36">
        <v>11</v>
      </c>
      <c r="X20" s="36">
        <v>1</v>
      </c>
      <c r="Y20" s="28">
        <f t="shared" si="15"/>
        <v>0</v>
      </c>
      <c r="Z20" s="28">
        <f t="shared" si="15"/>
        <v>0</v>
      </c>
      <c r="AA20" s="28">
        <f t="shared" si="15"/>
        <v>0</v>
      </c>
      <c r="AB20" s="28">
        <f t="shared" si="16"/>
        <v>0</v>
      </c>
      <c r="AC20" s="28">
        <f t="shared" si="16"/>
        <v>0</v>
      </c>
      <c r="AD20" s="28">
        <f t="shared" si="16"/>
        <v>0</v>
      </c>
    </row>
    <row r="21" spans="1:30" x14ac:dyDescent="0.25">
      <c r="A21" s="39">
        <f t="shared" si="3"/>
        <v>1</v>
      </c>
      <c r="B21" s="27" t="str">
        <f t="shared" si="4"/>
        <v>Hydronic Piping Examples\2c-PrimOnly_MultChlr_VarSpdPump.cibd</v>
      </c>
      <c r="C21" s="27" t="str">
        <f t="shared" si="1"/>
        <v>HydroPipingOut_131106_r1089\2c-PrimOnly_MultChlr_VarSpdPump.cibd</v>
      </c>
      <c r="D21" s="27" t="str">
        <f t="shared" si="5"/>
        <v>HydroPipingOut_131106_r1089\XML\</v>
      </c>
      <c r="E21" s="9" t="str">
        <f t="shared" si="6"/>
        <v>2c</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13"/>
        <v>2c</v>
      </c>
      <c r="N21" s="28" t="s">
        <v>74</v>
      </c>
      <c r="O21" s="28" t="str">
        <f t="shared" si="8"/>
        <v>2c-PrimOnly_MultChlr_VarSpdPump</v>
      </c>
      <c r="P21" s="28">
        <f t="shared" si="14"/>
        <v>0</v>
      </c>
      <c r="Q21" s="28">
        <f t="shared" si="14"/>
        <v>11</v>
      </c>
      <c r="R21" s="28">
        <f t="shared" si="9"/>
        <v>0</v>
      </c>
      <c r="S21" s="28">
        <f t="shared" si="9"/>
        <v>0</v>
      </c>
      <c r="T21" s="28">
        <f t="shared" si="9"/>
        <v>0</v>
      </c>
      <c r="U21" s="28">
        <f t="shared" si="10"/>
        <v>0</v>
      </c>
      <c r="V21" s="28">
        <f t="shared" si="10"/>
        <v>1</v>
      </c>
      <c r="W21" s="36">
        <v>11</v>
      </c>
      <c r="X21" s="36">
        <v>1</v>
      </c>
      <c r="Y21" s="28">
        <f t="shared" si="15"/>
        <v>0</v>
      </c>
      <c r="Z21" s="28">
        <f t="shared" si="15"/>
        <v>0</v>
      </c>
      <c r="AA21" s="28">
        <f t="shared" si="15"/>
        <v>0</v>
      </c>
      <c r="AB21" s="28">
        <f t="shared" si="16"/>
        <v>0</v>
      </c>
      <c r="AC21" s="28">
        <f t="shared" si="16"/>
        <v>0</v>
      </c>
      <c r="AD21" s="28">
        <f t="shared" si="16"/>
        <v>0</v>
      </c>
    </row>
    <row r="22" spans="1:30" x14ac:dyDescent="0.25">
      <c r="A22" s="39">
        <f t="shared" si="3"/>
        <v>1</v>
      </c>
      <c r="B22" s="27" t="str">
        <f t="shared" si="4"/>
        <v>Hydronic Piping Examples\2d-PrimOnly_MultChlr_VarSpdPumps.cibd</v>
      </c>
      <c r="C22" s="27" t="str">
        <f t="shared" si="1"/>
        <v>HydroPipingOut_131106_r1089\2d-PrimOnly_MultChlr_VarSpdPumps.cibd</v>
      </c>
      <c r="D22" s="27" t="str">
        <f t="shared" si="5"/>
        <v>HydroPipingOut_131106_r1089\XML\</v>
      </c>
      <c r="E22" s="9" t="str">
        <f t="shared" si="6"/>
        <v>2d</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13"/>
        <v>2d</v>
      </c>
      <c r="N22" s="28" t="s">
        <v>75</v>
      </c>
      <c r="O22" s="28" t="str">
        <f t="shared" si="8"/>
        <v>2d-PrimOnly_MultChlr_VarSpdPumps</v>
      </c>
      <c r="P22" s="28">
        <f t="shared" si="14"/>
        <v>0</v>
      </c>
      <c r="Q22" s="28">
        <f t="shared" si="14"/>
        <v>11</v>
      </c>
      <c r="R22" s="28">
        <f t="shared" si="9"/>
        <v>0</v>
      </c>
      <c r="S22" s="28">
        <f t="shared" si="9"/>
        <v>0</v>
      </c>
      <c r="T22" s="28">
        <f t="shared" si="9"/>
        <v>0</v>
      </c>
      <c r="U22" s="28">
        <f t="shared" si="10"/>
        <v>0</v>
      </c>
      <c r="V22" s="28">
        <f t="shared" si="10"/>
        <v>1</v>
      </c>
      <c r="W22" s="36">
        <v>11</v>
      </c>
      <c r="X22" s="36">
        <v>1</v>
      </c>
      <c r="Y22" s="28">
        <f t="shared" si="15"/>
        <v>0</v>
      </c>
      <c r="Z22" s="28">
        <f t="shared" si="15"/>
        <v>0</v>
      </c>
      <c r="AA22" s="28">
        <f t="shared" si="15"/>
        <v>0</v>
      </c>
      <c r="AB22" s="28">
        <f t="shared" si="16"/>
        <v>0</v>
      </c>
      <c r="AC22" s="28">
        <f t="shared" si="16"/>
        <v>0</v>
      </c>
      <c r="AD22" s="28">
        <f t="shared" si="16"/>
        <v>0</v>
      </c>
    </row>
    <row r="23" spans="1:30" x14ac:dyDescent="0.25">
      <c r="A23" s="39">
        <f t="shared" si="3"/>
        <v>1</v>
      </c>
      <c r="B23" s="27" t="str">
        <f t="shared" si="4"/>
        <v>Hydronic Piping Examples\2b-PrimOnly_MultChlr_ConstSpdPumps.cibd</v>
      </c>
      <c r="C23" s="27" t="str">
        <f t="shared" si="1"/>
        <v>HydroPipingOut_131106_r1089\2b-PrimOnly_MultChlr_ConstSpdPumps.cibd</v>
      </c>
      <c r="D23" s="27" t="str">
        <f t="shared" si="5"/>
        <v>HydroPipingOut_131106_r1089\XML\</v>
      </c>
      <c r="E23" s="9" t="str">
        <f t="shared" si="6"/>
        <v>2b</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13"/>
        <v>2b</v>
      </c>
      <c r="N23" s="28" t="s">
        <v>73</v>
      </c>
      <c r="O23" s="28" t="str">
        <f t="shared" si="8"/>
        <v>2b-PrimOnly_MultChlr_ConstSpdPumps</v>
      </c>
      <c r="P23" s="28">
        <f t="shared" si="14"/>
        <v>0</v>
      </c>
      <c r="Q23" s="28">
        <f t="shared" si="14"/>
        <v>11</v>
      </c>
      <c r="R23" s="28">
        <f t="shared" si="9"/>
        <v>0</v>
      </c>
      <c r="S23" s="28">
        <f t="shared" si="9"/>
        <v>0</v>
      </c>
      <c r="T23" s="28">
        <f t="shared" si="9"/>
        <v>0</v>
      </c>
      <c r="U23" s="28">
        <f t="shared" si="10"/>
        <v>0</v>
      </c>
      <c r="V23" s="28">
        <f t="shared" si="10"/>
        <v>1</v>
      </c>
      <c r="W23" s="36">
        <v>11</v>
      </c>
      <c r="X23" s="36">
        <v>1</v>
      </c>
      <c r="Y23" s="28">
        <f t="shared" si="15"/>
        <v>0</v>
      </c>
      <c r="Z23" s="28">
        <f t="shared" si="15"/>
        <v>0</v>
      </c>
      <c r="AA23" s="28">
        <f t="shared" si="15"/>
        <v>0</v>
      </c>
      <c r="AB23" s="28">
        <f t="shared" si="16"/>
        <v>0</v>
      </c>
      <c r="AC23" s="28">
        <f t="shared" si="16"/>
        <v>0</v>
      </c>
      <c r="AD23" s="28">
        <f t="shared" si="16"/>
        <v>0</v>
      </c>
    </row>
    <row r="24" spans="1:30" x14ac:dyDescent="0.25">
      <c r="A24" s="39">
        <f t="shared" ref="A24" si="17">L24</f>
        <v>1</v>
      </c>
      <c r="B24" s="27" t="str">
        <f t="shared" ref="B24" si="18" xml:space="preserve"> M$10&amp;"\"&amp;N24&amp;".cibd"</f>
        <v>Hydronic Piping Examples\3a-PrimSec_MultChlr_PrimPump.cibd</v>
      </c>
      <c r="C24" s="27" t="str">
        <f t="shared" ref="C24" si="19" xml:space="preserve"> M$11 &amp; O24 &amp; ".cibd"</f>
        <v>HydroPipingOut_131106_r1089\3a-PrimSec_MultChlr_PrimPump.cibd</v>
      </c>
      <c r="D24" s="27" t="str">
        <f t="shared" si="5"/>
        <v>HydroPipingOut_131106_r1089\XML\</v>
      </c>
      <c r="E24" s="9" t="str">
        <f t="shared" ref="E24" si="20">M24</f>
        <v>3a</v>
      </c>
      <c r="F24" s="22"/>
      <c r="G24" s="29"/>
      <c r="H24" s="23"/>
      <c r="I24" s="9" t="s">
        <v>11</v>
      </c>
      <c r="J24" s="9" t="str">
        <f t="shared" ref="J24" si="21">$P$12&amp;","&amp;P24&amp;","&amp;$Q$12&amp;","&amp;Q24&amp;","&amp;$R$12&amp;","&amp;R24&amp;","&amp;$S$12&amp;","&amp;S24&amp;","&amp;$T$12&amp;","&amp;T24&amp;","&amp;$U$12&amp;","&amp;U24&amp;","&amp;$V$12&amp;","&amp;V24&amp;","&amp;$Y$12&amp;","&amp;Y24&amp;","&amp;$AB$12&amp;","&amp;AB24&amp;","&amp;$Z$12&amp;","&amp;Z24&amp;","&amp;$AC$12&amp;","&amp;AC24&amp;","&amp;$AA$12&amp;","&amp;AA24&amp;","&amp;$AD$12&amp;","&amp;AD24&amp;","&amp;$W$12&amp;","&amp;W24&amp;","&amp;$X$12&amp;","&amp;X24&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ref="M24" si="22">LEFT(N24,2)&amp;IF(SUM(F24:H24)&gt;0,"_autosize","")</f>
        <v>3a</v>
      </c>
      <c r="N24" s="28" t="s">
        <v>82</v>
      </c>
      <c r="O24" s="28" t="str">
        <f t="shared" ref="O24" si="23">N24</f>
        <v>3a-PrimSec_MultChlr_PrimPump</v>
      </c>
      <c r="P24" s="28">
        <f t="shared" ref="P24:V25" si="24">P22</f>
        <v>0</v>
      </c>
      <c r="Q24" s="28">
        <f t="shared" si="24"/>
        <v>11</v>
      </c>
      <c r="R24" s="28">
        <f t="shared" si="24"/>
        <v>0</v>
      </c>
      <c r="S24" s="28">
        <f t="shared" si="24"/>
        <v>0</v>
      </c>
      <c r="T24" s="28">
        <f t="shared" si="24"/>
        <v>0</v>
      </c>
      <c r="U24" s="28">
        <f t="shared" si="24"/>
        <v>0</v>
      </c>
      <c r="V24" s="28">
        <f t="shared" si="24"/>
        <v>1</v>
      </c>
      <c r="W24" s="36">
        <v>11</v>
      </c>
      <c r="X24" s="36">
        <v>1</v>
      </c>
      <c r="Y24" s="28">
        <f t="shared" si="15"/>
        <v>0</v>
      </c>
      <c r="Z24" s="28">
        <f t="shared" si="15"/>
        <v>0</v>
      </c>
      <c r="AA24" s="28">
        <f t="shared" si="15"/>
        <v>0</v>
      </c>
      <c r="AB24" s="28">
        <f t="shared" si="16"/>
        <v>0</v>
      </c>
      <c r="AC24" s="28">
        <f t="shared" si="16"/>
        <v>0</v>
      </c>
      <c r="AD24" s="28">
        <f t="shared" si="16"/>
        <v>0</v>
      </c>
    </row>
    <row r="25" spans="1:30" x14ac:dyDescent="0.25">
      <c r="A25" s="39">
        <f t="shared" si="3"/>
        <v>1</v>
      </c>
      <c r="B25" s="27" t="str">
        <f t="shared" si="4"/>
        <v>Hydronic Piping Examples\3b-PrimSec_MultChlr_ChlrPumps.cibd</v>
      </c>
      <c r="C25" s="27" t="str">
        <f t="shared" si="1"/>
        <v>HydroPipingOut_131106_r1089\3b-PrimSec_MultChlr_ChlrPumps.cibd</v>
      </c>
      <c r="D25" s="27" t="str">
        <f t="shared" si="5"/>
        <v>HydroPipingOut_131106_r1089\XML\</v>
      </c>
      <c r="E25" s="9" t="str">
        <f t="shared" si="6"/>
        <v>3b</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13"/>
        <v>3b</v>
      </c>
      <c r="N25" s="28" t="s">
        <v>76</v>
      </c>
      <c r="O25" s="28" t="str">
        <f t="shared" si="8"/>
        <v>3b-PrimSec_MultChlr_ChlrPumps</v>
      </c>
      <c r="P25" s="28">
        <f t="shared" si="24"/>
        <v>0</v>
      </c>
      <c r="Q25" s="28">
        <f t="shared" si="24"/>
        <v>11</v>
      </c>
      <c r="R25" s="28">
        <f t="shared" si="24"/>
        <v>0</v>
      </c>
      <c r="S25" s="28">
        <f t="shared" si="24"/>
        <v>0</v>
      </c>
      <c r="T25" s="28">
        <f t="shared" si="24"/>
        <v>0</v>
      </c>
      <c r="U25" s="28">
        <f t="shared" si="24"/>
        <v>0</v>
      </c>
      <c r="V25" s="28">
        <f t="shared" si="24"/>
        <v>1</v>
      </c>
      <c r="W25" s="36">
        <v>11</v>
      </c>
      <c r="X25" s="36">
        <v>1</v>
      </c>
      <c r="Y25" s="28">
        <f t="shared" si="15"/>
        <v>0</v>
      </c>
      <c r="Z25" s="28">
        <f t="shared" si="15"/>
        <v>0</v>
      </c>
      <c r="AA25" s="28">
        <f t="shared" si="15"/>
        <v>0</v>
      </c>
      <c r="AB25" s="28">
        <f t="shared" si="16"/>
        <v>0</v>
      </c>
      <c r="AC25" s="28">
        <f t="shared" si="16"/>
        <v>0</v>
      </c>
      <c r="AD25" s="28">
        <f t="shared" si="16"/>
        <v>0</v>
      </c>
    </row>
    <row r="26" spans="1:30" x14ac:dyDescent="0.25">
      <c r="A26" s="39">
        <f t="shared" si="3"/>
        <v>1</v>
      </c>
      <c r="B26" s="27" t="str">
        <f t="shared" si="4"/>
        <v>Hydronic Piping Examples\4a-PrimOnly_MultChlrSeries_PrimPump.cibd</v>
      </c>
      <c r="C26" s="27" t="str">
        <f t="shared" si="1"/>
        <v>HydroPipingOut_131106_r1089\4a-PrimOnly_MultChlrSeries_PrimPump.cibd</v>
      </c>
      <c r="D26" s="27" t="str">
        <f t="shared" si="5"/>
        <v>HydroPipingOut_131106_r1089\XML\</v>
      </c>
      <c r="E26" s="9" t="str">
        <f t="shared" si="6"/>
        <v>4a</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13"/>
        <v>4a</v>
      </c>
      <c r="N26" s="28" t="s">
        <v>77</v>
      </c>
      <c r="O26" s="28" t="str">
        <f t="shared" si="8"/>
        <v>4a-PrimOnly_MultChlrSeries_PrimPump</v>
      </c>
      <c r="P26" s="28">
        <f t="shared" si="14"/>
        <v>0</v>
      </c>
      <c r="Q26" s="28">
        <f t="shared" si="14"/>
        <v>11</v>
      </c>
      <c r="R26" s="28">
        <f t="shared" si="9"/>
        <v>0</v>
      </c>
      <c r="S26" s="28">
        <f t="shared" si="9"/>
        <v>0</v>
      </c>
      <c r="T26" s="28">
        <f t="shared" si="9"/>
        <v>0</v>
      </c>
      <c r="U26" s="28">
        <f t="shared" si="10"/>
        <v>0</v>
      </c>
      <c r="V26" s="28">
        <f t="shared" si="10"/>
        <v>1</v>
      </c>
      <c r="W26" s="36">
        <v>11</v>
      </c>
      <c r="X26" s="36">
        <v>1</v>
      </c>
      <c r="Y26" s="28">
        <f t="shared" si="15"/>
        <v>0</v>
      </c>
      <c r="Z26" s="28">
        <f t="shared" si="15"/>
        <v>0</v>
      </c>
      <c r="AA26" s="28">
        <f t="shared" si="15"/>
        <v>0</v>
      </c>
      <c r="AB26" s="28">
        <f t="shared" si="16"/>
        <v>0</v>
      </c>
      <c r="AC26" s="28">
        <f t="shared" si="16"/>
        <v>0</v>
      </c>
      <c r="AD26" s="28">
        <f t="shared" si="16"/>
        <v>0</v>
      </c>
    </row>
    <row r="27" spans="1:30" x14ac:dyDescent="0.25">
      <c r="A27" s="39">
        <f t="shared" si="3"/>
        <v>1</v>
      </c>
      <c r="B27" s="27" t="str">
        <f t="shared" si="4"/>
        <v>Hydronic Piping Examples\4b-PrimOnly_MultChlrSeries_ChlrPumps.cibd</v>
      </c>
      <c r="C27" s="27" t="str">
        <f t="shared" si="1"/>
        <v>HydroPipingOut_131106_r1089\4b-PrimOnly_MultChlrSeries_ChlrPumps.cibd</v>
      </c>
      <c r="D27" s="27" t="str">
        <f t="shared" si="5"/>
        <v>HydroPipingOut_131106_r1089\XML\</v>
      </c>
      <c r="E27" s="9" t="str">
        <f t="shared" si="6"/>
        <v>4b</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13"/>
        <v>4b</v>
      </c>
      <c r="N27" s="28" t="s">
        <v>78</v>
      </c>
      <c r="O27" s="28" t="str">
        <f t="shared" si="8"/>
        <v>4b-PrimOnly_MultChlrSeries_ChlrPumps</v>
      </c>
      <c r="P27" s="28">
        <f t="shared" si="14"/>
        <v>0</v>
      </c>
      <c r="Q27" s="28">
        <f t="shared" si="14"/>
        <v>11</v>
      </c>
      <c r="R27" s="28">
        <f t="shared" si="9"/>
        <v>0</v>
      </c>
      <c r="S27" s="28">
        <f t="shared" si="9"/>
        <v>0</v>
      </c>
      <c r="T27" s="28">
        <f t="shared" si="9"/>
        <v>0</v>
      </c>
      <c r="U27" s="28">
        <f t="shared" si="10"/>
        <v>0</v>
      </c>
      <c r="V27" s="28">
        <f t="shared" si="10"/>
        <v>1</v>
      </c>
      <c r="W27" s="36">
        <v>11</v>
      </c>
      <c r="X27" s="36">
        <v>1</v>
      </c>
      <c r="Y27" s="28">
        <f t="shared" si="15"/>
        <v>0</v>
      </c>
      <c r="Z27" s="28">
        <f t="shared" si="15"/>
        <v>0</v>
      </c>
      <c r="AA27" s="28">
        <f t="shared" si="15"/>
        <v>0</v>
      </c>
      <c r="AB27" s="28">
        <f t="shared" si="16"/>
        <v>0</v>
      </c>
      <c r="AC27" s="28">
        <f t="shared" si="16"/>
        <v>0</v>
      </c>
      <c r="AD27" s="28">
        <f t="shared" si="16"/>
        <v>0</v>
      </c>
    </row>
    <row r="28" spans="1:30" x14ac:dyDescent="0.25">
      <c r="A28" s="10">
        <v>-1</v>
      </c>
      <c r="B28" s="6"/>
      <c r="C28" s="6"/>
      <c r="D28" s="6"/>
      <c r="E28" s="6"/>
      <c r="F28" s="6"/>
      <c r="G28" s="6"/>
      <c r="H28" s="6"/>
      <c r="I28" s="6"/>
      <c r="J28" s="6"/>
    </row>
  </sheetData>
  <mergeCells count="2">
    <mergeCell ref="Y14:AA14"/>
    <mergeCell ref="AB14:AD1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9"/>
  <sheetViews>
    <sheetView topLeftCell="K1" zoomScale="70" zoomScaleNormal="70" workbookViewId="0">
      <selection activeCell="N5" sqref="N5"/>
    </sheetView>
  </sheetViews>
  <sheetFormatPr defaultColWidth="9.140625" defaultRowHeight="15" outlineLevelCol="1" x14ac:dyDescent="0.25"/>
  <cols>
    <col min="1" max="1" width="9.140625" style="1" customWidth="1"/>
    <col min="2" max="2" width="123.140625" style="1" customWidth="1" outlineLevel="1"/>
    <col min="3" max="3" width="126.5703125" style="1" customWidth="1" outlineLevel="1"/>
    <col min="4" max="4" width="83" style="1" customWidth="1" outlineLevel="1"/>
    <col min="5" max="5" width="10.28515625" style="1" customWidth="1" outlineLevel="1"/>
    <col min="6" max="8" width="8.7109375" style="1" customWidth="1" outlineLevel="1"/>
    <col min="9" max="9" width="11.42578125" style="1" customWidth="1" outlineLevel="1"/>
    <col min="10" max="10" width="220.7109375" style="1" customWidth="1" outlineLevel="1"/>
    <col min="11" max="11" width="5" style="49" customWidth="1"/>
    <col min="12" max="12" width="13" style="49" customWidth="1"/>
    <col min="13" max="13" width="31.28515625" style="49"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9" t="s">
        <v>18</v>
      </c>
      <c r="C7" s="30"/>
      <c r="D7" s="30"/>
      <c r="L7" s="37" t="s">
        <v>45</v>
      </c>
      <c r="M7" s="50" t="s">
        <v>121</v>
      </c>
    </row>
    <row r="8" spans="1:30" x14ac:dyDescent="0.25">
      <c r="A8" s="1" t="s">
        <v>5</v>
      </c>
      <c r="B8" s="49" t="s">
        <v>19</v>
      </c>
      <c r="C8" s="30"/>
      <c r="D8" s="30"/>
      <c r="L8" s="14" t="s">
        <v>46</v>
      </c>
      <c r="M8" s="32" t="s">
        <v>122</v>
      </c>
    </row>
    <row r="9" spans="1:30" x14ac:dyDescent="0.25">
      <c r="A9" s="3">
        <v>2</v>
      </c>
      <c r="B9" s="4" t="str">
        <f>M9</f>
        <v>BatchResults_010112_r1450_IDF.csv</v>
      </c>
      <c r="C9" s="30" t="s">
        <v>1</v>
      </c>
      <c r="D9" s="30"/>
      <c r="E9" s="30"/>
      <c r="F9" s="30"/>
      <c r="G9" s="30"/>
      <c r="H9" s="30"/>
      <c r="I9" s="26"/>
      <c r="L9" s="35" t="s">
        <v>39</v>
      </c>
      <c r="M9" s="28" t="str">
        <f>"BatchResults_"&amp;M7&amp;"_"&amp;M8&amp;".csv"</f>
        <v>BatchResults_010112_r1450_IDF.csv</v>
      </c>
      <c r="N9" s="1" t="s">
        <v>48</v>
      </c>
    </row>
    <row r="10" spans="1:30" x14ac:dyDescent="0.25">
      <c r="A10" s="1" t="s">
        <v>1</v>
      </c>
      <c r="L10" s="14" t="s">
        <v>16</v>
      </c>
      <c r="M10" s="28" t="s">
        <v>119</v>
      </c>
      <c r="N10" s="1" t="s">
        <v>47</v>
      </c>
    </row>
    <row r="11" spans="1:30" x14ac:dyDescent="0.25">
      <c r="A11" s="1" t="s">
        <v>1</v>
      </c>
      <c r="L11" s="14" t="s">
        <v>17</v>
      </c>
      <c r="M11" s="28" t="s">
        <v>120</v>
      </c>
      <c r="N11" s="1" t="s">
        <v>47</v>
      </c>
    </row>
    <row r="12" spans="1:30" x14ac:dyDescent="0.25">
      <c r="A12" s="1" t="s">
        <v>1</v>
      </c>
      <c r="L12" s="14" t="s">
        <v>42</v>
      </c>
      <c r="M12" s="28" t="str">
        <f>M11&amp;"XML\"</f>
        <v>Issue 383\010112-SchSml-PSZ-p_r1450\010112-SchSml-PSZ-p_r1450 - batch\XML\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9" t="s">
        <v>27</v>
      </c>
      <c r="O14" s="49"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M$10&amp;N16&amp;".cibd"</f>
        <v>Issue 383\Input CIBD\010112-SchSml-PSZ-p-01.cibd</v>
      </c>
      <c r="C16" s="27" t="str">
        <f t="shared" ref="C16:C28" si="1" xml:space="preserve"> M$11 &amp; O16 &amp; ".cibd"</f>
        <v>Issue 383\010112-SchSml-PSZ-p_r1450\010112-SchSml-PSZ-p_r1450 - batch\010112-SchSml-PSZ-p-01.cibd</v>
      </c>
      <c r="D16" s="27" t="str">
        <f>$M$12</f>
        <v>Issue 383\010112-SchSml-PSZ-p_r1450\010112-SchSml-PSZ-p_r1450 - batch\XML\</v>
      </c>
      <c r="E16" s="9" t="str">
        <f>M16</f>
        <v>010112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 t="shared" ref="M16:M28" si="2">LEFT(N16,6)&amp;IF(SUM(F16:H16)&gt;0,"_autosize","")</f>
        <v>010112</v>
      </c>
      <c r="N16" s="28" t="s">
        <v>97</v>
      </c>
      <c r="O16" s="28" t="str">
        <f>N16</f>
        <v>010112-SchSml-PSZ-p-01</v>
      </c>
      <c r="P16" s="28">
        <v>0</v>
      </c>
      <c r="Q16" s="28">
        <v>4</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8" si="4">L17</f>
        <v>1</v>
      </c>
      <c r="B17" s="27" t="str">
        <f t="shared" ref="B17:B28" si="5" xml:space="preserve"> M$10&amp;N17&amp;".cibd"</f>
        <v>Issue 383\Input CIBD\010112-SchSml-PSZ-p-02.cibd</v>
      </c>
      <c r="C17" s="27" t="str">
        <f t="shared" si="1"/>
        <v>Issue 383\010112-SchSml-PSZ-p_r1450\010112-SchSml-PSZ-p_r1450 - batch\010112-SchSml-PSZ-p-02.cibd</v>
      </c>
      <c r="D17" s="27" t="str">
        <f t="shared" ref="D17:D37" si="6">$M$12</f>
        <v>Issue 383\010112-SchSml-PSZ-p_r1450\010112-SchSml-PSZ-p_r1450 - batch\XML\</v>
      </c>
      <c r="E17" s="9" t="str">
        <f t="shared" ref="E17:E27" si="7">M17</f>
        <v>010112</v>
      </c>
      <c r="F17" s="22"/>
      <c r="G17" s="29"/>
      <c r="H17" s="23"/>
      <c r="I17" s="9" t="s">
        <v>11</v>
      </c>
      <c r="J17" s="9" t="str">
        <f t="shared" ref="J17:J28" si="8">$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si="2"/>
        <v>010112</v>
      </c>
      <c r="N17" s="28" t="s">
        <v>98</v>
      </c>
      <c r="O17" s="28" t="str">
        <f t="shared" ref="O17:O28" si="9">N17</f>
        <v>010112-SchSml-PSZ-p-02</v>
      </c>
      <c r="P17" s="28">
        <f>P16</f>
        <v>0</v>
      </c>
      <c r="Q17" s="28">
        <f>Q16</f>
        <v>4</v>
      </c>
      <c r="R17" s="28">
        <f t="shared" ref="R17:V28" si="10">R16</f>
        <v>0</v>
      </c>
      <c r="S17" s="28">
        <f t="shared" si="10"/>
        <v>0</v>
      </c>
      <c r="T17" s="28">
        <f>T16</f>
        <v>0</v>
      </c>
      <c r="U17" s="28">
        <f t="shared" ref="U17:Y28" si="11">U16</f>
        <v>0</v>
      </c>
      <c r="V17" s="28">
        <f t="shared" si="11"/>
        <v>1</v>
      </c>
      <c r="W17" s="36">
        <v>11</v>
      </c>
      <c r="X17" s="36">
        <v>1</v>
      </c>
      <c r="Y17" s="28">
        <f>Y16</f>
        <v>0</v>
      </c>
      <c r="Z17" s="28">
        <f t="shared" ref="Z17:AB28" si="12">Z16</f>
        <v>0</v>
      </c>
      <c r="AA17" s="28">
        <f t="shared" si="12"/>
        <v>0</v>
      </c>
      <c r="AB17" s="28">
        <f>AB16</f>
        <v>0</v>
      </c>
      <c r="AC17" s="28">
        <f t="shared" ref="AC17:AD28" si="13">AC16</f>
        <v>0</v>
      </c>
      <c r="AD17" s="28">
        <f t="shared" si="13"/>
        <v>0</v>
      </c>
    </row>
    <row r="18" spans="1:30" x14ac:dyDescent="0.25">
      <c r="A18" s="39">
        <f t="shared" si="4"/>
        <v>1</v>
      </c>
      <c r="B18" s="27" t="str">
        <f t="shared" si="5"/>
        <v>Issue 383\Input CIBD\010112-SchSml-PSZ-p-03.cibd</v>
      </c>
      <c r="C18" s="27" t="str">
        <f t="shared" si="1"/>
        <v>Issue 383\010112-SchSml-PSZ-p_r1450\010112-SchSml-PSZ-p_r1450 - batch\010112-SchSml-PSZ-p-03.cibd</v>
      </c>
      <c r="D18" s="27" t="str">
        <f t="shared" si="6"/>
        <v>Issue 383\010112-SchSml-PSZ-p_r1450\010112-SchSml-PSZ-p_r1450 - batch\XML\</v>
      </c>
      <c r="E18" s="9" t="str">
        <f t="shared" si="7"/>
        <v>010112</v>
      </c>
      <c r="F18" s="22"/>
      <c r="G18" s="29"/>
      <c r="H18" s="23"/>
      <c r="I18" s="9" t="s">
        <v>11</v>
      </c>
      <c r="J1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si="2"/>
        <v>010112</v>
      </c>
      <c r="N18" s="28" t="s">
        <v>99</v>
      </c>
      <c r="O18" s="28" t="str">
        <f t="shared" si="9"/>
        <v>010112-SchSml-PSZ-p-03</v>
      </c>
      <c r="P18" s="28">
        <f t="shared" ref="P18:S28" si="14">P17</f>
        <v>0</v>
      </c>
      <c r="Q18" s="28">
        <f t="shared" si="14"/>
        <v>4</v>
      </c>
      <c r="R18" s="28">
        <f t="shared" si="10"/>
        <v>0</v>
      </c>
      <c r="S18" s="28">
        <f t="shared" si="10"/>
        <v>0</v>
      </c>
      <c r="T18" s="28">
        <f t="shared" si="10"/>
        <v>0</v>
      </c>
      <c r="U18" s="28">
        <f t="shared" si="11"/>
        <v>0</v>
      </c>
      <c r="V18" s="28">
        <f t="shared" si="11"/>
        <v>1</v>
      </c>
      <c r="W18" s="36">
        <v>11</v>
      </c>
      <c r="X18" s="36">
        <v>1</v>
      </c>
      <c r="Y18" s="28">
        <f t="shared" si="11"/>
        <v>0</v>
      </c>
      <c r="Z18" s="28">
        <f t="shared" si="12"/>
        <v>0</v>
      </c>
      <c r="AA18" s="28">
        <f t="shared" si="12"/>
        <v>0</v>
      </c>
      <c r="AB18" s="28">
        <f t="shared" si="12"/>
        <v>0</v>
      </c>
      <c r="AC18" s="28">
        <f t="shared" si="13"/>
        <v>0</v>
      </c>
      <c r="AD18" s="28">
        <f t="shared" si="13"/>
        <v>0</v>
      </c>
    </row>
    <row r="19" spans="1:30" x14ac:dyDescent="0.25">
      <c r="A19" s="39">
        <f t="shared" si="4"/>
        <v>1</v>
      </c>
      <c r="B19" s="27" t="str">
        <f t="shared" si="5"/>
        <v>Issue 383\Input CIBD\010112-SchSml-PSZ-p-04.cibd</v>
      </c>
      <c r="C19" s="27" t="str">
        <f t="shared" si="1"/>
        <v>Issue 383\010112-SchSml-PSZ-p_r1450\010112-SchSml-PSZ-p_r1450 - batch\010112-SchSml-PSZ-p-04.cibd</v>
      </c>
      <c r="D19" s="27" t="str">
        <f t="shared" si="6"/>
        <v>Issue 383\010112-SchSml-PSZ-p_r1450\010112-SchSml-PSZ-p_r1450 - batch\XML\</v>
      </c>
      <c r="E19" s="9" t="str">
        <f t="shared" si="7"/>
        <v>010112</v>
      </c>
      <c r="F19" s="22"/>
      <c r="G19" s="29"/>
      <c r="H19" s="23"/>
      <c r="I19" s="9" t="s">
        <v>11</v>
      </c>
      <c r="J19"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2"/>
        <v>010112</v>
      </c>
      <c r="N19" s="28" t="s">
        <v>100</v>
      </c>
      <c r="O19" s="28" t="str">
        <f t="shared" si="9"/>
        <v>010112-SchSml-PSZ-p-04</v>
      </c>
      <c r="P19" s="28">
        <f t="shared" si="14"/>
        <v>0</v>
      </c>
      <c r="Q19" s="28">
        <f t="shared" si="14"/>
        <v>4</v>
      </c>
      <c r="R19" s="28">
        <f t="shared" si="10"/>
        <v>0</v>
      </c>
      <c r="S19" s="28">
        <f t="shared" si="10"/>
        <v>0</v>
      </c>
      <c r="T19" s="28">
        <f t="shared" si="10"/>
        <v>0</v>
      </c>
      <c r="U19" s="28">
        <f t="shared" si="11"/>
        <v>0</v>
      </c>
      <c r="V19" s="28">
        <f t="shared" si="11"/>
        <v>1</v>
      </c>
      <c r="W19" s="36">
        <v>11</v>
      </c>
      <c r="X19" s="36">
        <v>1</v>
      </c>
      <c r="Y19" s="28">
        <f t="shared" si="11"/>
        <v>0</v>
      </c>
      <c r="Z19" s="28">
        <f t="shared" si="12"/>
        <v>0</v>
      </c>
      <c r="AA19" s="28">
        <f t="shared" si="12"/>
        <v>0</v>
      </c>
      <c r="AB19" s="28">
        <f t="shared" si="12"/>
        <v>0</v>
      </c>
      <c r="AC19" s="28">
        <f t="shared" si="13"/>
        <v>0</v>
      </c>
      <c r="AD19" s="28">
        <f t="shared" si="13"/>
        <v>0</v>
      </c>
    </row>
    <row r="20" spans="1:30" x14ac:dyDescent="0.25">
      <c r="A20" s="39">
        <f t="shared" si="4"/>
        <v>1</v>
      </c>
      <c r="B20" s="27" t="str">
        <f t="shared" si="5"/>
        <v>Issue 383\Input CIBD\010112-SchSml-PSZ-p-05.cibd</v>
      </c>
      <c r="C20" s="27" t="str">
        <f t="shared" si="1"/>
        <v>Issue 383\010112-SchSml-PSZ-p_r1450\010112-SchSml-PSZ-p_r1450 - batch\010112-SchSml-PSZ-p-05.cibd</v>
      </c>
      <c r="D20" s="27" t="str">
        <f t="shared" si="6"/>
        <v>Issue 383\010112-SchSml-PSZ-p_r1450\010112-SchSml-PSZ-p_r1450 - batch\XML\</v>
      </c>
      <c r="E20" s="9" t="str">
        <f t="shared" si="7"/>
        <v>010112</v>
      </c>
      <c r="F20" s="22"/>
      <c r="G20" s="29"/>
      <c r="H20" s="23"/>
      <c r="I20" s="9" t="s">
        <v>11</v>
      </c>
      <c r="J20"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2"/>
        <v>010112</v>
      </c>
      <c r="N20" s="28" t="s">
        <v>101</v>
      </c>
      <c r="O20" s="28" t="str">
        <f t="shared" si="9"/>
        <v>010112-SchSml-PSZ-p-05</v>
      </c>
      <c r="P20" s="28">
        <f t="shared" si="14"/>
        <v>0</v>
      </c>
      <c r="Q20" s="28">
        <f t="shared" si="14"/>
        <v>4</v>
      </c>
      <c r="R20" s="28">
        <f t="shared" si="10"/>
        <v>0</v>
      </c>
      <c r="S20" s="28">
        <f t="shared" si="10"/>
        <v>0</v>
      </c>
      <c r="T20" s="28">
        <f t="shared" si="10"/>
        <v>0</v>
      </c>
      <c r="U20" s="28">
        <f t="shared" si="11"/>
        <v>0</v>
      </c>
      <c r="V20" s="28">
        <f t="shared" si="11"/>
        <v>1</v>
      </c>
      <c r="W20" s="36">
        <v>11</v>
      </c>
      <c r="X20" s="36">
        <v>1</v>
      </c>
      <c r="Y20" s="28">
        <f t="shared" si="11"/>
        <v>0</v>
      </c>
      <c r="Z20" s="28">
        <f t="shared" si="12"/>
        <v>0</v>
      </c>
      <c r="AA20" s="28">
        <f t="shared" si="12"/>
        <v>0</v>
      </c>
      <c r="AB20" s="28">
        <f t="shared" si="12"/>
        <v>0</v>
      </c>
      <c r="AC20" s="28">
        <f t="shared" si="13"/>
        <v>0</v>
      </c>
      <c r="AD20" s="28">
        <f t="shared" si="13"/>
        <v>0</v>
      </c>
    </row>
    <row r="21" spans="1:30" x14ac:dyDescent="0.25">
      <c r="A21" s="39">
        <f t="shared" si="4"/>
        <v>1</v>
      </c>
      <c r="B21" s="27" t="str">
        <f t="shared" si="5"/>
        <v>Issue 383\Input CIBD\010112-SchSml-PSZ-p-06.cibd</v>
      </c>
      <c r="C21" s="27" t="str">
        <f t="shared" si="1"/>
        <v>Issue 383\010112-SchSml-PSZ-p_r1450\010112-SchSml-PSZ-p_r1450 - batch\010112-SchSml-PSZ-p-06.cibd</v>
      </c>
      <c r="D21" s="27" t="str">
        <f t="shared" si="6"/>
        <v>Issue 383\010112-SchSml-PSZ-p_r1450\010112-SchSml-PSZ-p_r1450 - batch\XML\</v>
      </c>
      <c r="E21" s="9" t="str">
        <f t="shared" si="7"/>
        <v>010112</v>
      </c>
      <c r="F21" s="22"/>
      <c r="G21" s="29"/>
      <c r="H21" s="23"/>
      <c r="I21" s="9" t="s">
        <v>11</v>
      </c>
      <c r="J21"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2"/>
        <v>010112</v>
      </c>
      <c r="N21" s="28" t="s">
        <v>102</v>
      </c>
      <c r="O21" s="28" t="str">
        <f t="shared" si="9"/>
        <v>010112-SchSml-PSZ-p-06</v>
      </c>
      <c r="P21" s="28">
        <f t="shared" si="14"/>
        <v>0</v>
      </c>
      <c r="Q21" s="28">
        <f t="shared" si="14"/>
        <v>4</v>
      </c>
      <c r="R21" s="28">
        <f t="shared" si="10"/>
        <v>0</v>
      </c>
      <c r="S21" s="28">
        <f t="shared" si="10"/>
        <v>0</v>
      </c>
      <c r="T21" s="28">
        <f t="shared" si="10"/>
        <v>0</v>
      </c>
      <c r="U21" s="28">
        <f t="shared" si="11"/>
        <v>0</v>
      </c>
      <c r="V21" s="28">
        <f t="shared" si="11"/>
        <v>1</v>
      </c>
      <c r="W21" s="36">
        <v>11</v>
      </c>
      <c r="X21" s="36">
        <v>1</v>
      </c>
      <c r="Y21" s="28">
        <f t="shared" si="11"/>
        <v>0</v>
      </c>
      <c r="Z21" s="28">
        <f t="shared" si="12"/>
        <v>0</v>
      </c>
      <c r="AA21" s="28">
        <f t="shared" si="12"/>
        <v>0</v>
      </c>
      <c r="AB21" s="28">
        <f t="shared" si="12"/>
        <v>0</v>
      </c>
      <c r="AC21" s="28">
        <f t="shared" si="13"/>
        <v>0</v>
      </c>
      <c r="AD21" s="28">
        <f t="shared" si="13"/>
        <v>0</v>
      </c>
    </row>
    <row r="22" spans="1:30" x14ac:dyDescent="0.25">
      <c r="A22" s="39">
        <f t="shared" si="4"/>
        <v>1</v>
      </c>
      <c r="B22" s="27" t="str">
        <f t="shared" si="5"/>
        <v>Issue 383\Input CIBD\010112-SchSml-PSZ-p-07.cibd</v>
      </c>
      <c r="C22" s="27" t="str">
        <f t="shared" si="1"/>
        <v>Issue 383\010112-SchSml-PSZ-p_r1450\010112-SchSml-PSZ-p_r1450 - batch\010112-SchSml-PSZ-p-07.cibd</v>
      </c>
      <c r="D22" s="27" t="str">
        <f t="shared" si="6"/>
        <v>Issue 383\010112-SchSml-PSZ-p_r1450\010112-SchSml-PSZ-p_r1450 - batch\XML\</v>
      </c>
      <c r="E22" s="9" t="str">
        <f t="shared" si="7"/>
        <v>010112</v>
      </c>
      <c r="F22" s="22"/>
      <c r="G22" s="29"/>
      <c r="H22" s="23"/>
      <c r="I22" s="9" t="s">
        <v>11</v>
      </c>
      <c r="J22"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2"/>
        <v>010112</v>
      </c>
      <c r="N22" s="28" t="s">
        <v>103</v>
      </c>
      <c r="O22" s="28" t="str">
        <f t="shared" si="9"/>
        <v>010112-SchSml-PSZ-p-07</v>
      </c>
      <c r="P22" s="28">
        <f t="shared" si="14"/>
        <v>0</v>
      </c>
      <c r="Q22" s="28">
        <f t="shared" si="14"/>
        <v>4</v>
      </c>
      <c r="R22" s="28">
        <f t="shared" si="10"/>
        <v>0</v>
      </c>
      <c r="S22" s="28">
        <f t="shared" si="10"/>
        <v>0</v>
      </c>
      <c r="T22" s="28">
        <f t="shared" si="10"/>
        <v>0</v>
      </c>
      <c r="U22" s="28">
        <f t="shared" si="11"/>
        <v>0</v>
      </c>
      <c r="V22" s="28">
        <f t="shared" si="11"/>
        <v>1</v>
      </c>
      <c r="W22" s="36">
        <v>11</v>
      </c>
      <c r="X22" s="36">
        <v>1</v>
      </c>
      <c r="Y22" s="28">
        <f t="shared" si="11"/>
        <v>0</v>
      </c>
      <c r="Z22" s="28">
        <f t="shared" si="12"/>
        <v>0</v>
      </c>
      <c r="AA22" s="28">
        <f t="shared" si="12"/>
        <v>0</v>
      </c>
      <c r="AB22" s="28">
        <f t="shared" si="12"/>
        <v>0</v>
      </c>
      <c r="AC22" s="28">
        <f t="shared" si="13"/>
        <v>0</v>
      </c>
      <c r="AD22" s="28">
        <f t="shared" si="13"/>
        <v>0</v>
      </c>
    </row>
    <row r="23" spans="1:30" x14ac:dyDescent="0.25">
      <c r="A23" s="39">
        <f t="shared" si="4"/>
        <v>1</v>
      </c>
      <c r="B23" s="27" t="str">
        <f t="shared" si="5"/>
        <v>Issue 383\Input CIBD\010112-SchSml-PSZ-p-08.cibd</v>
      </c>
      <c r="C23" s="27" t="str">
        <f t="shared" si="1"/>
        <v>Issue 383\010112-SchSml-PSZ-p_r1450\010112-SchSml-PSZ-p_r1450 - batch\010112-SchSml-PSZ-p-08.cibd</v>
      </c>
      <c r="D23" s="27" t="str">
        <f t="shared" si="6"/>
        <v>Issue 383\010112-SchSml-PSZ-p_r1450\010112-SchSml-PSZ-p_r1450 - batch\XML\</v>
      </c>
      <c r="E23" s="9" t="str">
        <f t="shared" si="7"/>
        <v>010112</v>
      </c>
      <c r="F23" s="22"/>
      <c r="G23" s="29"/>
      <c r="H23" s="23"/>
      <c r="I23" s="9" t="s">
        <v>11</v>
      </c>
      <c r="J23"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2"/>
        <v>010112</v>
      </c>
      <c r="N23" s="28" t="s">
        <v>104</v>
      </c>
      <c r="O23" s="28" t="str">
        <f t="shared" si="9"/>
        <v>010112-SchSml-PSZ-p-08</v>
      </c>
      <c r="P23" s="28">
        <f t="shared" si="14"/>
        <v>0</v>
      </c>
      <c r="Q23" s="28">
        <f t="shared" si="14"/>
        <v>4</v>
      </c>
      <c r="R23" s="28">
        <f t="shared" si="10"/>
        <v>0</v>
      </c>
      <c r="S23" s="28">
        <f t="shared" si="10"/>
        <v>0</v>
      </c>
      <c r="T23" s="28">
        <f t="shared" si="10"/>
        <v>0</v>
      </c>
      <c r="U23" s="28">
        <f t="shared" si="11"/>
        <v>0</v>
      </c>
      <c r="V23" s="28">
        <f t="shared" si="11"/>
        <v>1</v>
      </c>
      <c r="W23" s="36">
        <v>11</v>
      </c>
      <c r="X23" s="36">
        <v>1</v>
      </c>
      <c r="Y23" s="28">
        <f t="shared" si="11"/>
        <v>0</v>
      </c>
      <c r="Z23" s="28">
        <f t="shared" si="12"/>
        <v>0</v>
      </c>
      <c r="AA23" s="28">
        <f t="shared" si="12"/>
        <v>0</v>
      </c>
      <c r="AB23" s="28">
        <f t="shared" si="12"/>
        <v>0</v>
      </c>
      <c r="AC23" s="28">
        <f t="shared" si="13"/>
        <v>0</v>
      </c>
      <c r="AD23" s="28">
        <f t="shared" si="13"/>
        <v>0</v>
      </c>
    </row>
    <row r="24" spans="1:30" x14ac:dyDescent="0.25">
      <c r="A24" s="39">
        <f t="shared" si="4"/>
        <v>1</v>
      </c>
      <c r="B24" s="27" t="str">
        <f t="shared" si="5"/>
        <v>Issue 383\Input CIBD\010112-SchSml-PSZ-p-09.cibd</v>
      </c>
      <c r="C24" s="27" t="str">
        <f t="shared" si="1"/>
        <v>Issue 383\010112-SchSml-PSZ-p_r1450\010112-SchSml-PSZ-p_r1450 - batch\010112-SchSml-PSZ-p-09.cibd</v>
      </c>
      <c r="D24" s="27" t="str">
        <f t="shared" si="6"/>
        <v>Issue 383\010112-SchSml-PSZ-p_r1450\010112-SchSml-PSZ-p_r1450 - batch\XML\</v>
      </c>
      <c r="E24" s="9" t="str">
        <f t="shared" si="7"/>
        <v>010112</v>
      </c>
      <c r="F24" s="22"/>
      <c r="G24" s="29"/>
      <c r="H24" s="23"/>
      <c r="I24" s="9" t="s">
        <v>11</v>
      </c>
      <c r="J24"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2"/>
        <v>010112</v>
      </c>
      <c r="N24" s="28" t="s">
        <v>105</v>
      </c>
      <c r="O24" s="28" t="str">
        <f t="shared" si="9"/>
        <v>010112-SchSml-PSZ-p-09</v>
      </c>
      <c r="P24" s="28">
        <f t="shared" si="14"/>
        <v>0</v>
      </c>
      <c r="Q24" s="28">
        <f t="shared" si="14"/>
        <v>4</v>
      </c>
      <c r="R24" s="28">
        <f t="shared" si="10"/>
        <v>0</v>
      </c>
      <c r="S24" s="28">
        <f t="shared" si="10"/>
        <v>0</v>
      </c>
      <c r="T24" s="28">
        <f t="shared" si="10"/>
        <v>0</v>
      </c>
      <c r="U24" s="28">
        <f t="shared" si="11"/>
        <v>0</v>
      </c>
      <c r="V24" s="28">
        <f t="shared" si="11"/>
        <v>1</v>
      </c>
      <c r="W24" s="36">
        <v>11</v>
      </c>
      <c r="X24" s="36">
        <v>1</v>
      </c>
      <c r="Y24" s="28">
        <f t="shared" si="11"/>
        <v>0</v>
      </c>
      <c r="Z24" s="28">
        <f t="shared" si="12"/>
        <v>0</v>
      </c>
      <c r="AA24" s="28">
        <f t="shared" si="12"/>
        <v>0</v>
      </c>
      <c r="AB24" s="28">
        <f t="shared" si="12"/>
        <v>0</v>
      </c>
      <c r="AC24" s="28">
        <f t="shared" si="13"/>
        <v>0</v>
      </c>
      <c r="AD24" s="28">
        <f t="shared" si="13"/>
        <v>0</v>
      </c>
    </row>
    <row r="25" spans="1:30" x14ac:dyDescent="0.25">
      <c r="A25" s="39">
        <f t="shared" si="4"/>
        <v>1</v>
      </c>
      <c r="B25" s="27" t="str">
        <f t="shared" si="5"/>
        <v>Issue 383\Input CIBD\010112-SchSml-PSZ-p-10.cibd</v>
      </c>
      <c r="C25" s="27" t="str">
        <f t="shared" si="1"/>
        <v>Issue 383\010112-SchSml-PSZ-p_r1450\010112-SchSml-PSZ-p_r1450 - batch\010112-SchSml-PSZ-p-10.cibd</v>
      </c>
      <c r="D25" s="27" t="str">
        <f t="shared" si="6"/>
        <v>Issue 383\010112-SchSml-PSZ-p_r1450\010112-SchSml-PSZ-p_r1450 - batch\XML\</v>
      </c>
      <c r="E25" s="9" t="str">
        <f t="shared" si="7"/>
        <v>010112</v>
      </c>
      <c r="F25" s="22"/>
      <c r="G25" s="29"/>
      <c r="H25" s="23"/>
      <c r="I25" s="9" t="s">
        <v>11</v>
      </c>
      <c r="J25"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2"/>
        <v>010112</v>
      </c>
      <c r="N25" s="28" t="s">
        <v>106</v>
      </c>
      <c r="O25" s="28" t="str">
        <f t="shared" si="9"/>
        <v>010112-SchSml-PSZ-p-10</v>
      </c>
      <c r="P25" s="28">
        <f t="shared" si="14"/>
        <v>0</v>
      </c>
      <c r="Q25" s="28">
        <f t="shared" si="14"/>
        <v>4</v>
      </c>
      <c r="R25" s="28">
        <f t="shared" si="10"/>
        <v>0</v>
      </c>
      <c r="S25" s="28">
        <f t="shared" si="10"/>
        <v>0</v>
      </c>
      <c r="T25" s="28">
        <f t="shared" si="10"/>
        <v>0</v>
      </c>
      <c r="U25" s="28">
        <f t="shared" si="11"/>
        <v>0</v>
      </c>
      <c r="V25" s="28">
        <f t="shared" si="11"/>
        <v>1</v>
      </c>
      <c r="W25" s="36">
        <v>11</v>
      </c>
      <c r="X25" s="36">
        <v>1</v>
      </c>
      <c r="Y25" s="28">
        <f t="shared" si="11"/>
        <v>0</v>
      </c>
      <c r="Z25" s="28">
        <f t="shared" si="12"/>
        <v>0</v>
      </c>
      <c r="AA25" s="28">
        <f t="shared" si="12"/>
        <v>0</v>
      </c>
      <c r="AB25" s="28">
        <f t="shared" si="12"/>
        <v>0</v>
      </c>
      <c r="AC25" s="28">
        <f t="shared" si="13"/>
        <v>0</v>
      </c>
      <c r="AD25" s="28">
        <f t="shared" si="13"/>
        <v>0</v>
      </c>
    </row>
    <row r="26" spans="1:30" x14ac:dyDescent="0.25">
      <c r="A26" s="39">
        <f t="shared" si="4"/>
        <v>1</v>
      </c>
      <c r="B26" s="27" t="str">
        <f t="shared" si="5"/>
        <v>Issue 383\Input CIBD\010112-SchSml-PSZ-p-11.cibd</v>
      </c>
      <c r="C26" s="27" t="str">
        <f t="shared" si="1"/>
        <v>Issue 383\010112-SchSml-PSZ-p_r1450\010112-SchSml-PSZ-p_r1450 - batch\010112-SchSml-PSZ-p-11.cibd</v>
      </c>
      <c r="D26" s="27" t="str">
        <f t="shared" si="6"/>
        <v>Issue 383\010112-SchSml-PSZ-p_r1450\010112-SchSml-PSZ-p_r1450 - batch\XML\</v>
      </c>
      <c r="E26" s="9" t="str">
        <f t="shared" si="7"/>
        <v>010112</v>
      </c>
      <c r="F26" s="22"/>
      <c r="G26" s="29"/>
      <c r="H26" s="23"/>
      <c r="I26" s="9" t="s">
        <v>11</v>
      </c>
      <c r="J26"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2"/>
        <v>010112</v>
      </c>
      <c r="N26" s="28" t="s">
        <v>107</v>
      </c>
      <c r="O26" s="28" t="str">
        <f t="shared" si="9"/>
        <v>010112-SchSml-PSZ-p-11</v>
      </c>
      <c r="P26" s="28">
        <f t="shared" si="14"/>
        <v>0</v>
      </c>
      <c r="Q26" s="28">
        <f t="shared" si="14"/>
        <v>4</v>
      </c>
      <c r="R26" s="28">
        <f t="shared" si="10"/>
        <v>0</v>
      </c>
      <c r="S26" s="28">
        <f t="shared" si="10"/>
        <v>0</v>
      </c>
      <c r="T26" s="28">
        <f t="shared" si="10"/>
        <v>0</v>
      </c>
      <c r="U26" s="28">
        <f t="shared" si="11"/>
        <v>0</v>
      </c>
      <c r="V26" s="28">
        <f t="shared" si="11"/>
        <v>1</v>
      </c>
      <c r="W26" s="36">
        <v>11</v>
      </c>
      <c r="X26" s="36">
        <v>1</v>
      </c>
      <c r="Y26" s="28">
        <f t="shared" si="11"/>
        <v>0</v>
      </c>
      <c r="Z26" s="28">
        <f t="shared" si="12"/>
        <v>0</v>
      </c>
      <c r="AA26" s="28">
        <f t="shared" si="12"/>
        <v>0</v>
      </c>
      <c r="AB26" s="28">
        <f t="shared" si="12"/>
        <v>0</v>
      </c>
      <c r="AC26" s="28">
        <f t="shared" si="13"/>
        <v>0</v>
      </c>
      <c r="AD26" s="28">
        <f t="shared" si="13"/>
        <v>0</v>
      </c>
    </row>
    <row r="27" spans="1:30" x14ac:dyDescent="0.25">
      <c r="A27" s="39">
        <f t="shared" si="4"/>
        <v>1</v>
      </c>
      <c r="B27" s="27" t="str">
        <f t="shared" si="5"/>
        <v>Issue 383\Input CIBD\010112-SchSml-PSZ-p-12.cibd</v>
      </c>
      <c r="C27" s="27" t="str">
        <f t="shared" si="1"/>
        <v>Issue 383\010112-SchSml-PSZ-p_r1450\010112-SchSml-PSZ-p_r1450 - batch\010112-SchSml-PSZ-p-12.cibd</v>
      </c>
      <c r="D27" s="27" t="str">
        <f t="shared" si="6"/>
        <v>Issue 383\010112-SchSml-PSZ-p_r1450\010112-SchSml-PSZ-p_r1450 - batch\XML\</v>
      </c>
      <c r="E27" s="9" t="str">
        <f t="shared" si="7"/>
        <v>010112</v>
      </c>
      <c r="F27" s="22"/>
      <c r="G27" s="29"/>
      <c r="H27" s="23"/>
      <c r="I27" s="9" t="s">
        <v>11</v>
      </c>
      <c r="J27"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2"/>
        <v>010112</v>
      </c>
      <c r="N27" s="28" t="s">
        <v>108</v>
      </c>
      <c r="O27" s="28" t="str">
        <f t="shared" si="9"/>
        <v>010112-SchSml-PSZ-p-12</v>
      </c>
      <c r="P27" s="28">
        <f t="shared" si="14"/>
        <v>0</v>
      </c>
      <c r="Q27" s="28">
        <f t="shared" si="14"/>
        <v>4</v>
      </c>
      <c r="R27" s="28">
        <f t="shared" si="14"/>
        <v>0</v>
      </c>
      <c r="S27" s="28">
        <f t="shared" si="14"/>
        <v>0</v>
      </c>
      <c r="T27" s="28">
        <f t="shared" si="10"/>
        <v>0</v>
      </c>
      <c r="U27" s="28">
        <f t="shared" si="10"/>
        <v>0</v>
      </c>
      <c r="V27" s="28">
        <f t="shared" si="10"/>
        <v>1</v>
      </c>
      <c r="W27" s="36">
        <v>11</v>
      </c>
      <c r="X27" s="36">
        <v>1</v>
      </c>
      <c r="Y27" s="28">
        <f t="shared" si="11"/>
        <v>0</v>
      </c>
      <c r="Z27" s="28">
        <f t="shared" si="12"/>
        <v>0</v>
      </c>
      <c r="AA27" s="28">
        <f t="shared" si="12"/>
        <v>0</v>
      </c>
      <c r="AB27" s="28">
        <f t="shared" si="12"/>
        <v>0</v>
      </c>
      <c r="AC27" s="28">
        <f t="shared" si="13"/>
        <v>0</v>
      </c>
      <c r="AD27" s="28">
        <f t="shared" si="13"/>
        <v>0</v>
      </c>
    </row>
    <row r="28" spans="1:30" x14ac:dyDescent="0.25">
      <c r="A28" s="39">
        <f t="shared" si="4"/>
        <v>1</v>
      </c>
      <c r="B28" s="27" t="str">
        <f t="shared" si="5"/>
        <v>Issue 383\Input CIBD\010112-SchSml-PSZ-p-13.cibd</v>
      </c>
      <c r="C28" s="27" t="str">
        <f t="shared" si="1"/>
        <v>Issue 383\010112-SchSml-PSZ-p_r1450\010112-SchSml-PSZ-p_r1450 - batch\010112-SchSml-PSZ-p-13.cibd</v>
      </c>
      <c r="D28" s="27" t="str">
        <f t="shared" si="6"/>
        <v>Issue 383\010112-SchSml-PSZ-p_r1450\010112-SchSml-PSZ-p_r1450 - batch\XML\</v>
      </c>
      <c r="E28" s="9" t="str">
        <f>M28</f>
        <v>010112</v>
      </c>
      <c r="F28" s="22"/>
      <c r="G28" s="29"/>
      <c r="H28" s="23"/>
      <c r="I28" s="9" t="s">
        <v>11</v>
      </c>
      <c r="J2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2"/>
        <v>010112</v>
      </c>
      <c r="N28" s="28" t="s">
        <v>109</v>
      </c>
      <c r="O28" s="28" t="str">
        <f t="shared" si="9"/>
        <v>010112-SchSml-PSZ-p-13</v>
      </c>
      <c r="P28" s="28">
        <f t="shared" si="14"/>
        <v>0</v>
      </c>
      <c r="Q28" s="28">
        <f t="shared" si="14"/>
        <v>4</v>
      </c>
      <c r="R28" s="28">
        <f t="shared" si="14"/>
        <v>0</v>
      </c>
      <c r="S28" s="28">
        <f t="shared" si="14"/>
        <v>0</v>
      </c>
      <c r="T28" s="28">
        <f t="shared" si="10"/>
        <v>0</v>
      </c>
      <c r="U28" s="28">
        <f t="shared" si="10"/>
        <v>0</v>
      </c>
      <c r="V28" s="28">
        <f t="shared" si="10"/>
        <v>1</v>
      </c>
      <c r="W28" s="36">
        <v>11</v>
      </c>
      <c r="X28" s="36">
        <v>1</v>
      </c>
      <c r="Y28" s="28">
        <f t="shared" si="11"/>
        <v>0</v>
      </c>
      <c r="Z28" s="28">
        <f t="shared" si="12"/>
        <v>0</v>
      </c>
      <c r="AA28" s="28">
        <f t="shared" si="12"/>
        <v>0</v>
      </c>
      <c r="AB28" s="28">
        <f t="shared" si="12"/>
        <v>0</v>
      </c>
      <c r="AC28" s="28">
        <f t="shared" si="13"/>
        <v>0</v>
      </c>
      <c r="AD28" s="28">
        <f t="shared" si="13"/>
        <v>0</v>
      </c>
    </row>
    <row r="29" spans="1:30" x14ac:dyDescent="0.25">
      <c r="A29" s="39">
        <f t="shared" ref="A29:A37" si="15">L29</f>
        <v>1</v>
      </c>
      <c r="B29" s="27" t="str">
        <f t="shared" ref="B29:B37" si="16" xml:space="preserve"> M$10&amp;N29&amp;".cibd"</f>
        <v>Issue 383\Input CIBD\010112-SchSml-PSZ-p-14.cibd</v>
      </c>
      <c r="C29" s="27" t="str">
        <f t="shared" ref="C29:C37" si="17" xml:space="preserve"> M$11 &amp; O29 &amp; ".cibd"</f>
        <v>Issue 383\010112-SchSml-PSZ-p_r1450\010112-SchSml-PSZ-p_r1450 - batch\010112-SchSml-PSZ-p-14.cibd</v>
      </c>
      <c r="D29" s="27" t="str">
        <f t="shared" si="6"/>
        <v>Issue 383\010112-SchSml-PSZ-p_r1450\010112-SchSml-PSZ-p_r1450 - batch\XML\</v>
      </c>
      <c r="E29" s="9" t="str">
        <f t="shared" ref="E29:E37" si="18">M29</f>
        <v>010112</v>
      </c>
      <c r="F29" s="22"/>
      <c r="G29" s="29"/>
      <c r="H29" s="23"/>
      <c r="I29" s="9" t="s">
        <v>11</v>
      </c>
      <c r="J29" s="9" t="str">
        <f t="shared" ref="J29:J37" si="19">$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ref="M29:M37" si="20">LEFT(N29,6)&amp;IF(SUM(F29:H29)&gt;0,"_autosize","")</f>
        <v>010112</v>
      </c>
      <c r="N29" s="28" t="s">
        <v>110</v>
      </c>
      <c r="O29" s="28" t="str">
        <f t="shared" ref="O29:O37" si="21">N29</f>
        <v>010112-SchSml-PSZ-p-14</v>
      </c>
      <c r="P29" s="28">
        <f t="shared" ref="P29:V29" si="22">P28</f>
        <v>0</v>
      </c>
      <c r="Q29" s="28">
        <f t="shared" si="22"/>
        <v>4</v>
      </c>
      <c r="R29" s="28">
        <f t="shared" si="22"/>
        <v>0</v>
      </c>
      <c r="S29" s="28">
        <f t="shared" si="22"/>
        <v>0</v>
      </c>
      <c r="T29" s="28">
        <f t="shared" si="22"/>
        <v>0</v>
      </c>
      <c r="U29" s="28">
        <f t="shared" si="22"/>
        <v>0</v>
      </c>
      <c r="V29" s="28">
        <f t="shared" si="22"/>
        <v>1</v>
      </c>
      <c r="W29" s="36">
        <v>11</v>
      </c>
      <c r="X29" s="36">
        <v>1</v>
      </c>
      <c r="Y29" s="28">
        <f t="shared" ref="Y29:AD29" si="23">Y28</f>
        <v>0</v>
      </c>
      <c r="Z29" s="28">
        <f t="shared" si="23"/>
        <v>0</v>
      </c>
      <c r="AA29" s="28">
        <f t="shared" si="23"/>
        <v>0</v>
      </c>
      <c r="AB29" s="28">
        <f t="shared" si="23"/>
        <v>0</v>
      </c>
      <c r="AC29" s="28">
        <f t="shared" si="23"/>
        <v>0</v>
      </c>
      <c r="AD29" s="28">
        <f t="shared" si="23"/>
        <v>0</v>
      </c>
    </row>
    <row r="30" spans="1:30" x14ac:dyDescent="0.25">
      <c r="A30" s="39">
        <f t="shared" si="15"/>
        <v>1</v>
      </c>
      <c r="B30" s="27" t="str">
        <f t="shared" si="16"/>
        <v>Issue 383\Input CIBD\010112-SchSml-PSZ-p-15.cibd</v>
      </c>
      <c r="C30" s="27" t="str">
        <f t="shared" si="17"/>
        <v>Issue 383\010112-SchSml-PSZ-p_r1450\010112-SchSml-PSZ-p_r1450 - batch\010112-SchSml-PSZ-p-15.cibd</v>
      </c>
      <c r="D30" s="27" t="str">
        <f t="shared" si="6"/>
        <v>Issue 383\010112-SchSml-PSZ-p_r1450\010112-SchSml-PSZ-p_r1450 - batch\XML\</v>
      </c>
      <c r="E30" s="9" t="str">
        <f t="shared" si="18"/>
        <v>010112</v>
      </c>
      <c r="F30" s="22"/>
      <c r="G30" s="29"/>
      <c r="H30" s="23"/>
      <c r="I30" s="9" t="s">
        <v>11</v>
      </c>
      <c r="J30"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20"/>
        <v>010112</v>
      </c>
      <c r="N30" s="28" t="s">
        <v>111</v>
      </c>
      <c r="O30" s="28" t="str">
        <f t="shared" si="21"/>
        <v>010112-SchSml-PSZ-p-15</v>
      </c>
      <c r="P30" s="28">
        <f t="shared" ref="P30:V30" si="24">P29</f>
        <v>0</v>
      </c>
      <c r="Q30" s="28">
        <f t="shared" si="24"/>
        <v>4</v>
      </c>
      <c r="R30" s="28">
        <f t="shared" si="24"/>
        <v>0</v>
      </c>
      <c r="S30" s="28">
        <f t="shared" si="24"/>
        <v>0</v>
      </c>
      <c r="T30" s="28">
        <f t="shared" si="24"/>
        <v>0</v>
      </c>
      <c r="U30" s="28">
        <f t="shared" si="24"/>
        <v>0</v>
      </c>
      <c r="V30" s="28">
        <f t="shared" si="24"/>
        <v>1</v>
      </c>
      <c r="W30" s="36">
        <v>11</v>
      </c>
      <c r="X30" s="36">
        <v>1</v>
      </c>
      <c r="Y30" s="28">
        <f t="shared" ref="Y30:AD30" si="25">Y29</f>
        <v>0</v>
      </c>
      <c r="Z30" s="28">
        <f t="shared" si="25"/>
        <v>0</v>
      </c>
      <c r="AA30" s="28">
        <f t="shared" si="25"/>
        <v>0</v>
      </c>
      <c r="AB30" s="28">
        <f t="shared" si="25"/>
        <v>0</v>
      </c>
      <c r="AC30" s="28">
        <f t="shared" si="25"/>
        <v>0</v>
      </c>
      <c r="AD30" s="28">
        <f t="shared" si="25"/>
        <v>0</v>
      </c>
    </row>
    <row r="31" spans="1:30" x14ac:dyDescent="0.25">
      <c r="A31" s="39">
        <f t="shared" si="15"/>
        <v>1</v>
      </c>
      <c r="B31" s="27" t="str">
        <f t="shared" si="16"/>
        <v>Issue 383\Input CIBD\010112-SchSml-PSZ-p-16.cibd</v>
      </c>
      <c r="C31" s="27" t="str">
        <f t="shared" si="17"/>
        <v>Issue 383\010112-SchSml-PSZ-p_r1450\010112-SchSml-PSZ-p_r1450 - batch\010112-SchSml-PSZ-p-16.cibd</v>
      </c>
      <c r="D31" s="27" t="str">
        <f t="shared" si="6"/>
        <v>Issue 383\010112-SchSml-PSZ-p_r1450\010112-SchSml-PSZ-p_r1450 - batch\XML\</v>
      </c>
      <c r="E31" s="9" t="str">
        <f t="shared" si="18"/>
        <v>010112</v>
      </c>
      <c r="F31" s="22"/>
      <c r="G31" s="29"/>
      <c r="H31" s="23"/>
      <c r="I31" s="9" t="s">
        <v>11</v>
      </c>
      <c r="J31"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1" s="15" t="s">
        <v>1</v>
      </c>
      <c r="L31" s="36">
        <v>1</v>
      </c>
      <c r="M31" s="32" t="str">
        <f t="shared" si="20"/>
        <v>010112</v>
      </c>
      <c r="N31" s="28" t="s">
        <v>112</v>
      </c>
      <c r="O31" s="28" t="str">
        <f t="shared" si="21"/>
        <v>010112-SchSml-PSZ-p-16</v>
      </c>
      <c r="P31" s="28">
        <f t="shared" ref="P31:V31" si="26">P30</f>
        <v>0</v>
      </c>
      <c r="Q31" s="28">
        <f t="shared" si="26"/>
        <v>4</v>
      </c>
      <c r="R31" s="28">
        <f t="shared" si="26"/>
        <v>0</v>
      </c>
      <c r="S31" s="28">
        <f t="shared" si="26"/>
        <v>0</v>
      </c>
      <c r="T31" s="28">
        <f t="shared" si="26"/>
        <v>0</v>
      </c>
      <c r="U31" s="28">
        <f t="shared" si="26"/>
        <v>0</v>
      </c>
      <c r="V31" s="28">
        <f t="shared" si="26"/>
        <v>1</v>
      </c>
      <c r="W31" s="36">
        <v>11</v>
      </c>
      <c r="X31" s="36">
        <v>1</v>
      </c>
      <c r="Y31" s="28">
        <f t="shared" ref="Y31:AD31" si="27">Y30</f>
        <v>0</v>
      </c>
      <c r="Z31" s="28">
        <f t="shared" si="27"/>
        <v>0</v>
      </c>
      <c r="AA31" s="28">
        <f t="shared" si="27"/>
        <v>0</v>
      </c>
      <c r="AB31" s="28">
        <f t="shared" si="27"/>
        <v>0</v>
      </c>
      <c r="AC31" s="28">
        <f t="shared" si="27"/>
        <v>0</v>
      </c>
      <c r="AD31" s="28">
        <f t="shared" si="27"/>
        <v>0</v>
      </c>
    </row>
    <row r="32" spans="1:30" x14ac:dyDescent="0.25">
      <c r="A32" s="39">
        <f t="shared" si="15"/>
        <v>1</v>
      </c>
      <c r="B32" s="27" t="str">
        <f t="shared" si="16"/>
        <v>Issue 383\Input CIBD\010112-SchSml-PSZ-p-17.cibd</v>
      </c>
      <c r="C32" s="27" t="str">
        <f t="shared" si="17"/>
        <v>Issue 383\010112-SchSml-PSZ-p_r1450\010112-SchSml-PSZ-p_r1450 - batch\010112-SchSml-PSZ-p-17.cibd</v>
      </c>
      <c r="D32" s="27" t="str">
        <f t="shared" si="6"/>
        <v>Issue 383\010112-SchSml-PSZ-p_r1450\010112-SchSml-PSZ-p_r1450 - batch\XML\</v>
      </c>
      <c r="E32" s="9" t="str">
        <f t="shared" si="18"/>
        <v>010112</v>
      </c>
      <c r="F32" s="22"/>
      <c r="G32" s="29"/>
      <c r="H32" s="23"/>
      <c r="I32" s="9" t="s">
        <v>11</v>
      </c>
      <c r="J32"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2" s="15" t="s">
        <v>1</v>
      </c>
      <c r="L32" s="36">
        <v>1</v>
      </c>
      <c r="M32" s="32" t="str">
        <f t="shared" si="20"/>
        <v>010112</v>
      </c>
      <c r="N32" s="28" t="s">
        <v>113</v>
      </c>
      <c r="O32" s="28" t="str">
        <f t="shared" si="21"/>
        <v>010112-SchSml-PSZ-p-17</v>
      </c>
      <c r="P32" s="28">
        <f t="shared" ref="P32:V32" si="28">P31</f>
        <v>0</v>
      </c>
      <c r="Q32" s="28">
        <f t="shared" si="28"/>
        <v>4</v>
      </c>
      <c r="R32" s="28">
        <f t="shared" si="28"/>
        <v>0</v>
      </c>
      <c r="S32" s="28">
        <f t="shared" si="28"/>
        <v>0</v>
      </c>
      <c r="T32" s="28">
        <f t="shared" si="28"/>
        <v>0</v>
      </c>
      <c r="U32" s="28">
        <f t="shared" si="28"/>
        <v>0</v>
      </c>
      <c r="V32" s="28">
        <f t="shared" si="28"/>
        <v>1</v>
      </c>
      <c r="W32" s="36">
        <v>11</v>
      </c>
      <c r="X32" s="36">
        <v>1</v>
      </c>
      <c r="Y32" s="28">
        <f t="shared" ref="Y32:AD32" si="29">Y31</f>
        <v>0</v>
      </c>
      <c r="Z32" s="28">
        <f t="shared" si="29"/>
        <v>0</v>
      </c>
      <c r="AA32" s="28">
        <f t="shared" si="29"/>
        <v>0</v>
      </c>
      <c r="AB32" s="28">
        <f t="shared" si="29"/>
        <v>0</v>
      </c>
      <c r="AC32" s="28">
        <f t="shared" si="29"/>
        <v>0</v>
      </c>
      <c r="AD32" s="28">
        <f t="shared" si="29"/>
        <v>0</v>
      </c>
    </row>
    <row r="33" spans="1:30" x14ac:dyDescent="0.25">
      <c r="A33" s="39">
        <f t="shared" si="15"/>
        <v>1</v>
      </c>
      <c r="B33" s="27" t="str">
        <f t="shared" si="16"/>
        <v>Issue 383\Input CIBD\010112-SchSml-PSZ-p-18.cibd</v>
      </c>
      <c r="C33" s="27" t="str">
        <f t="shared" si="17"/>
        <v>Issue 383\010112-SchSml-PSZ-p_r1450\010112-SchSml-PSZ-p_r1450 - batch\010112-SchSml-PSZ-p-18.cibd</v>
      </c>
      <c r="D33" s="27" t="str">
        <f t="shared" si="6"/>
        <v>Issue 383\010112-SchSml-PSZ-p_r1450\010112-SchSml-PSZ-p_r1450 - batch\XML\</v>
      </c>
      <c r="E33" s="9" t="str">
        <f t="shared" si="18"/>
        <v>010112</v>
      </c>
      <c r="F33" s="22"/>
      <c r="G33" s="29"/>
      <c r="H33" s="23"/>
      <c r="I33" s="9" t="s">
        <v>11</v>
      </c>
      <c r="J33"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3" s="15" t="s">
        <v>1</v>
      </c>
      <c r="L33" s="36">
        <v>1</v>
      </c>
      <c r="M33" s="32" t="str">
        <f t="shared" si="20"/>
        <v>010112</v>
      </c>
      <c r="N33" s="28" t="s">
        <v>114</v>
      </c>
      <c r="O33" s="28" t="str">
        <f t="shared" si="21"/>
        <v>010112-SchSml-PSZ-p-18</v>
      </c>
      <c r="P33" s="28">
        <f t="shared" ref="P33:V33" si="30">P32</f>
        <v>0</v>
      </c>
      <c r="Q33" s="28">
        <f t="shared" si="30"/>
        <v>4</v>
      </c>
      <c r="R33" s="28">
        <f t="shared" si="30"/>
        <v>0</v>
      </c>
      <c r="S33" s="28">
        <f t="shared" si="30"/>
        <v>0</v>
      </c>
      <c r="T33" s="28">
        <f t="shared" si="30"/>
        <v>0</v>
      </c>
      <c r="U33" s="28">
        <f t="shared" si="30"/>
        <v>0</v>
      </c>
      <c r="V33" s="28">
        <f t="shared" si="30"/>
        <v>1</v>
      </c>
      <c r="W33" s="36">
        <v>11</v>
      </c>
      <c r="X33" s="36">
        <v>1</v>
      </c>
      <c r="Y33" s="28">
        <f t="shared" ref="Y33:AD33" si="31">Y32</f>
        <v>0</v>
      </c>
      <c r="Z33" s="28">
        <f t="shared" si="31"/>
        <v>0</v>
      </c>
      <c r="AA33" s="28">
        <f t="shared" si="31"/>
        <v>0</v>
      </c>
      <c r="AB33" s="28">
        <f t="shared" si="31"/>
        <v>0</v>
      </c>
      <c r="AC33" s="28">
        <f t="shared" si="31"/>
        <v>0</v>
      </c>
      <c r="AD33" s="28">
        <f t="shared" si="31"/>
        <v>0</v>
      </c>
    </row>
    <row r="34" spans="1:30" x14ac:dyDescent="0.25">
      <c r="A34" s="39">
        <f t="shared" si="15"/>
        <v>1</v>
      </c>
      <c r="B34" s="27" t="str">
        <f t="shared" si="16"/>
        <v>Issue 383\Input CIBD\010112-SchSml-PSZ-p-19.cibd</v>
      </c>
      <c r="C34" s="27" t="str">
        <f t="shared" si="17"/>
        <v>Issue 383\010112-SchSml-PSZ-p_r1450\010112-SchSml-PSZ-p_r1450 - batch\010112-SchSml-PSZ-p-19.cibd</v>
      </c>
      <c r="D34" s="27" t="str">
        <f t="shared" si="6"/>
        <v>Issue 383\010112-SchSml-PSZ-p_r1450\010112-SchSml-PSZ-p_r1450 - batch\XML\</v>
      </c>
      <c r="E34" s="9" t="str">
        <f t="shared" si="18"/>
        <v>010112</v>
      </c>
      <c r="F34" s="22"/>
      <c r="G34" s="29"/>
      <c r="H34" s="23"/>
      <c r="I34" s="9" t="s">
        <v>11</v>
      </c>
      <c r="J34"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4" s="15" t="s">
        <v>1</v>
      </c>
      <c r="L34" s="36">
        <v>1</v>
      </c>
      <c r="M34" s="32" t="str">
        <f t="shared" si="20"/>
        <v>010112</v>
      </c>
      <c r="N34" s="28" t="s">
        <v>115</v>
      </c>
      <c r="O34" s="28" t="str">
        <f t="shared" si="21"/>
        <v>010112-SchSml-PSZ-p-19</v>
      </c>
      <c r="P34" s="28">
        <f t="shared" ref="P34:V34" si="32">P33</f>
        <v>0</v>
      </c>
      <c r="Q34" s="28">
        <f t="shared" si="32"/>
        <v>4</v>
      </c>
      <c r="R34" s="28">
        <f t="shared" si="32"/>
        <v>0</v>
      </c>
      <c r="S34" s="28">
        <f t="shared" si="32"/>
        <v>0</v>
      </c>
      <c r="T34" s="28">
        <f t="shared" si="32"/>
        <v>0</v>
      </c>
      <c r="U34" s="28">
        <f t="shared" si="32"/>
        <v>0</v>
      </c>
      <c r="V34" s="28">
        <f t="shared" si="32"/>
        <v>1</v>
      </c>
      <c r="W34" s="36">
        <v>11</v>
      </c>
      <c r="X34" s="36">
        <v>1</v>
      </c>
      <c r="Y34" s="28">
        <f t="shared" ref="Y34:AD34" si="33">Y33</f>
        <v>0</v>
      </c>
      <c r="Z34" s="28">
        <f t="shared" si="33"/>
        <v>0</v>
      </c>
      <c r="AA34" s="28">
        <f t="shared" si="33"/>
        <v>0</v>
      </c>
      <c r="AB34" s="28">
        <f t="shared" si="33"/>
        <v>0</v>
      </c>
      <c r="AC34" s="28">
        <f t="shared" si="33"/>
        <v>0</v>
      </c>
      <c r="AD34" s="28">
        <f t="shared" si="33"/>
        <v>0</v>
      </c>
    </row>
    <row r="35" spans="1:30" x14ac:dyDescent="0.25">
      <c r="A35" s="39">
        <f t="shared" si="15"/>
        <v>1</v>
      </c>
      <c r="B35" s="27" t="str">
        <f t="shared" si="16"/>
        <v>Issue 383\Input CIBD\010112-SchSml-PSZ-p-20.cibd</v>
      </c>
      <c r="C35" s="27" t="str">
        <f t="shared" si="17"/>
        <v>Issue 383\010112-SchSml-PSZ-p_r1450\010112-SchSml-PSZ-p_r1450 - batch\010112-SchSml-PSZ-p-20.cibd</v>
      </c>
      <c r="D35" s="27" t="str">
        <f t="shared" si="6"/>
        <v>Issue 383\010112-SchSml-PSZ-p_r1450\010112-SchSml-PSZ-p_r1450 - batch\XML\</v>
      </c>
      <c r="E35" s="9" t="str">
        <f t="shared" si="18"/>
        <v>010112</v>
      </c>
      <c r="F35" s="22"/>
      <c r="G35" s="29"/>
      <c r="H35" s="23"/>
      <c r="I35" s="9" t="s">
        <v>11</v>
      </c>
      <c r="J35"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5" s="15" t="s">
        <v>1</v>
      </c>
      <c r="L35" s="36">
        <v>1</v>
      </c>
      <c r="M35" s="32" t="str">
        <f t="shared" si="20"/>
        <v>010112</v>
      </c>
      <c r="N35" s="28" t="s">
        <v>116</v>
      </c>
      <c r="O35" s="28" t="str">
        <f t="shared" si="21"/>
        <v>010112-SchSml-PSZ-p-20</v>
      </c>
      <c r="P35" s="28">
        <f t="shared" ref="P35:V35" si="34">P34</f>
        <v>0</v>
      </c>
      <c r="Q35" s="28">
        <f t="shared" si="34"/>
        <v>4</v>
      </c>
      <c r="R35" s="28">
        <f t="shared" si="34"/>
        <v>0</v>
      </c>
      <c r="S35" s="28">
        <f t="shared" si="34"/>
        <v>0</v>
      </c>
      <c r="T35" s="28">
        <f t="shared" si="34"/>
        <v>0</v>
      </c>
      <c r="U35" s="28">
        <f t="shared" si="34"/>
        <v>0</v>
      </c>
      <c r="V35" s="28">
        <f t="shared" si="34"/>
        <v>1</v>
      </c>
      <c r="W35" s="36">
        <v>11</v>
      </c>
      <c r="X35" s="36">
        <v>1</v>
      </c>
      <c r="Y35" s="28">
        <f t="shared" ref="Y35:AD35" si="35">Y34</f>
        <v>0</v>
      </c>
      <c r="Z35" s="28">
        <f t="shared" si="35"/>
        <v>0</v>
      </c>
      <c r="AA35" s="28">
        <f t="shared" si="35"/>
        <v>0</v>
      </c>
      <c r="AB35" s="28">
        <f t="shared" si="35"/>
        <v>0</v>
      </c>
      <c r="AC35" s="28">
        <f t="shared" si="35"/>
        <v>0</v>
      </c>
      <c r="AD35" s="28">
        <f t="shared" si="35"/>
        <v>0</v>
      </c>
    </row>
    <row r="36" spans="1:30" x14ac:dyDescent="0.25">
      <c r="A36" s="39">
        <f t="shared" si="15"/>
        <v>0</v>
      </c>
      <c r="B36" s="27" t="str">
        <f t="shared" si="16"/>
        <v>Issue 383\Input CIBD\010112-SchSml-PSZ-p-21.cibd</v>
      </c>
      <c r="C36" s="27" t="str">
        <f t="shared" si="17"/>
        <v>Issue 383\010112-SchSml-PSZ-p_r1450\010112-SchSml-PSZ-p_r1450 - batch\010112-SchSml-PSZ-p-21.cibd</v>
      </c>
      <c r="D36" s="27" t="str">
        <f t="shared" si="6"/>
        <v>Issue 383\010112-SchSml-PSZ-p_r1450\010112-SchSml-PSZ-p_r1450 - batch\XML\</v>
      </c>
      <c r="E36" s="9" t="str">
        <f t="shared" si="18"/>
        <v>010112</v>
      </c>
      <c r="F36" s="22"/>
      <c r="G36" s="29"/>
      <c r="H36" s="23"/>
      <c r="I36" s="9" t="s">
        <v>11</v>
      </c>
      <c r="J36"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6" s="15" t="s">
        <v>1</v>
      </c>
      <c r="L36" s="36">
        <v>0</v>
      </c>
      <c r="M36" s="32" t="str">
        <f t="shared" si="20"/>
        <v>010112</v>
      </c>
      <c r="N36" s="28" t="s">
        <v>117</v>
      </c>
      <c r="O36" s="28" t="str">
        <f t="shared" si="21"/>
        <v>010112-SchSml-PSZ-p-21</v>
      </c>
      <c r="P36" s="28">
        <f t="shared" ref="P36:V36" si="36">P35</f>
        <v>0</v>
      </c>
      <c r="Q36" s="28">
        <f t="shared" si="36"/>
        <v>4</v>
      </c>
      <c r="R36" s="28">
        <f t="shared" si="36"/>
        <v>0</v>
      </c>
      <c r="S36" s="28">
        <f t="shared" si="36"/>
        <v>0</v>
      </c>
      <c r="T36" s="28">
        <f t="shared" si="36"/>
        <v>0</v>
      </c>
      <c r="U36" s="28">
        <f t="shared" si="36"/>
        <v>0</v>
      </c>
      <c r="V36" s="28">
        <f t="shared" si="36"/>
        <v>1</v>
      </c>
      <c r="W36" s="36">
        <v>11</v>
      </c>
      <c r="X36" s="36">
        <v>1</v>
      </c>
      <c r="Y36" s="28">
        <f t="shared" ref="Y36:AD36" si="37">Y35</f>
        <v>0</v>
      </c>
      <c r="Z36" s="28">
        <f t="shared" si="37"/>
        <v>0</v>
      </c>
      <c r="AA36" s="28">
        <f t="shared" si="37"/>
        <v>0</v>
      </c>
      <c r="AB36" s="28">
        <f t="shared" si="37"/>
        <v>0</v>
      </c>
      <c r="AC36" s="28">
        <f t="shared" si="37"/>
        <v>0</v>
      </c>
      <c r="AD36" s="28">
        <f t="shared" si="37"/>
        <v>0</v>
      </c>
    </row>
    <row r="37" spans="1:30" x14ac:dyDescent="0.25">
      <c r="A37" s="39">
        <f t="shared" si="15"/>
        <v>0</v>
      </c>
      <c r="B37" s="27" t="str">
        <f t="shared" si="16"/>
        <v>Issue 383\Input CIBD\010112-SchSml-PSZ-p-22.cibd</v>
      </c>
      <c r="C37" s="27" t="str">
        <f t="shared" si="17"/>
        <v>Issue 383\010112-SchSml-PSZ-p_r1450\010112-SchSml-PSZ-p_r1450 - batch\010112-SchSml-PSZ-p-22.cibd</v>
      </c>
      <c r="D37" s="27" t="str">
        <f t="shared" si="6"/>
        <v>Issue 383\010112-SchSml-PSZ-p_r1450\010112-SchSml-PSZ-p_r1450 - batch\XML\</v>
      </c>
      <c r="E37" s="9" t="str">
        <f t="shared" si="18"/>
        <v>010112</v>
      </c>
      <c r="F37" s="22"/>
      <c r="G37" s="29"/>
      <c r="H37" s="23"/>
      <c r="I37" s="9" t="s">
        <v>11</v>
      </c>
      <c r="J37"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7" s="15" t="s">
        <v>1</v>
      </c>
      <c r="L37" s="36">
        <v>0</v>
      </c>
      <c r="M37" s="32" t="str">
        <f t="shared" si="20"/>
        <v>010112</v>
      </c>
      <c r="N37" s="28" t="s">
        <v>118</v>
      </c>
      <c r="O37" s="28" t="str">
        <f t="shared" si="21"/>
        <v>010112-SchSml-PSZ-p-22</v>
      </c>
      <c r="P37" s="28">
        <f t="shared" ref="P37:V37" si="38">P36</f>
        <v>0</v>
      </c>
      <c r="Q37" s="28">
        <f t="shared" si="38"/>
        <v>4</v>
      </c>
      <c r="R37" s="28">
        <f t="shared" si="38"/>
        <v>0</v>
      </c>
      <c r="S37" s="28">
        <f t="shared" si="38"/>
        <v>0</v>
      </c>
      <c r="T37" s="28">
        <f t="shared" si="38"/>
        <v>0</v>
      </c>
      <c r="U37" s="28">
        <f t="shared" si="38"/>
        <v>0</v>
      </c>
      <c r="V37" s="28">
        <f t="shared" si="38"/>
        <v>1</v>
      </c>
      <c r="W37" s="36">
        <v>11</v>
      </c>
      <c r="X37" s="36">
        <v>1</v>
      </c>
      <c r="Y37" s="28">
        <f t="shared" ref="Y37:AD37" si="39">Y36</f>
        <v>0</v>
      </c>
      <c r="Z37" s="28">
        <f t="shared" si="39"/>
        <v>0</v>
      </c>
      <c r="AA37" s="28">
        <f t="shared" si="39"/>
        <v>0</v>
      </c>
      <c r="AB37" s="28">
        <f t="shared" si="39"/>
        <v>0</v>
      </c>
      <c r="AC37" s="28">
        <f t="shared" si="39"/>
        <v>0</v>
      </c>
      <c r="AD37" s="28">
        <f t="shared" si="39"/>
        <v>0</v>
      </c>
    </row>
    <row r="38" spans="1:30" x14ac:dyDescent="0.25">
      <c r="A38" s="39">
        <f t="shared" si="4"/>
        <v>0</v>
      </c>
      <c r="B38" s="27"/>
      <c r="C38" s="27"/>
      <c r="D38" s="27"/>
      <c r="E38" s="9"/>
      <c r="F38" s="22"/>
      <c r="G38" s="29"/>
      <c r="H38" s="23"/>
      <c r="I38" s="9"/>
      <c r="J38" s="9"/>
      <c r="K38" s="15" t="s">
        <v>1</v>
      </c>
      <c r="L38" s="36">
        <v>0</v>
      </c>
      <c r="M38" s="32"/>
      <c r="N38" s="28"/>
      <c r="O38" s="28"/>
      <c r="P38" s="28"/>
      <c r="Q38" s="28"/>
      <c r="R38" s="28"/>
      <c r="S38" s="28"/>
      <c r="T38" s="28"/>
      <c r="U38" s="28"/>
      <c r="V38" s="28"/>
      <c r="W38" s="36"/>
      <c r="X38" s="36"/>
      <c r="Y38" s="28"/>
      <c r="Z38" s="28"/>
      <c r="AA38" s="28"/>
      <c r="AB38" s="28"/>
      <c r="AC38" s="28"/>
      <c r="AD38" s="28"/>
    </row>
    <row r="39" spans="1:30" x14ac:dyDescent="0.25">
      <c r="A39" s="10">
        <v>-1</v>
      </c>
      <c r="B39" s="6"/>
      <c r="C39" s="6"/>
      <c r="D39" s="6"/>
      <c r="E39" s="6"/>
      <c r="F39" s="6"/>
      <c r="G39" s="6"/>
      <c r="H39" s="6"/>
      <c r="I39" s="6"/>
      <c r="J39" s="6"/>
    </row>
  </sheetData>
  <mergeCells count="2">
    <mergeCell ref="Y14:AA14"/>
    <mergeCell ref="AB14:AD14"/>
  </mergeCells>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CBECC-Com 2016</vt:lpstr>
      <vt:lpstr>Prototypes</vt:lpstr>
      <vt:lpstr>RulesetImplementation</vt:lpstr>
      <vt:lpstr>HydronicPiping</vt:lpstr>
      <vt:lpstr>IDF</vt:lpstr>
      <vt:lpstr>Sheet3</vt:lpstr>
      <vt:lpstr>'CBECC-Com 2016'!BatchFileName</vt:lpstr>
      <vt:lpstr>BatchFileName</vt:lpstr>
    </vt:vector>
  </TitlesOfParts>
  <Company>Wrightsoft Corp.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Criswell</dc:creator>
  <cp:lastModifiedBy>Administrator </cp:lastModifiedBy>
  <cp:lastPrinted>2013-11-05T03:27:35Z</cp:lastPrinted>
  <dcterms:created xsi:type="dcterms:W3CDTF">2013-05-22T19:50:10Z</dcterms:created>
  <dcterms:modified xsi:type="dcterms:W3CDTF">2017-10-26T17:56:44Z</dcterms:modified>
</cp:coreProperties>
</file>